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user\Desktop\shift_app\shift_manager\"/>
    </mc:Choice>
  </mc:AlternateContent>
  <xr:revisionPtr revIDLastSave="0" documentId="13_ncr:1_{B08F2FA5-B576-4512-94F3-0B9C10D440EE}" xr6:coauthVersionLast="47" xr6:coauthVersionMax="47" xr10:uidLastSave="{00000000-0000-0000-0000-000000000000}"/>
  <bookViews>
    <workbookView xWindow="-110" yWindow="-110" windowWidth="19420" windowHeight="10300" tabRatio="710" activeTab="3" xr2:uid="{00000000-000D-0000-FFFF-FFFF00000000}"/>
  </bookViews>
  <sheets>
    <sheet name="勤務変更" sheetId="3" r:id="rId1"/>
    <sheet name="deta" sheetId="5" r:id="rId2"/>
    <sheet name="勤務表（参照用）" sheetId="2" r:id="rId3"/>
    <sheet name="Time Pro 入力フォーム（管理者用）" sheetId="4" r:id="rId4"/>
  </sheets>
  <externalReferences>
    <externalReference r:id="rId5"/>
    <externalReference r:id="rId6"/>
    <externalReference r:id="rId7"/>
    <externalReference r:id="rId8"/>
  </externalReferences>
  <definedNames>
    <definedName name="_xlnm.Print_Area" localSheetId="1">deta!$B$1:$AL$46</definedName>
    <definedName name="_xlnm.Print_Area" localSheetId="2">'勤務表（参照用）'!$A$2:$AH$46</definedName>
    <definedName name="_xlnm.Print_Area" localSheetId="0">勤務変更!$B$1:$AL$46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 i="4" l="1"/>
  <c r="D1" i="4"/>
  <c r="D2" i="2" l="1"/>
  <c r="E2" i="2"/>
  <c r="F2" i="2"/>
  <c r="G2" i="2"/>
  <c r="H2" i="2"/>
  <c r="I2" i="2"/>
  <c r="J2" i="2"/>
  <c r="J2" i="5" s="1"/>
  <c r="J3" i="5" s="1"/>
  <c r="K2" i="2"/>
  <c r="K2" i="5" s="1"/>
  <c r="K3" i="5" s="1"/>
  <c r="L2" i="2"/>
  <c r="M2" i="2"/>
  <c r="N2" i="2"/>
  <c r="O2" i="2"/>
  <c r="P2" i="2"/>
  <c r="Q2" i="2"/>
  <c r="R2" i="2"/>
  <c r="R2" i="5" s="1"/>
  <c r="R3" i="5" s="1"/>
  <c r="S2" i="2"/>
  <c r="S2" i="5" s="1"/>
  <c r="S3" i="5" s="1"/>
  <c r="T2" i="2"/>
  <c r="U2" i="2"/>
  <c r="V2" i="2"/>
  <c r="W2" i="2"/>
  <c r="X2" i="2"/>
  <c r="Y2" i="2"/>
  <c r="Z2" i="2"/>
  <c r="Z2" i="5" s="1"/>
  <c r="Z3" i="5" s="1"/>
  <c r="AA2" i="2"/>
  <c r="AA2" i="5" s="1"/>
  <c r="AA3" i="5" s="1"/>
  <c r="AB2" i="2"/>
  <c r="AC2" i="2"/>
  <c r="AD2" i="2"/>
  <c r="AE2" i="2"/>
  <c r="AF2" i="2"/>
  <c r="AG2" i="2"/>
  <c r="AH2" i="2"/>
  <c r="AH2" i="5" s="1"/>
  <c r="AH3" i="5" s="1"/>
  <c r="D3" i="2"/>
  <c r="E3" i="2"/>
  <c r="F3" i="2"/>
  <c r="G3" i="2"/>
  <c r="H3" i="2"/>
  <c r="I3" i="2"/>
  <c r="J3" i="2"/>
  <c r="K3" i="2"/>
  <c r="L3" i="2"/>
  <c r="M3" i="2"/>
  <c r="N3" i="2"/>
  <c r="O3" i="2"/>
  <c r="P3" i="2"/>
  <c r="Q3" i="2"/>
  <c r="R3" i="2"/>
  <c r="S3" i="2"/>
  <c r="T3" i="2"/>
  <c r="U3" i="2"/>
  <c r="V3" i="2"/>
  <c r="W3" i="2"/>
  <c r="X3" i="2"/>
  <c r="Y3" i="2"/>
  <c r="Z3" i="2"/>
  <c r="AA3" i="2"/>
  <c r="AB3" i="2"/>
  <c r="AC3" i="2"/>
  <c r="AD3" i="2"/>
  <c r="AE3" i="2"/>
  <c r="AF3" i="2"/>
  <c r="AG3" i="2"/>
  <c r="AH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N43" i="2"/>
  <c r="A44" i="2"/>
  <c r="N44" i="2"/>
  <c r="A45" i="2"/>
  <c r="N45" i="2"/>
  <c r="A46" i="2"/>
  <c r="N46" i="2"/>
  <c r="N44" i="3"/>
  <c r="N43" i="3"/>
  <c r="N44" i="5"/>
  <c r="N43" i="5"/>
  <c r="AO5" i="5"/>
  <c r="AI4" i="5"/>
  <c r="C3" i="5"/>
  <c r="E2" i="5"/>
  <c r="E3" i="5" s="1"/>
  <c r="F2" i="5"/>
  <c r="F3" i="5" s="1"/>
  <c r="G2" i="5"/>
  <c r="G3" i="5" s="1"/>
  <c r="H2" i="5"/>
  <c r="H3" i="5" s="1"/>
  <c r="I2" i="5"/>
  <c r="I3" i="5" s="1"/>
  <c r="L2" i="5"/>
  <c r="L3" i="5" s="1"/>
  <c r="M2" i="5"/>
  <c r="M3" i="5" s="1"/>
  <c r="N2" i="5"/>
  <c r="N3" i="5" s="1"/>
  <c r="O2" i="5"/>
  <c r="O3" i="5" s="1"/>
  <c r="P2" i="5"/>
  <c r="P3" i="5" s="1"/>
  <c r="Q2" i="5"/>
  <c r="Q3" i="5" s="1"/>
  <c r="T2" i="5"/>
  <c r="T3" i="5" s="1"/>
  <c r="U2" i="5"/>
  <c r="U3" i="5" s="1"/>
  <c r="V2" i="5"/>
  <c r="V3" i="5" s="1"/>
  <c r="W2" i="5"/>
  <c r="W3" i="5" s="1"/>
  <c r="X2" i="5"/>
  <c r="X3" i="5" s="1"/>
  <c r="Y2" i="5"/>
  <c r="Y3" i="5" s="1"/>
  <c r="AB2" i="5"/>
  <c r="AB3" i="5" s="1"/>
  <c r="AC2" i="5"/>
  <c r="AC3" i="5" s="1"/>
  <c r="AD2" i="5"/>
  <c r="AD3" i="5" s="1"/>
  <c r="AE2" i="5"/>
  <c r="AE3" i="5" s="1"/>
  <c r="AF2" i="5"/>
  <c r="AF3" i="5" s="1"/>
  <c r="AG2" i="5"/>
  <c r="AG3" i="5" s="1"/>
  <c r="D2" i="5"/>
  <c r="D3" i="5" s="1"/>
  <c r="AI4" i="3" l="1"/>
  <c r="N45" i="5" l="1"/>
  <c r="N45" i="3"/>
  <c r="N46" i="5"/>
  <c r="N46" i="3"/>
  <c r="AH1" i="2"/>
  <c r="AG1" i="2"/>
  <c r="AF1" i="2"/>
  <c r="AE1" i="2"/>
  <c r="AD1" i="2"/>
  <c r="AC1" i="2"/>
  <c r="AB1" i="2"/>
  <c r="AA1" i="2"/>
  <c r="Z1" i="2"/>
  <c r="Y1" i="2"/>
  <c r="X1" i="2"/>
  <c r="W1" i="2"/>
  <c r="V1" i="2"/>
  <c r="U1" i="2"/>
  <c r="T1" i="2"/>
  <c r="S1" i="2"/>
  <c r="R1" i="2"/>
  <c r="Q1" i="2"/>
  <c r="P1" i="2"/>
  <c r="O1" i="2"/>
  <c r="N1" i="2"/>
  <c r="M1" i="2"/>
  <c r="L1" i="2"/>
  <c r="K1" i="2"/>
  <c r="J1" i="2"/>
  <c r="I1" i="2"/>
  <c r="H1" i="2"/>
  <c r="G1" i="2"/>
  <c r="F1" i="2"/>
  <c r="E1" i="2"/>
  <c r="BQ47" i="2" l="1"/>
  <c r="BQ48" i="2"/>
  <c r="BQ49" i="2"/>
  <c r="BQ50" i="2"/>
  <c r="BQ51" i="2"/>
  <c r="BQ52" i="2"/>
  <c r="BQ53" i="2"/>
  <c r="BQ54" i="2"/>
  <c r="AO5" i="3" l="1"/>
  <c r="BR47" i="2"/>
  <c r="C3" i="3" l="1"/>
  <c r="AJ2" i="2" l="1"/>
  <c r="AK2" i="2" l="1"/>
  <c r="AJ3" i="2"/>
  <c r="AK3" i="2" l="1"/>
  <c r="AL2" i="2"/>
  <c r="AL3" i="2" l="1"/>
  <c r="AM2" i="2"/>
  <c r="AM3" i="2" l="1"/>
  <c r="AN2" i="2"/>
  <c r="AO2" i="2" l="1"/>
  <c r="AN3" i="2"/>
  <c r="AP2" i="2" l="1"/>
  <c r="AO3" i="2"/>
  <c r="AQ2" i="2" l="1"/>
  <c r="AP3" i="2"/>
  <c r="AQ3" i="2" l="1"/>
  <c r="AR2" i="2"/>
  <c r="AR3" i="2" l="1"/>
  <c r="AS2" i="2"/>
  <c r="AT2" i="2" l="1"/>
  <c r="AS3" i="2"/>
  <c r="AT3" i="2" l="1"/>
  <c r="AU2" i="2"/>
  <c r="AU3" i="2" l="1"/>
  <c r="AV2" i="2"/>
  <c r="AW2" i="2" l="1"/>
  <c r="AV3" i="2"/>
  <c r="AW3" i="2" l="1"/>
  <c r="AX2" i="2"/>
  <c r="AX3" i="2" l="1"/>
  <c r="AY2" i="2"/>
  <c r="AY3" i="2" l="1"/>
  <c r="AZ2" i="2"/>
  <c r="BA2" i="2" l="1"/>
  <c r="AZ3" i="2"/>
  <c r="BB2" i="2" l="1"/>
  <c r="BA3" i="2"/>
  <c r="BB3" i="2" l="1"/>
  <c r="BC2" i="2"/>
  <c r="BC3" i="2" l="1"/>
  <c r="BD2" i="2"/>
  <c r="BE2" i="2" l="1"/>
  <c r="BD3" i="2"/>
  <c r="BF2" i="2" l="1"/>
  <c r="BE3" i="2"/>
  <c r="BG2" i="2" l="1"/>
  <c r="BF3" i="2"/>
  <c r="BG3" i="2" l="1"/>
  <c r="BH2" i="2"/>
  <c r="BI2" i="2" l="1"/>
  <c r="BH3" i="2"/>
  <c r="BJ2" i="2" l="1"/>
  <c r="BI3" i="2"/>
  <c r="BJ3" i="2" l="1"/>
  <c r="BK2" i="2"/>
  <c r="BK3" i="2" l="1"/>
  <c r="BL2" i="2"/>
  <c r="BL3" i="2" l="1"/>
  <c r="BM2" i="2"/>
  <c r="BN2" i="2" l="1"/>
  <c r="BN3" i="2" s="1"/>
  <c r="BM3" i="2"/>
  <c r="B5" i="4" l="1"/>
  <c r="B23" i="4"/>
  <c r="B27" i="4"/>
  <c r="B22" i="4"/>
  <c r="B12" i="4"/>
  <c r="B26" i="4"/>
  <c r="B24" i="4"/>
  <c r="B15" i="4"/>
  <c r="B10" i="4"/>
  <c r="B6" i="4"/>
  <c r="B7" i="4"/>
  <c r="B29" i="4"/>
  <c r="B31" i="4"/>
  <c r="B14" i="4"/>
  <c r="B19" i="4"/>
  <c r="B4" i="4"/>
  <c r="B30" i="4"/>
  <c r="B18" i="4"/>
  <c r="B33" i="4"/>
  <c r="B9" i="4"/>
  <c r="B28" i="4"/>
  <c r="B32" i="4"/>
  <c r="B16" i="4"/>
  <c r="B21" i="4"/>
  <c r="B3" i="4"/>
  <c r="B17" i="4"/>
  <c r="B25" i="4"/>
  <c r="B11" i="4"/>
  <c r="B20" i="4"/>
  <c r="B13" i="4"/>
  <c r="B8" i="4"/>
  <c r="C21" i="4" l="1"/>
  <c r="C4" i="4"/>
  <c r="C29" i="4"/>
  <c r="C22" i="4"/>
  <c r="C13" i="4"/>
  <c r="C17" i="4"/>
  <c r="C32" i="4"/>
  <c r="C18" i="4"/>
  <c r="C14" i="4"/>
  <c r="C6" i="4"/>
  <c r="C26" i="4"/>
  <c r="C23" i="4"/>
  <c r="C20" i="4"/>
  <c r="C3" i="4"/>
  <c r="C28" i="4"/>
  <c r="C30" i="4"/>
  <c r="C31" i="4"/>
  <c r="C10" i="4"/>
  <c r="C12" i="4"/>
  <c r="C5" i="4"/>
  <c r="C11" i="4"/>
  <c r="C9" i="4"/>
  <c r="C15" i="4"/>
  <c r="C8" i="4"/>
  <c r="C25" i="4"/>
  <c r="C16" i="4"/>
  <c r="C33" i="4"/>
  <c r="C19" i="4"/>
  <c r="C7" i="4"/>
  <c r="C24" i="4"/>
  <c r="C27" i="4"/>
  <c r="AT46" i="2" l="1"/>
  <c r="A47" i="2" l="1"/>
  <c r="C47" i="2" l="1"/>
  <c r="A48" i="2"/>
  <c r="B47" i="2"/>
  <c r="C47" i="3" l="1"/>
  <c r="C47" i="5"/>
  <c r="AT45" i="2"/>
  <c r="C48" i="2"/>
  <c r="B48" i="2"/>
  <c r="A49" i="2"/>
  <c r="C48" i="3" l="1"/>
  <c r="C48" i="5"/>
  <c r="A50" i="2"/>
  <c r="B49" i="2"/>
  <c r="C49" i="2"/>
  <c r="C49" i="3" l="1"/>
  <c r="C49" i="5"/>
  <c r="C50" i="2"/>
  <c r="A51" i="2"/>
  <c r="B50" i="2"/>
  <c r="C50" i="3" l="1"/>
  <c r="C50" i="5"/>
  <c r="B51" i="2"/>
  <c r="C51" i="2"/>
  <c r="C51" i="3" l="1"/>
  <c r="C51" i="5"/>
  <c r="AT43" i="2" l="1"/>
  <c r="AT44" i="2" l="1"/>
  <c r="C2" i="2" l="1"/>
  <c r="A2" i="2"/>
  <c r="D48" i="2"/>
  <c r="D52" i="2"/>
  <c r="D47" i="2"/>
  <c r="D2" i="3"/>
  <c r="D3" i="3" s="1"/>
  <c r="D51" i="2"/>
  <c r="D50" i="2"/>
  <c r="D49" i="2"/>
  <c r="C2" i="3" l="1"/>
  <c r="C2" i="5"/>
  <c r="D49" i="3"/>
  <c r="D49" i="5"/>
  <c r="D50" i="3"/>
  <c r="D50" i="5"/>
  <c r="D51" i="3"/>
  <c r="D51" i="5"/>
  <c r="D47" i="3"/>
  <c r="D47" i="5"/>
  <c r="D48" i="3"/>
  <c r="D48" i="5"/>
  <c r="E2" i="3"/>
  <c r="E3" i="3" s="1"/>
  <c r="E49" i="2"/>
  <c r="E51" i="2"/>
  <c r="E48" i="2"/>
  <c r="E52" i="2"/>
  <c r="E50" i="2"/>
  <c r="E47" i="2"/>
  <c r="E50" i="3" l="1"/>
  <c r="E50" i="5"/>
  <c r="E49" i="3"/>
  <c r="E49" i="5"/>
  <c r="E51" i="3"/>
  <c r="E51" i="5"/>
  <c r="E48" i="3"/>
  <c r="E48" i="5"/>
  <c r="E47" i="3"/>
  <c r="E47" i="5"/>
  <c r="F52" i="2"/>
  <c r="F48" i="2"/>
  <c r="F50" i="2"/>
  <c r="F47" i="2"/>
  <c r="F51" i="2"/>
  <c r="F49" i="2"/>
  <c r="F2" i="3"/>
  <c r="F3" i="3" s="1"/>
  <c r="F49" i="3" l="1"/>
  <c r="F49" i="5"/>
  <c r="F51" i="3"/>
  <c r="F51" i="5"/>
  <c r="F48" i="3"/>
  <c r="F48" i="5"/>
  <c r="F47" i="3"/>
  <c r="F47" i="5"/>
  <c r="F50" i="3"/>
  <c r="F50" i="5"/>
  <c r="G2" i="3"/>
  <c r="G3" i="3" s="1"/>
  <c r="G47" i="2"/>
  <c r="G51" i="2"/>
  <c r="G48" i="2"/>
  <c r="G52" i="2"/>
  <c r="G50" i="2"/>
  <c r="G49" i="2"/>
  <c r="G50" i="3" l="1"/>
  <c r="G50" i="5"/>
  <c r="G48" i="3"/>
  <c r="G48" i="5"/>
  <c r="G51" i="3"/>
  <c r="G51" i="5"/>
  <c r="G47" i="3"/>
  <c r="G47" i="5"/>
  <c r="G49" i="3"/>
  <c r="G49" i="5"/>
  <c r="H47" i="2"/>
  <c r="H49" i="2"/>
  <c r="H2" i="3"/>
  <c r="H3" i="3" s="1"/>
  <c r="H52" i="2"/>
  <c r="H50" i="2"/>
  <c r="H51" i="2"/>
  <c r="H48" i="2"/>
  <c r="H50" i="3" l="1"/>
  <c r="H50" i="5"/>
  <c r="H48" i="3"/>
  <c r="H48" i="5"/>
  <c r="H51" i="3"/>
  <c r="H51" i="5"/>
  <c r="H49" i="3"/>
  <c r="H49" i="5"/>
  <c r="H47" i="3"/>
  <c r="H47" i="5"/>
  <c r="I51" i="2"/>
  <c r="I2" i="3"/>
  <c r="I3" i="3" s="1"/>
  <c r="I49" i="2"/>
  <c r="I52" i="2"/>
  <c r="I50" i="2"/>
  <c r="I47" i="2"/>
  <c r="I48" i="2"/>
  <c r="I47" i="3" l="1"/>
  <c r="I47" i="5"/>
  <c r="I50" i="3"/>
  <c r="I50" i="5"/>
  <c r="I49" i="3"/>
  <c r="I49" i="5"/>
  <c r="I51" i="3"/>
  <c r="I51" i="5"/>
  <c r="I48" i="3"/>
  <c r="I48" i="5"/>
  <c r="J49" i="2"/>
  <c r="J2" i="3"/>
  <c r="J3" i="3" s="1"/>
  <c r="J47" i="2"/>
  <c r="J48" i="2"/>
  <c r="J50" i="2"/>
  <c r="J51" i="2"/>
  <c r="J52" i="2"/>
  <c r="J51" i="3" l="1"/>
  <c r="J51" i="5"/>
  <c r="J50" i="3"/>
  <c r="J50" i="5"/>
  <c r="J47" i="3"/>
  <c r="J47" i="5"/>
  <c r="J49" i="3"/>
  <c r="J49" i="5"/>
  <c r="J48" i="3"/>
  <c r="J48" i="5"/>
  <c r="K52" i="2"/>
  <c r="K50" i="2"/>
  <c r="K48" i="2"/>
  <c r="K47" i="2"/>
  <c r="K2" i="3"/>
  <c r="K3" i="3" s="1"/>
  <c r="K49" i="2"/>
  <c r="K51" i="2"/>
  <c r="K47" i="3" l="1"/>
  <c r="K47" i="5"/>
  <c r="K48" i="3"/>
  <c r="K48" i="5"/>
  <c r="K50" i="3"/>
  <c r="K50" i="5"/>
  <c r="K49" i="3"/>
  <c r="K49" i="5"/>
  <c r="K51" i="3"/>
  <c r="K51" i="5"/>
  <c r="L51" i="2"/>
  <c r="L48" i="2"/>
  <c r="L2" i="3"/>
  <c r="L3" i="3" s="1"/>
  <c r="L47" i="2"/>
  <c r="L52" i="2"/>
  <c r="L50" i="2"/>
  <c r="L49" i="2"/>
  <c r="L49" i="3" l="1"/>
  <c r="L49" i="5"/>
  <c r="L48" i="3"/>
  <c r="L48" i="5"/>
  <c r="L47" i="3"/>
  <c r="L47" i="5"/>
  <c r="L50" i="3"/>
  <c r="L50" i="5"/>
  <c r="L51" i="3"/>
  <c r="L51" i="5"/>
  <c r="M51" i="2"/>
  <c r="M50" i="2"/>
  <c r="M48" i="2"/>
  <c r="M2" i="3"/>
  <c r="M3" i="3" s="1"/>
  <c r="M52" i="2"/>
  <c r="M49" i="2"/>
  <c r="M47" i="2"/>
  <c r="M50" i="3" l="1"/>
  <c r="M50" i="5"/>
  <c r="M49" i="3"/>
  <c r="M49" i="5"/>
  <c r="M47" i="3"/>
  <c r="M47" i="5"/>
  <c r="M48" i="3"/>
  <c r="M48" i="5"/>
  <c r="M51" i="3"/>
  <c r="M51" i="5"/>
  <c r="N52" i="2"/>
  <c r="N47" i="2"/>
  <c r="N50" i="2"/>
  <c r="N48" i="2"/>
  <c r="N49" i="2"/>
  <c r="N51" i="2"/>
  <c r="N2" i="3"/>
  <c r="N3" i="3" s="1"/>
  <c r="N49" i="3" l="1"/>
  <c r="N49" i="5"/>
  <c r="N50" i="3"/>
  <c r="N50" i="5"/>
  <c r="N48" i="3"/>
  <c r="N48" i="5"/>
  <c r="N47" i="3"/>
  <c r="N47" i="5"/>
  <c r="N51" i="3"/>
  <c r="N51" i="5"/>
  <c r="O48" i="2"/>
  <c r="O51" i="2"/>
  <c r="O49" i="2"/>
  <c r="O50" i="2"/>
  <c r="O47" i="2"/>
  <c r="O2" i="3"/>
  <c r="O3" i="3" s="1"/>
  <c r="O52" i="2"/>
  <c r="O49" i="3" l="1"/>
  <c r="O49" i="5"/>
  <c r="O51" i="3"/>
  <c r="O51" i="5"/>
  <c r="O48" i="3"/>
  <c r="O48" i="5"/>
  <c r="O47" i="3"/>
  <c r="O47" i="5"/>
  <c r="O50" i="3"/>
  <c r="O50" i="5"/>
  <c r="P50" i="2"/>
  <c r="P49" i="2"/>
  <c r="P47" i="2"/>
  <c r="P52" i="2"/>
  <c r="P48" i="2"/>
  <c r="P51" i="2"/>
  <c r="P2" i="3"/>
  <c r="P3" i="3" s="1"/>
  <c r="P47" i="3" l="1"/>
  <c r="P47" i="5"/>
  <c r="P49" i="3"/>
  <c r="P49" i="5"/>
  <c r="P51" i="3"/>
  <c r="P51" i="5"/>
  <c r="P48" i="3"/>
  <c r="P48" i="5"/>
  <c r="P50" i="3"/>
  <c r="P50" i="5"/>
  <c r="Q52" i="2"/>
  <c r="Q49" i="2"/>
  <c r="Q50" i="2"/>
  <c r="Q51" i="2"/>
  <c r="Q2" i="3"/>
  <c r="Q3" i="3" s="1"/>
  <c r="Q47" i="2"/>
  <c r="Q48" i="2"/>
  <c r="Q48" i="3" l="1"/>
  <c r="Q48" i="5"/>
  <c r="Q47" i="3"/>
  <c r="Q47" i="5"/>
  <c r="Q51" i="3"/>
  <c r="Q51" i="5"/>
  <c r="Q50" i="3"/>
  <c r="Q50" i="5"/>
  <c r="Q49" i="3"/>
  <c r="Q49" i="5"/>
  <c r="R49" i="2"/>
  <c r="R48" i="2"/>
  <c r="R50" i="2"/>
  <c r="R51" i="2"/>
  <c r="R2" i="3"/>
  <c r="R3" i="3" s="1"/>
  <c r="R52" i="2"/>
  <c r="R47" i="2"/>
  <c r="R50" i="3" l="1"/>
  <c r="R50" i="5"/>
  <c r="R48" i="3"/>
  <c r="R48" i="5"/>
  <c r="R47" i="3"/>
  <c r="R47" i="5"/>
  <c r="R51" i="3"/>
  <c r="R51" i="5"/>
  <c r="R49" i="3"/>
  <c r="R49" i="5"/>
  <c r="S2" i="3"/>
  <c r="S3" i="3" s="1"/>
  <c r="S51" i="2"/>
  <c r="S52" i="2"/>
  <c r="S50" i="2"/>
  <c r="S49" i="2"/>
  <c r="S48" i="2"/>
  <c r="S47" i="2"/>
  <c r="S47" i="3" l="1"/>
  <c r="S47" i="5"/>
  <c r="S49" i="3"/>
  <c r="S49" i="5"/>
  <c r="S50" i="3"/>
  <c r="S50" i="5"/>
  <c r="S48" i="3"/>
  <c r="S48" i="5"/>
  <c r="S51" i="3"/>
  <c r="S51" i="5"/>
  <c r="T48" i="2"/>
  <c r="T51" i="2"/>
  <c r="T49" i="2"/>
  <c r="T52" i="2"/>
  <c r="T47" i="2"/>
  <c r="T50" i="2"/>
  <c r="T2" i="3"/>
  <c r="T3" i="3" s="1"/>
  <c r="T50" i="3" l="1"/>
  <c r="T50" i="5"/>
  <c r="T47" i="3"/>
  <c r="T47" i="5"/>
  <c r="T51" i="3"/>
  <c r="T51" i="5"/>
  <c r="T48" i="3"/>
  <c r="T48" i="5"/>
  <c r="T49" i="3"/>
  <c r="T49" i="5"/>
  <c r="U50" i="2"/>
  <c r="U51" i="2"/>
  <c r="U2" i="3"/>
  <c r="U3" i="3" s="1"/>
  <c r="U48" i="2"/>
  <c r="U52" i="2"/>
  <c r="U49" i="2"/>
  <c r="U47" i="2"/>
  <c r="U48" i="3" l="1"/>
  <c r="U48" i="5"/>
  <c r="U47" i="3"/>
  <c r="U47" i="5"/>
  <c r="U49" i="3"/>
  <c r="U49" i="5"/>
  <c r="U50" i="3"/>
  <c r="U50" i="5"/>
  <c r="U51" i="3"/>
  <c r="U51" i="5"/>
  <c r="V2" i="3"/>
  <c r="V3" i="3" s="1"/>
  <c r="V47" i="2"/>
  <c r="V50" i="2"/>
  <c r="V52" i="2"/>
  <c r="V48" i="2"/>
  <c r="V51" i="2"/>
  <c r="V49" i="2"/>
  <c r="V49" i="3" l="1"/>
  <c r="V49" i="5"/>
  <c r="V48" i="3"/>
  <c r="V48" i="5"/>
  <c r="V50" i="3"/>
  <c r="V50" i="5"/>
  <c r="V51" i="3"/>
  <c r="V51" i="5"/>
  <c r="V47" i="3"/>
  <c r="V47" i="5"/>
  <c r="W51" i="2"/>
  <c r="W47" i="2"/>
  <c r="W50" i="2"/>
  <c r="W2" i="3"/>
  <c r="W3" i="3" s="1"/>
  <c r="W52" i="2"/>
  <c r="W48" i="2"/>
  <c r="W49" i="2"/>
  <c r="W48" i="3" l="1"/>
  <c r="W48" i="5"/>
  <c r="W47" i="3"/>
  <c r="W47" i="5"/>
  <c r="W50" i="3"/>
  <c r="W50" i="5"/>
  <c r="W51" i="3"/>
  <c r="W51" i="5"/>
  <c r="W49" i="3"/>
  <c r="W49" i="5"/>
  <c r="X50" i="2"/>
  <c r="X2" i="3"/>
  <c r="X3" i="3" s="1"/>
  <c r="X52" i="2"/>
  <c r="X48" i="2"/>
  <c r="X47" i="2"/>
  <c r="X49" i="2"/>
  <c r="X51" i="2"/>
  <c r="X51" i="3" l="1"/>
  <c r="X51" i="5"/>
  <c r="X49" i="3"/>
  <c r="X49" i="5"/>
  <c r="X47" i="3"/>
  <c r="X47" i="5"/>
  <c r="X48" i="3"/>
  <c r="X48" i="5"/>
  <c r="X50" i="3"/>
  <c r="X50" i="5"/>
  <c r="Y2" i="3"/>
  <c r="Y3" i="3" s="1"/>
  <c r="Y50" i="2"/>
  <c r="Y48" i="2"/>
  <c r="Y49" i="2"/>
  <c r="Y51" i="2"/>
  <c r="Y47" i="2"/>
  <c r="Y52" i="2"/>
  <c r="Y47" i="3" l="1"/>
  <c r="Y47" i="5"/>
  <c r="Y51" i="3"/>
  <c r="Y51" i="5"/>
  <c r="Y49" i="3"/>
  <c r="Y49" i="5"/>
  <c r="Y48" i="3"/>
  <c r="Y48" i="5"/>
  <c r="Y50" i="3"/>
  <c r="Y50" i="5"/>
  <c r="Z50" i="2"/>
  <c r="Z51" i="2"/>
  <c r="Z49" i="2"/>
  <c r="Z47" i="2"/>
  <c r="Z48" i="2"/>
  <c r="Z52" i="2"/>
  <c r="Z2" i="3"/>
  <c r="Z3" i="3" s="1"/>
  <c r="Z49" i="3" l="1"/>
  <c r="Z49" i="5"/>
  <c r="Z51" i="3"/>
  <c r="Z51" i="5"/>
  <c r="Z50" i="3"/>
  <c r="Z50" i="5"/>
  <c r="Z47" i="3"/>
  <c r="Z47" i="5"/>
  <c r="Z48" i="3"/>
  <c r="Z48" i="5"/>
  <c r="AA52" i="2"/>
  <c r="AA48" i="2"/>
  <c r="AA50" i="2"/>
  <c r="AA2" i="3"/>
  <c r="AA3" i="3" s="1"/>
  <c r="AA49" i="2"/>
  <c r="AA47" i="2"/>
  <c r="AA51" i="2"/>
  <c r="AA48" i="3" l="1"/>
  <c r="AA48" i="5"/>
  <c r="AA49" i="3"/>
  <c r="AA49" i="5"/>
  <c r="AA50" i="3"/>
  <c r="AA50" i="5"/>
  <c r="AA51" i="3"/>
  <c r="AA51" i="5"/>
  <c r="AA47" i="3"/>
  <c r="AA47" i="5"/>
  <c r="AB2" i="3"/>
  <c r="AB3" i="3" s="1"/>
  <c r="AB48" i="2"/>
  <c r="AB52" i="2"/>
  <c r="AB51" i="2"/>
  <c r="AB49" i="2"/>
  <c r="AB47" i="2"/>
  <c r="AB50" i="2"/>
  <c r="AB49" i="3" l="1"/>
  <c r="AB49" i="5"/>
  <c r="AB51" i="3"/>
  <c r="AB51" i="5"/>
  <c r="AB47" i="3"/>
  <c r="AB47" i="5"/>
  <c r="AB50" i="3"/>
  <c r="AB50" i="5"/>
  <c r="AB48" i="3"/>
  <c r="AB48" i="5"/>
  <c r="AC2" i="3"/>
  <c r="AC3" i="3" s="1"/>
  <c r="AC48" i="2"/>
  <c r="AC47" i="2"/>
  <c r="AC50" i="2"/>
  <c r="AC52" i="2"/>
  <c r="AC49" i="2"/>
  <c r="AC51" i="2"/>
  <c r="AC50" i="3" l="1"/>
  <c r="AC50" i="5"/>
  <c r="AC47" i="3"/>
  <c r="AC47" i="5"/>
  <c r="AC48" i="3"/>
  <c r="AC48" i="5"/>
  <c r="AC51" i="3"/>
  <c r="AC51" i="5"/>
  <c r="AC49" i="3"/>
  <c r="AC49" i="5"/>
  <c r="AD51" i="2"/>
  <c r="AD50" i="2"/>
  <c r="AD47" i="2"/>
  <c r="AD49" i="2"/>
  <c r="AD52" i="2"/>
  <c r="AD48" i="2"/>
  <c r="AD2" i="3"/>
  <c r="AD3" i="3" s="1"/>
  <c r="AD50" i="3" l="1"/>
  <c r="AD50" i="5"/>
  <c r="AD48" i="3"/>
  <c r="AD48" i="5"/>
  <c r="AD47" i="3"/>
  <c r="AD47" i="5"/>
  <c r="AD51" i="3"/>
  <c r="AD51" i="5"/>
  <c r="AD49" i="3"/>
  <c r="AD49" i="5"/>
  <c r="AE52" i="2"/>
  <c r="AE48" i="2"/>
  <c r="AE50" i="2"/>
  <c r="AE49" i="2"/>
  <c r="AE2" i="3"/>
  <c r="AE3" i="3" s="1"/>
  <c r="AE51" i="2"/>
  <c r="AE47" i="2"/>
  <c r="AE47" i="3" l="1"/>
  <c r="AE47" i="5"/>
  <c r="AE51" i="3"/>
  <c r="AE51" i="5"/>
  <c r="AE49" i="3"/>
  <c r="AE49" i="5"/>
  <c r="AE50" i="3"/>
  <c r="AE50" i="5"/>
  <c r="AE48" i="3"/>
  <c r="AE48" i="5"/>
  <c r="AF52" i="2"/>
  <c r="AF48" i="2"/>
  <c r="AF51" i="2"/>
  <c r="AF47" i="2"/>
  <c r="AF50" i="2"/>
  <c r="AF49" i="2"/>
  <c r="AF2" i="3"/>
  <c r="AF3" i="3" s="1"/>
  <c r="AF47" i="3" l="1"/>
  <c r="AF47" i="5"/>
  <c r="AF49" i="3"/>
  <c r="AF49" i="5"/>
  <c r="AF48" i="3"/>
  <c r="AF48" i="5"/>
  <c r="AF51" i="3"/>
  <c r="AF51" i="5"/>
  <c r="AF50" i="3"/>
  <c r="AF50" i="5"/>
  <c r="AG52" i="2"/>
  <c r="AG51" i="2"/>
  <c r="AG49" i="2"/>
  <c r="AG2" i="3"/>
  <c r="AG3" i="3" s="1"/>
  <c r="AG50" i="2"/>
  <c r="AG48" i="2"/>
  <c r="AG47" i="2"/>
  <c r="AG48" i="3" l="1"/>
  <c r="AG48" i="5"/>
  <c r="AG49" i="3"/>
  <c r="AG49" i="5"/>
  <c r="AG50" i="3"/>
  <c r="AG50" i="5"/>
  <c r="AG47" i="3"/>
  <c r="AG47" i="5"/>
  <c r="AG51" i="3"/>
  <c r="AG51" i="5"/>
  <c r="AH51" i="2"/>
  <c r="AH2" i="3"/>
  <c r="AH3" i="3" s="1"/>
  <c r="AH48" i="2"/>
  <c r="AH52" i="2"/>
  <c r="AH47" i="2"/>
  <c r="AH49" i="2"/>
  <c r="AH50" i="2"/>
  <c r="AH49" i="3" l="1"/>
  <c r="AH49" i="5"/>
  <c r="AH51" i="3"/>
  <c r="AH51" i="5"/>
  <c r="AH47" i="3"/>
  <c r="AH47" i="5"/>
  <c r="AH50" i="3"/>
  <c r="AH50" i="5"/>
  <c r="AH48" i="3"/>
  <c r="AH48" i="5"/>
  <c r="C4" i="2" l="1"/>
  <c r="B4" i="2"/>
  <c r="C4" i="5" l="1"/>
  <c r="C4" i="3"/>
  <c r="F4" i="2"/>
  <c r="G4" i="2"/>
  <c r="E4" i="2"/>
  <c r="D4" i="2"/>
  <c r="C5" i="2"/>
  <c r="B5" i="2"/>
  <c r="E4" i="3" l="1"/>
  <c r="AK4" i="2" s="1"/>
  <c r="E4" i="5"/>
  <c r="G4" i="3"/>
  <c r="AM4" i="2" s="1"/>
  <c r="G4" i="5"/>
  <c r="F4" i="5"/>
  <c r="F4" i="3"/>
  <c r="AL4" i="2" s="1"/>
  <c r="C5" i="5"/>
  <c r="C5" i="3"/>
  <c r="D4" i="5"/>
  <c r="AJ4" i="2"/>
  <c r="G5" i="2"/>
  <c r="H5" i="2"/>
  <c r="D5" i="2"/>
  <c r="F5" i="2"/>
  <c r="E5" i="2"/>
  <c r="C6" i="2"/>
  <c r="B6" i="2"/>
  <c r="E5" i="5" l="1"/>
  <c r="E5" i="3"/>
  <c r="AK5" i="2" s="1"/>
  <c r="F5" i="3"/>
  <c r="AL5" i="2" s="1"/>
  <c r="F5" i="5"/>
  <c r="D5" i="5"/>
  <c r="D5" i="3"/>
  <c r="AJ5" i="2" s="1"/>
  <c r="H5" i="3"/>
  <c r="AN5" i="2" s="1"/>
  <c r="H5" i="5"/>
  <c r="C6" i="5"/>
  <c r="C6" i="3"/>
  <c r="G5" i="3"/>
  <c r="G5" i="5"/>
  <c r="H4" i="2"/>
  <c r="I4" i="2"/>
  <c r="H6" i="2"/>
  <c r="D6" i="2"/>
  <c r="I6" i="2"/>
  <c r="G6" i="2"/>
  <c r="F6" i="2"/>
  <c r="E6" i="2"/>
  <c r="I5" i="2"/>
  <c r="B7" i="2"/>
  <c r="C7" i="2"/>
  <c r="J4" i="2"/>
  <c r="E6" i="3" l="1"/>
  <c r="AK6" i="2" s="1"/>
  <c r="E6" i="5"/>
  <c r="C7" i="5"/>
  <c r="C7" i="3"/>
  <c r="F6" i="5"/>
  <c r="F6" i="3"/>
  <c r="AL6" i="2" s="1"/>
  <c r="H4" i="5"/>
  <c r="H4" i="3"/>
  <c r="AN4" i="2" s="1"/>
  <c r="AM5" i="2"/>
  <c r="I5" i="3"/>
  <c r="AO5" i="2" s="1"/>
  <c r="I5" i="5"/>
  <c r="G6" i="5"/>
  <c r="G6" i="3"/>
  <c r="AM6" i="2" s="1"/>
  <c r="J4" i="5"/>
  <c r="J4" i="3"/>
  <c r="AP4" i="2" s="1"/>
  <c r="I6" i="5"/>
  <c r="I6" i="3"/>
  <c r="AO6" i="2" s="1"/>
  <c r="D6" i="5"/>
  <c r="D6" i="3"/>
  <c r="AJ6" i="2" s="1"/>
  <c r="H6" i="5"/>
  <c r="H6" i="3"/>
  <c r="AN6" i="2" s="1"/>
  <c r="I4" i="3"/>
  <c r="I4" i="5"/>
  <c r="J7" i="2"/>
  <c r="J6" i="2"/>
  <c r="I7" i="2"/>
  <c r="E7" i="2"/>
  <c r="G7" i="2"/>
  <c r="F7" i="2"/>
  <c r="H7" i="2"/>
  <c r="D7" i="2"/>
  <c r="J5" i="2"/>
  <c r="C8" i="2"/>
  <c r="I7" i="3" l="1"/>
  <c r="I7" i="5"/>
  <c r="E7" i="3"/>
  <c r="E7" i="5"/>
  <c r="J8" i="2"/>
  <c r="B8" i="2"/>
  <c r="J6" i="5"/>
  <c r="J6" i="3"/>
  <c r="AP6" i="2" s="1"/>
  <c r="J7" i="3"/>
  <c r="AP7" i="2" s="1"/>
  <c r="J7" i="5"/>
  <c r="C8" i="5"/>
  <c r="C8" i="3"/>
  <c r="J5" i="3"/>
  <c r="AP5" i="2" s="1"/>
  <c r="J5" i="5"/>
  <c r="D7" i="5"/>
  <c r="D7" i="3"/>
  <c r="AJ7" i="2" s="1"/>
  <c r="H7" i="5"/>
  <c r="H7" i="3"/>
  <c r="F7" i="3"/>
  <c r="AL7" i="2" s="1"/>
  <c r="F7" i="5"/>
  <c r="AO4" i="2"/>
  <c r="G7" i="3"/>
  <c r="AM7" i="2" s="1"/>
  <c r="G7" i="5"/>
  <c r="F8" i="2"/>
  <c r="H8" i="2"/>
  <c r="G8" i="2"/>
  <c r="I8" i="2"/>
  <c r="E8" i="2"/>
  <c r="D8" i="2"/>
  <c r="K8" i="2"/>
  <c r="K4" i="2"/>
  <c r="K5" i="2"/>
  <c r="K6" i="2"/>
  <c r="K7" i="2"/>
  <c r="C9" i="2"/>
  <c r="B9" i="2"/>
  <c r="K5" i="3" l="1"/>
  <c r="AQ5" i="2" s="1"/>
  <c r="K5" i="5"/>
  <c r="F8" i="3"/>
  <c r="AL8" i="2" s="1"/>
  <c r="F8" i="5"/>
  <c r="J8" i="3"/>
  <c r="AP8" i="2" s="1"/>
  <c r="J8" i="5"/>
  <c r="AO7" i="2"/>
  <c r="H8" i="3"/>
  <c r="AN8" i="2" s="1"/>
  <c r="H8" i="5"/>
  <c r="K4" i="3"/>
  <c r="AQ4" i="2" s="1"/>
  <c r="K4" i="5"/>
  <c r="K6" i="3"/>
  <c r="AQ6" i="2" s="1"/>
  <c r="K6" i="5"/>
  <c r="K8" i="3"/>
  <c r="AQ8" i="2" s="1"/>
  <c r="K8" i="5"/>
  <c r="D8" i="5"/>
  <c r="D8" i="3"/>
  <c r="AJ8" i="2" s="1"/>
  <c r="C9" i="5"/>
  <c r="C9" i="3"/>
  <c r="E8" i="5"/>
  <c r="E8" i="3"/>
  <c r="AK8" i="2" s="1"/>
  <c r="I8" i="3"/>
  <c r="AO8" i="2" s="1"/>
  <c r="I8" i="5"/>
  <c r="AK7" i="2"/>
  <c r="K7" i="5"/>
  <c r="K7" i="3"/>
  <c r="AQ7" i="2" s="1"/>
  <c r="G8" i="3"/>
  <c r="AM8" i="2" s="1"/>
  <c r="G8" i="5"/>
  <c r="AN7" i="2"/>
  <c r="L8" i="2"/>
  <c r="L4" i="2"/>
  <c r="L5" i="2"/>
  <c r="L6" i="2"/>
  <c r="L7" i="2"/>
  <c r="G9" i="2"/>
  <c r="E9" i="2"/>
  <c r="L9" i="2"/>
  <c r="F9" i="2"/>
  <c r="I9" i="2"/>
  <c r="D9" i="2"/>
  <c r="B10" i="2"/>
  <c r="C10" i="2"/>
  <c r="C10" i="5" l="1"/>
  <c r="C10" i="3"/>
  <c r="D9" i="5"/>
  <c r="D9" i="3"/>
  <c r="AJ9" i="2" s="1"/>
  <c r="I9" i="3"/>
  <c r="AO9" i="2" s="1"/>
  <c r="I9" i="5"/>
  <c r="L7" i="3"/>
  <c r="AR7" i="2" s="1"/>
  <c r="L7" i="5"/>
  <c r="F9" i="3"/>
  <c r="AL9" i="2" s="1"/>
  <c r="F9" i="5"/>
  <c r="L6" i="3"/>
  <c r="AR6" i="2" s="1"/>
  <c r="L6" i="5"/>
  <c r="J9" i="2"/>
  <c r="L5" i="3"/>
  <c r="AR5" i="2" s="1"/>
  <c r="L5" i="5"/>
  <c r="H9" i="2"/>
  <c r="L4" i="5"/>
  <c r="L4" i="3"/>
  <c r="AR4" i="2" s="1"/>
  <c r="K9" i="2"/>
  <c r="L9" i="5"/>
  <c r="L9" i="3"/>
  <c r="AR9" i="2" s="1"/>
  <c r="L8" i="5"/>
  <c r="L8" i="3"/>
  <c r="AR8" i="2" s="1"/>
  <c r="E9" i="3"/>
  <c r="AK9" i="2" s="1"/>
  <c r="E9" i="5"/>
  <c r="G9" i="3"/>
  <c r="AM9" i="2" s="1"/>
  <c r="G9" i="5"/>
  <c r="L10" i="2"/>
  <c r="H10" i="2"/>
  <c r="D10" i="2"/>
  <c r="F10" i="2"/>
  <c r="I10" i="2"/>
  <c r="K10" i="2"/>
  <c r="G10" i="2"/>
  <c r="J10" i="2"/>
  <c r="M10" i="2"/>
  <c r="E10" i="2"/>
  <c r="M4" i="2"/>
  <c r="M5" i="2"/>
  <c r="M6" i="2"/>
  <c r="M7" i="2"/>
  <c r="M8" i="2"/>
  <c r="M9" i="2"/>
  <c r="C11" i="2"/>
  <c r="B11" i="2"/>
  <c r="C11" i="5" l="1"/>
  <c r="C11" i="3"/>
  <c r="L10" i="3"/>
  <c r="AR10" i="2" s="1"/>
  <c r="L10" i="5"/>
  <c r="M9" i="5"/>
  <c r="M9" i="3"/>
  <c r="AS9" i="2" s="1"/>
  <c r="J10" i="3"/>
  <c r="AP10" i="2" s="1"/>
  <c r="J10" i="5"/>
  <c r="K9" i="3"/>
  <c r="AQ9" i="2" s="1"/>
  <c r="K9" i="5"/>
  <c r="G10" i="3"/>
  <c r="AM10" i="2" s="1"/>
  <c r="G10" i="5"/>
  <c r="M10" i="5"/>
  <c r="M10" i="3"/>
  <c r="AS10" i="2" s="1"/>
  <c r="M8" i="3"/>
  <c r="AS8" i="2" s="1"/>
  <c r="M8" i="5"/>
  <c r="M7" i="3"/>
  <c r="AS7" i="2" s="1"/>
  <c r="M7" i="5"/>
  <c r="K10" i="3"/>
  <c r="AQ10" i="2" s="1"/>
  <c r="K10" i="5"/>
  <c r="M6" i="3"/>
  <c r="AS6" i="2" s="1"/>
  <c r="M6" i="5"/>
  <c r="I10" i="3"/>
  <c r="AO10" i="2" s="1"/>
  <c r="I10" i="5"/>
  <c r="M5" i="5"/>
  <c r="M5" i="3"/>
  <c r="AS5" i="2" s="1"/>
  <c r="F10" i="3"/>
  <c r="AL10" i="2" s="1"/>
  <c r="F10" i="5"/>
  <c r="J9" i="5"/>
  <c r="J9" i="3"/>
  <c r="AP9" i="2" s="1"/>
  <c r="M4" i="3"/>
  <c r="M4" i="5"/>
  <c r="D10" i="5"/>
  <c r="D10" i="3"/>
  <c r="AJ10" i="2" s="1"/>
  <c r="E10" i="3"/>
  <c r="AK10" i="2" s="1"/>
  <c r="E10" i="5"/>
  <c r="H10" i="5"/>
  <c r="H10" i="3"/>
  <c r="AN10" i="2" s="1"/>
  <c r="H9" i="3"/>
  <c r="AN9" i="2" s="1"/>
  <c r="H9" i="5"/>
  <c r="N10" i="2"/>
  <c r="M11" i="2"/>
  <c r="I11" i="2"/>
  <c r="E11" i="2"/>
  <c r="G11" i="2"/>
  <c r="J11" i="2"/>
  <c r="L11" i="2"/>
  <c r="H11" i="2"/>
  <c r="D11" i="2"/>
  <c r="K11" i="2"/>
  <c r="N11" i="2"/>
  <c r="F11" i="2"/>
  <c r="N4" i="2"/>
  <c r="N5" i="2"/>
  <c r="N6" i="2"/>
  <c r="N7" i="2"/>
  <c r="N8" i="2"/>
  <c r="N9" i="2"/>
  <c r="C12" i="2"/>
  <c r="C12" i="5" l="1"/>
  <c r="C12" i="3"/>
  <c r="N7" i="3"/>
  <c r="AT7" i="2" s="1"/>
  <c r="N7" i="5"/>
  <c r="H11" i="3"/>
  <c r="AN11" i="2" s="1"/>
  <c r="H11" i="5"/>
  <c r="D11" i="3"/>
  <c r="D11" i="5"/>
  <c r="N6" i="5"/>
  <c r="N6" i="3"/>
  <c r="AT6" i="2" s="1"/>
  <c r="L11" i="3"/>
  <c r="AR11" i="2" s="1"/>
  <c r="L11" i="5"/>
  <c r="N5" i="3"/>
  <c r="AT5" i="2" s="1"/>
  <c r="N5" i="5"/>
  <c r="J11" i="3"/>
  <c r="AP11" i="2" s="1"/>
  <c r="J11" i="5"/>
  <c r="I12" i="2"/>
  <c r="B12" i="2"/>
  <c r="N4" i="3"/>
  <c r="N4" i="5"/>
  <c r="G11" i="5"/>
  <c r="G11" i="3"/>
  <c r="AM11" i="2" s="1"/>
  <c r="N10" i="3"/>
  <c r="AT10" i="2" s="1"/>
  <c r="N10" i="5"/>
  <c r="F11" i="5"/>
  <c r="F11" i="3"/>
  <c r="AL11" i="2" s="1"/>
  <c r="E11" i="3"/>
  <c r="AK11" i="2" s="1"/>
  <c r="E11" i="5"/>
  <c r="N8" i="5"/>
  <c r="N8" i="3"/>
  <c r="AT8" i="2" s="1"/>
  <c r="N11" i="3"/>
  <c r="AT11" i="2" s="1"/>
  <c r="N11" i="5"/>
  <c r="I11" i="3"/>
  <c r="AO11" i="2" s="1"/>
  <c r="I11" i="5"/>
  <c r="AS4" i="2"/>
  <c r="N9" i="3"/>
  <c r="AT9" i="2" s="1"/>
  <c r="N9" i="5"/>
  <c r="K11" i="3"/>
  <c r="AQ11" i="2" s="1"/>
  <c r="K11" i="5"/>
  <c r="M11" i="3"/>
  <c r="M11" i="5"/>
  <c r="O11" i="2"/>
  <c r="O4" i="2"/>
  <c r="O5" i="2"/>
  <c r="O6" i="2"/>
  <c r="O7" i="2"/>
  <c r="O8" i="2"/>
  <c r="O9" i="2"/>
  <c r="O10" i="2"/>
  <c r="N12" i="2"/>
  <c r="J12" i="2"/>
  <c r="F12" i="2"/>
  <c r="M12" i="2"/>
  <c r="H12" i="2"/>
  <c r="L12" i="2"/>
  <c r="K12" i="2"/>
  <c r="O12" i="2"/>
  <c r="G12" i="2"/>
  <c r="D12" i="2"/>
  <c r="B13" i="2"/>
  <c r="C13" i="2"/>
  <c r="M12" i="5" l="1"/>
  <c r="M12" i="3"/>
  <c r="AS12" i="2" s="1"/>
  <c r="O6" i="3"/>
  <c r="AU6" i="2" s="1"/>
  <c r="O6" i="5"/>
  <c r="E12" i="2"/>
  <c r="D12" i="5"/>
  <c r="D12" i="3"/>
  <c r="AJ12" i="2" s="1"/>
  <c r="F12" i="3"/>
  <c r="AL12" i="2" s="1"/>
  <c r="F12" i="5"/>
  <c r="O5" i="5"/>
  <c r="O5" i="3"/>
  <c r="AU5" i="2" s="1"/>
  <c r="I12" i="3"/>
  <c r="AO12" i="2" s="1"/>
  <c r="I12" i="5"/>
  <c r="G12" i="3"/>
  <c r="AM12" i="2" s="1"/>
  <c r="G12" i="5"/>
  <c r="J12" i="5"/>
  <c r="J12" i="3"/>
  <c r="AP12" i="2"/>
  <c r="O4" i="3"/>
  <c r="AU4" i="2" s="1"/>
  <c r="O4" i="5"/>
  <c r="O7" i="3"/>
  <c r="AU7" i="2" s="1"/>
  <c r="O7" i="5"/>
  <c r="C13" i="5"/>
  <c r="C13" i="3"/>
  <c r="O12" i="5"/>
  <c r="O12" i="3"/>
  <c r="AU12" i="2" s="1"/>
  <c r="N12" i="3"/>
  <c r="AT12" i="2" s="1"/>
  <c r="N12" i="5"/>
  <c r="O11" i="5"/>
  <c r="O11" i="3"/>
  <c r="AU11" i="2" s="1"/>
  <c r="AS11" i="2"/>
  <c r="K12" i="5"/>
  <c r="K12" i="3"/>
  <c r="AQ12" i="2"/>
  <c r="O10" i="5"/>
  <c r="O10" i="3"/>
  <c r="AU10" i="2" s="1"/>
  <c r="L12" i="3"/>
  <c r="L12" i="5"/>
  <c r="O9" i="3"/>
  <c r="AU9" i="2" s="1"/>
  <c r="O9" i="5"/>
  <c r="AT4" i="2"/>
  <c r="AJ11" i="2"/>
  <c r="H12" i="5"/>
  <c r="H12" i="3"/>
  <c r="AN12" i="2" s="1"/>
  <c r="O8" i="5"/>
  <c r="O8" i="3"/>
  <c r="AU8" i="2" s="1"/>
  <c r="P4" i="2"/>
  <c r="P5" i="2"/>
  <c r="P6" i="2"/>
  <c r="P7" i="2"/>
  <c r="P8" i="2"/>
  <c r="P9" i="2"/>
  <c r="P10" i="2"/>
  <c r="P11" i="2"/>
  <c r="P12" i="2"/>
  <c r="O13" i="2"/>
  <c r="K13" i="2"/>
  <c r="G13" i="2"/>
  <c r="N13" i="2"/>
  <c r="J13" i="2"/>
  <c r="F13" i="2"/>
  <c r="I13" i="2"/>
  <c r="L13" i="2"/>
  <c r="P13" i="2"/>
  <c r="H13" i="2"/>
  <c r="M13" i="2"/>
  <c r="E13" i="2"/>
  <c r="D13" i="2"/>
  <c r="C14" i="2"/>
  <c r="C14" i="5" l="1"/>
  <c r="C14" i="3"/>
  <c r="E13" i="5"/>
  <c r="E13" i="3"/>
  <c r="AK13" i="2" s="1"/>
  <c r="N13" i="5"/>
  <c r="N13" i="3"/>
  <c r="AT13" i="2" s="1"/>
  <c r="P8" i="5"/>
  <c r="P8" i="3"/>
  <c r="AV8" i="2" s="1"/>
  <c r="M13" i="5"/>
  <c r="M13" i="3"/>
  <c r="AS13" i="2" s="1"/>
  <c r="G13" i="5"/>
  <c r="G13" i="3"/>
  <c r="AM13" i="2"/>
  <c r="P7" i="3"/>
  <c r="AV7" i="2" s="1"/>
  <c r="P7" i="5"/>
  <c r="H14" i="2"/>
  <c r="B14" i="2"/>
  <c r="P6" i="5"/>
  <c r="P6" i="3"/>
  <c r="AV6" i="2" s="1"/>
  <c r="E12" i="3"/>
  <c r="AK12" i="2" s="1"/>
  <c r="E12" i="5"/>
  <c r="P13" i="3"/>
  <c r="AV13" i="2" s="1"/>
  <c r="P13" i="5"/>
  <c r="O13" i="5"/>
  <c r="O13" i="3"/>
  <c r="AU13" i="2" s="1"/>
  <c r="P5" i="5"/>
  <c r="P5" i="3"/>
  <c r="AV5" i="2" s="1"/>
  <c r="K13" i="3"/>
  <c r="AQ13" i="2" s="1"/>
  <c r="K13" i="5"/>
  <c r="L13" i="3"/>
  <c r="L13" i="5"/>
  <c r="P12" i="5"/>
  <c r="P12" i="3"/>
  <c r="AV12" i="2" s="1"/>
  <c r="P4" i="3"/>
  <c r="AV4" i="2" s="1"/>
  <c r="P4" i="5"/>
  <c r="H13" i="5"/>
  <c r="H13" i="3"/>
  <c r="AN13" i="2" s="1"/>
  <c r="I13" i="5"/>
  <c r="I13" i="3"/>
  <c r="AO13" i="2" s="1"/>
  <c r="P11" i="3"/>
  <c r="AV11" i="2" s="1"/>
  <c r="P11" i="5"/>
  <c r="F13" i="5"/>
  <c r="F13" i="3"/>
  <c r="AL13" i="2" s="1"/>
  <c r="P10" i="3"/>
  <c r="AV10" i="2" s="1"/>
  <c r="P10" i="5"/>
  <c r="AR12" i="2"/>
  <c r="D13" i="5"/>
  <c r="D13" i="3"/>
  <c r="AJ13" i="2" s="1"/>
  <c r="J13" i="5"/>
  <c r="J13" i="3"/>
  <c r="AP13" i="2" s="1"/>
  <c r="P9" i="5"/>
  <c r="P9" i="3"/>
  <c r="AV9" i="2" s="1"/>
  <c r="Q4" i="2"/>
  <c r="Q5" i="2"/>
  <c r="Q6" i="2"/>
  <c r="Q7" i="2"/>
  <c r="Q8" i="2"/>
  <c r="Q9" i="2"/>
  <c r="Q10" i="2"/>
  <c r="Q11" i="2"/>
  <c r="Q12" i="2"/>
  <c r="Q13" i="2"/>
  <c r="P14" i="2"/>
  <c r="L14" i="2"/>
  <c r="D14" i="2"/>
  <c r="O14" i="2"/>
  <c r="K14" i="2"/>
  <c r="G14" i="2"/>
  <c r="J14" i="2"/>
  <c r="F14" i="2"/>
  <c r="M14" i="2"/>
  <c r="Q14" i="2"/>
  <c r="I14" i="2"/>
  <c r="N14" i="2"/>
  <c r="E14" i="2"/>
  <c r="B15" i="2"/>
  <c r="C15" i="2"/>
  <c r="N14" i="5" l="1"/>
  <c r="N14" i="3"/>
  <c r="AT14" i="2" s="1"/>
  <c r="O14" i="5"/>
  <c r="O14" i="3"/>
  <c r="AU14" i="2" s="1"/>
  <c r="Q9" i="3"/>
  <c r="AW9" i="2" s="1"/>
  <c r="Q9" i="5"/>
  <c r="I14" i="3"/>
  <c r="AO14" i="2" s="1"/>
  <c r="I14" i="5"/>
  <c r="D14" i="5"/>
  <c r="D14" i="3"/>
  <c r="AJ14" i="2" s="1"/>
  <c r="Q8" i="3"/>
  <c r="AW8" i="2" s="1"/>
  <c r="Q8" i="5"/>
  <c r="Q14" i="3"/>
  <c r="AW14" i="2" s="1"/>
  <c r="Q14" i="5"/>
  <c r="L14" i="3"/>
  <c r="AR14" i="2" s="1"/>
  <c r="L14" i="5"/>
  <c r="Q7" i="5"/>
  <c r="Q7" i="3"/>
  <c r="AW7" i="2" s="1"/>
  <c r="M14" i="3"/>
  <c r="M14" i="5"/>
  <c r="P14" i="3"/>
  <c r="AV14" i="2" s="1"/>
  <c r="P14" i="5"/>
  <c r="Q6" i="3"/>
  <c r="AW6" i="2" s="1"/>
  <c r="Q6" i="5"/>
  <c r="C15" i="5"/>
  <c r="C15" i="3"/>
  <c r="F14" i="3"/>
  <c r="AL14" i="2" s="1"/>
  <c r="F14" i="5"/>
  <c r="Q13" i="5"/>
  <c r="Q13" i="3"/>
  <c r="AW13" i="2" s="1"/>
  <c r="Q5" i="5"/>
  <c r="Q5" i="3"/>
  <c r="AW5" i="2" s="1"/>
  <c r="H14" i="3"/>
  <c r="AN14" i="2" s="1"/>
  <c r="H14" i="5"/>
  <c r="J14" i="3"/>
  <c r="AP14" i="2" s="1"/>
  <c r="J14" i="5"/>
  <c r="Q12" i="3"/>
  <c r="AW12" i="2" s="1"/>
  <c r="Q12" i="5"/>
  <c r="Q4" i="3"/>
  <c r="AW4" i="2" s="1"/>
  <c r="Q4" i="5"/>
  <c r="AR13" i="2"/>
  <c r="G14" i="5"/>
  <c r="G14" i="3"/>
  <c r="AM14" i="2" s="1"/>
  <c r="Q11" i="3"/>
  <c r="AW11" i="2" s="1"/>
  <c r="Q11" i="5"/>
  <c r="E14" i="5"/>
  <c r="E14" i="3"/>
  <c r="AK14" i="2" s="1"/>
  <c r="K14" i="5"/>
  <c r="K14" i="3"/>
  <c r="AQ14" i="2" s="1"/>
  <c r="Q10" i="5"/>
  <c r="Q10" i="3"/>
  <c r="AW10" i="2" s="1"/>
  <c r="R14" i="2"/>
  <c r="R4" i="2"/>
  <c r="R5" i="2"/>
  <c r="R6" i="2"/>
  <c r="R7" i="2"/>
  <c r="R8" i="2"/>
  <c r="R9" i="2"/>
  <c r="R10" i="2"/>
  <c r="R11" i="2"/>
  <c r="R12" i="2"/>
  <c r="R13" i="2"/>
  <c r="Q15" i="2"/>
  <c r="M15" i="2"/>
  <c r="I15" i="2"/>
  <c r="E15" i="2"/>
  <c r="P15" i="2"/>
  <c r="L15" i="2"/>
  <c r="H15" i="2"/>
  <c r="D15" i="2"/>
  <c r="K15" i="2"/>
  <c r="O15" i="2"/>
  <c r="F15" i="2"/>
  <c r="R15" i="2"/>
  <c r="J15" i="2"/>
  <c r="G15" i="2"/>
  <c r="N15" i="2"/>
  <c r="B16" i="2"/>
  <c r="C16" i="2"/>
  <c r="D15" i="3" l="1"/>
  <c r="AJ15" i="2" s="1"/>
  <c r="D15" i="5"/>
  <c r="R13" i="3"/>
  <c r="AX13" i="2" s="1"/>
  <c r="R13" i="5"/>
  <c r="R5" i="3"/>
  <c r="AX5" i="2" s="1"/>
  <c r="R5" i="5"/>
  <c r="C16" i="5"/>
  <c r="C16" i="3"/>
  <c r="N15" i="3"/>
  <c r="AT15" i="2" s="1"/>
  <c r="N15" i="5"/>
  <c r="H15" i="3"/>
  <c r="AN15" i="2" s="1"/>
  <c r="H15" i="5"/>
  <c r="R12" i="5"/>
  <c r="R12" i="3"/>
  <c r="AX12" i="2" s="1"/>
  <c r="R4" i="3"/>
  <c r="AX4" i="2" s="1"/>
  <c r="R4" i="5"/>
  <c r="G15" i="3"/>
  <c r="AM15" i="2" s="1"/>
  <c r="G15" i="5"/>
  <c r="L15" i="5"/>
  <c r="L15" i="3"/>
  <c r="AR15" i="2" s="1"/>
  <c r="R11" i="5"/>
  <c r="R11" i="3"/>
  <c r="AX11" i="2" s="1"/>
  <c r="R14" i="5"/>
  <c r="R14" i="3"/>
  <c r="AX14" i="2" s="1"/>
  <c r="J15" i="5"/>
  <c r="J15" i="3"/>
  <c r="AP15" i="2" s="1"/>
  <c r="P15" i="3"/>
  <c r="AV15" i="2" s="1"/>
  <c r="P15" i="5"/>
  <c r="R10" i="3"/>
  <c r="AX10" i="2" s="1"/>
  <c r="R10" i="5"/>
  <c r="R15" i="3"/>
  <c r="AX15" i="2" s="1"/>
  <c r="R15" i="5"/>
  <c r="E15" i="3"/>
  <c r="AK15" i="2" s="1"/>
  <c r="E15" i="5"/>
  <c r="R9" i="5"/>
  <c r="R9" i="3"/>
  <c r="AX9" i="2" s="1"/>
  <c r="F15" i="5"/>
  <c r="F15" i="3"/>
  <c r="AL15" i="2" s="1"/>
  <c r="I15" i="3"/>
  <c r="AO15" i="2" s="1"/>
  <c r="I15" i="5"/>
  <c r="R8" i="3"/>
  <c r="AX8" i="2" s="1"/>
  <c r="R8" i="5"/>
  <c r="O15" i="5"/>
  <c r="O15" i="3"/>
  <c r="AU15" i="2" s="1"/>
  <c r="M15" i="3"/>
  <c r="AS15" i="2" s="1"/>
  <c r="M15" i="5"/>
  <c r="R7" i="5"/>
  <c r="R7" i="3"/>
  <c r="AX7" i="2" s="1"/>
  <c r="AS14" i="2"/>
  <c r="K15" i="5"/>
  <c r="K15" i="3"/>
  <c r="AQ15" i="2" s="1"/>
  <c r="Q15" i="5"/>
  <c r="Q15" i="3"/>
  <c r="AW15" i="2" s="1"/>
  <c r="R6" i="3"/>
  <c r="AX6" i="2" s="1"/>
  <c r="R6" i="5"/>
  <c r="S15" i="2"/>
  <c r="J16" i="2"/>
  <c r="F16" i="2"/>
  <c r="Q16" i="2"/>
  <c r="M16" i="2"/>
  <c r="I16" i="2"/>
  <c r="L16" i="2"/>
  <c r="D16" i="2"/>
  <c r="P16" i="2"/>
  <c r="G16" i="2"/>
  <c r="S16" i="2"/>
  <c r="H16" i="2"/>
  <c r="O16" i="2"/>
  <c r="S4" i="2"/>
  <c r="S5" i="2"/>
  <c r="S6" i="2"/>
  <c r="S7" i="2"/>
  <c r="S8" i="2"/>
  <c r="S9" i="2"/>
  <c r="S10" i="2"/>
  <c r="S11" i="2"/>
  <c r="S12" i="2"/>
  <c r="S13" i="2"/>
  <c r="S14" i="2"/>
  <c r="B17" i="2"/>
  <c r="C17" i="2"/>
  <c r="D16" i="3" l="1"/>
  <c r="AJ16" i="2" s="1"/>
  <c r="D16" i="5"/>
  <c r="N16" i="2"/>
  <c r="S14" i="5"/>
  <c r="S14" i="3"/>
  <c r="AY14" i="2" s="1"/>
  <c r="P16" i="3"/>
  <c r="AV16" i="2" s="1"/>
  <c r="P16" i="5"/>
  <c r="S13" i="3"/>
  <c r="AY13" i="2" s="1"/>
  <c r="S13" i="5"/>
  <c r="S12" i="3"/>
  <c r="AY12" i="2" s="1"/>
  <c r="S12" i="5"/>
  <c r="S4" i="3"/>
  <c r="AY4" i="2" s="1"/>
  <c r="S4" i="5"/>
  <c r="L16" i="3"/>
  <c r="AR16" i="2" s="1"/>
  <c r="L16" i="5"/>
  <c r="R16" i="2"/>
  <c r="S11" i="5"/>
  <c r="S11" i="3"/>
  <c r="AY11" i="2" s="1"/>
  <c r="O16" i="3"/>
  <c r="AU16" i="2" s="1"/>
  <c r="O16" i="5"/>
  <c r="E16" i="2"/>
  <c r="S10" i="5"/>
  <c r="S10" i="3"/>
  <c r="AY10" i="2" s="1"/>
  <c r="H16" i="3"/>
  <c r="AN16" i="2" s="1"/>
  <c r="H16" i="5"/>
  <c r="I16" i="3"/>
  <c r="AO16" i="2" s="1"/>
  <c r="I16" i="5"/>
  <c r="S15" i="3"/>
  <c r="AY15" i="2" s="1"/>
  <c r="S15" i="5"/>
  <c r="S6" i="5"/>
  <c r="S6" i="3"/>
  <c r="AY6" i="2" s="1"/>
  <c r="S9" i="3"/>
  <c r="AY9" i="2" s="1"/>
  <c r="S9" i="5"/>
  <c r="K16" i="2"/>
  <c r="M16" i="3"/>
  <c r="AS16" i="2" s="1"/>
  <c r="M16" i="5"/>
  <c r="J16" i="3"/>
  <c r="AP16" i="2" s="1"/>
  <c r="J16" i="5"/>
  <c r="S8" i="3"/>
  <c r="AY8" i="2" s="1"/>
  <c r="S8" i="5"/>
  <c r="S16" i="3"/>
  <c r="AY16" i="2" s="1"/>
  <c r="S16" i="5"/>
  <c r="Q16" i="3"/>
  <c r="AW16" i="2" s="1"/>
  <c r="Q16" i="5"/>
  <c r="S5" i="3"/>
  <c r="AY5" i="2" s="1"/>
  <c r="S5" i="5"/>
  <c r="C17" i="5"/>
  <c r="C17" i="3"/>
  <c r="S7" i="5"/>
  <c r="S7" i="3"/>
  <c r="AY7" i="2" s="1"/>
  <c r="G16" i="3"/>
  <c r="AM16" i="2" s="1"/>
  <c r="G16" i="5"/>
  <c r="F16" i="3"/>
  <c r="AL16" i="2" s="1"/>
  <c r="F16" i="5"/>
  <c r="T4" i="2"/>
  <c r="T5" i="2"/>
  <c r="T6" i="2"/>
  <c r="T7" i="2"/>
  <c r="T8" i="2"/>
  <c r="T9" i="2"/>
  <c r="T10" i="2"/>
  <c r="T11" i="2"/>
  <c r="T12" i="2"/>
  <c r="T13" i="2"/>
  <c r="T14" i="2"/>
  <c r="T15" i="2"/>
  <c r="S17" i="2"/>
  <c r="O17" i="2"/>
  <c r="K17" i="2"/>
  <c r="G17" i="2"/>
  <c r="R17" i="2"/>
  <c r="N17" i="2"/>
  <c r="J17" i="2"/>
  <c r="F17" i="2"/>
  <c r="M17" i="2"/>
  <c r="E17" i="2"/>
  <c r="I17" i="2"/>
  <c r="P17" i="2"/>
  <c r="T17" i="2"/>
  <c r="L17" i="2"/>
  <c r="D17" i="2"/>
  <c r="Q17" i="2"/>
  <c r="H17" i="2"/>
  <c r="T16" i="2"/>
  <c r="B18" i="2"/>
  <c r="C18" i="2"/>
  <c r="C18" i="5" l="1"/>
  <c r="C18" i="3"/>
  <c r="H17" i="3"/>
  <c r="AN17" i="2" s="1"/>
  <c r="H17" i="5"/>
  <c r="M17" i="3"/>
  <c r="AS17" i="2" s="1"/>
  <c r="M17" i="5"/>
  <c r="S17" i="5"/>
  <c r="S17" i="3"/>
  <c r="T8" i="5"/>
  <c r="T8" i="3"/>
  <c r="AZ8" i="2" s="1"/>
  <c r="Q17" i="5"/>
  <c r="Q17" i="3"/>
  <c r="AW17" i="2" s="1"/>
  <c r="F17" i="3"/>
  <c r="AL17" i="2" s="1"/>
  <c r="F17" i="5"/>
  <c r="T15" i="5"/>
  <c r="T15" i="3"/>
  <c r="AZ15" i="2" s="1"/>
  <c r="T7" i="3"/>
  <c r="AZ7" i="2" s="1"/>
  <c r="T7" i="5"/>
  <c r="D17" i="3"/>
  <c r="AJ17" i="2" s="1"/>
  <c r="D17" i="5"/>
  <c r="J17" i="3"/>
  <c r="AP17" i="2" s="1"/>
  <c r="J17" i="5"/>
  <c r="T14" i="5"/>
  <c r="T14" i="3"/>
  <c r="AZ14" i="2" s="1"/>
  <c r="T6" i="3"/>
  <c r="AZ6" i="2" s="1"/>
  <c r="T6" i="5"/>
  <c r="R16" i="5"/>
  <c r="R16" i="3"/>
  <c r="AX16" i="2" s="1"/>
  <c r="L17" i="3"/>
  <c r="AR17" i="2" s="1"/>
  <c r="L17" i="5"/>
  <c r="N17" i="3"/>
  <c r="AT17" i="2" s="1"/>
  <c r="N17" i="5"/>
  <c r="T13" i="3"/>
  <c r="AZ13" i="2" s="1"/>
  <c r="T13" i="5"/>
  <c r="T5" i="3"/>
  <c r="AZ5" i="2" s="1"/>
  <c r="T5" i="5"/>
  <c r="E16" i="5"/>
  <c r="E16" i="3"/>
  <c r="AK16" i="2" s="1"/>
  <c r="T17" i="3"/>
  <c r="AZ17" i="2" s="1"/>
  <c r="T17" i="5"/>
  <c r="R17" i="3"/>
  <c r="AX17" i="2" s="1"/>
  <c r="R17" i="5"/>
  <c r="T12" i="5"/>
  <c r="T12" i="3"/>
  <c r="AZ12" i="2" s="1"/>
  <c r="T4" i="5"/>
  <c r="T4" i="3"/>
  <c r="AZ4" i="2" s="1"/>
  <c r="P17" i="3"/>
  <c r="AV17" i="2" s="1"/>
  <c r="P17" i="5"/>
  <c r="G17" i="3"/>
  <c r="AM17" i="2" s="1"/>
  <c r="G17" i="5"/>
  <c r="T11" i="3"/>
  <c r="AZ11" i="2" s="1"/>
  <c r="T11" i="5"/>
  <c r="N16" i="3"/>
  <c r="AT16" i="2" s="1"/>
  <c r="N16" i="5"/>
  <c r="I17" i="5"/>
  <c r="I17" i="3"/>
  <c r="AO17" i="2" s="1"/>
  <c r="K17" i="3"/>
  <c r="AQ17" i="2" s="1"/>
  <c r="K17" i="5"/>
  <c r="T10" i="5"/>
  <c r="T10" i="3"/>
  <c r="AZ10" i="2" s="1"/>
  <c r="K16" i="3"/>
  <c r="AQ16" i="2" s="1"/>
  <c r="K16" i="5"/>
  <c r="T16" i="3"/>
  <c r="AZ16" i="2" s="1"/>
  <c r="T16" i="5"/>
  <c r="E17" i="3"/>
  <c r="AK17" i="2" s="1"/>
  <c r="E17" i="5"/>
  <c r="O17" i="3"/>
  <c r="AU17" i="2" s="1"/>
  <c r="O17" i="5"/>
  <c r="T9" i="5"/>
  <c r="T9" i="3"/>
  <c r="AZ9" i="2" s="1"/>
  <c r="U11" i="2"/>
  <c r="U4" i="2"/>
  <c r="U5" i="2"/>
  <c r="U6" i="2"/>
  <c r="U7" i="2"/>
  <c r="U8" i="2"/>
  <c r="U9" i="2"/>
  <c r="U10" i="2"/>
  <c r="U12" i="2"/>
  <c r="U13" i="2"/>
  <c r="U14" i="2"/>
  <c r="U15" i="2"/>
  <c r="U16" i="2"/>
  <c r="P18" i="2"/>
  <c r="L18" i="2"/>
  <c r="H18" i="2"/>
  <c r="S18" i="2"/>
  <c r="K18" i="2"/>
  <c r="G18" i="2"/>
  <c r="F18" i="2"/>
  <c r="J18" i="2"/>
  <c r="Q18" i="2"/>
  <c r="U18" i="2"/>
  <c r="E18" i="2"/>
  <c r="I18" i="2"/>
  <c r="U17" i="2"/>
  <c r="B19" i="2"/>
  <c r="C19" i="2"/>
  <c r="C19" i="5" l="1"/>
  <c r="C19" i="3"/>
  <c r="M18" i="2"/>
  <c r="O18" i="2"/>
  <c r="U15" i="5"/>
  <c r="U15" i="3"/>
  <c r="BA15" i="2" s="1"/>
  <c r="U6" i="5"/>
  <c r="U6" i="3"/>
  <c r="BA6" i="2" s="1"/>
  <c r="U18" i="5"/>
  <c r="U18" i="3"/>
  <c r="BA18" i="2" s="1"/>
  <c r="S18" i="5"/>
  <c r="S18" i="3"/>
  <c r="AY18" i="2" s="1"/>
  <c r="U14" i="3"/>
  <c r="BA14" i="2" s="1"/>
  <c r="U14" i="5"/>
  <c r="U5" i="3"/>
  <c r="BA5" i="2" s="1"/>
  <c r="U5" i="5"/>
  <c r="AY17" i="2"/>
  <c r="Q18" i="5"/>
  <c r="Q18" i="3"/>
  <c r="AW18" i="2" s="1"/>
  <c r="D18" i="2"/>
  <c r="U13" i="5"/>
  <c r="U13" i="3"/>
  <c r="BA13" i="2" s="1"/>
  <c r="U4" i="3"/>
  <c r="U4" i="5"/>
  <c r="J18" i="3"/>
  <c r="AP18" i="2" s="1"/>
  <c r="J18" i="5"/>
  <c r="H18" i="3"/>
  <c r="AN18" i="2" s="1"/>
  <c r="H18" i="5"/>
  <c r="U12" i="3"/>
  <c r="BA12" i="2" s="1"/>
  <c r="U12" i="5"/>
  <c r="U17" i="3"/>
  <c r="BA17" i="2" s="1"/>
  <c r="U17" i="5"/>
  <c r="F18" i="3"/>
  <c r="F18" i="5"/>
  <c r="AL18" i="2"/>
  <c r="L18" i="3"/>
  <c r="AR18" i="2" s="1"/>
  <c r="L18" i="5"/>
  <c r="U10" i="5"/>
  <c r="U10" i="3"/>
  <c r="BA10" i="2" s="1"/>
  <c r="U11" i="3"/>
  <c r="BA11" i="2" s="1"/>
  <c r="U11" i="5"/>
  <c r="I18" i="5"/>
  <c r="I18" i="3"/>
  <c r="AO18" i="2" s="1"/>
  <c r="N18" i="2"/>
  <c r="P18" i="3"/>
  <c r="AV18" i="2" s="1"/>
  <c r="P18" i="5"/>
  <c r="U9" i="5"/>
  <c r="U9" i="3"/>
  <c r="BA9" i="2" s="1"/>
  <c r="R18" i="2"/>
  <c r="G18" i="3"/>
  <c r="AM18" i="2" s="1"/>
  <c r="G18" i="5"/>
  <c r="T18" i="2"/>
  <c r="U8" i="5"/>
  <c r="U8" i="3"/>
  <c r="BA8" i="2" s="1"/>
  <c r="E18" i="3"/>
  <c r="AK18" i="2" s="1"/>
  <c r="E18" i="5"/>
  <c r="K18" i="3"/>
  <c r="AQ18" i="2" s="1"/>
  <c r="K18" i="5"/>
  <c r="U16" i="3"/>
  <c r="BA16" i="2" s="1"/>
  <c r="U16" i="5"/>
  <c r="U7" i="3"/>
  <c r="BA7" i="2" s="1"/>
  <c r="U7" i="5"/>
  <c r="V4" i="2"/>
  <c r="V5" i="2"/>
  <c r="V6" i="2"/>
  <c r="V7" i="2"/>
  <c r="V8" i="2"/>
  <c r="V9" i="2"/>
  <c r="V10" i="2"/>
  <c r="V11" i="2"/>
  <c r="V12" i="2"/>
  <c r="V13" i="2"/>
  <c r="V14" i="2"/>
  <c r="V15" i="2"/>
  <c r="V16" i="2"/>
  <c r="V17" i="2"/>
  <c r="U19" i="2"/>
  <c r="M19" i="2"/>
  <c r="E19" i="2"/>
  <c r="P19" i="2"/>
  <c r="L19" i="2"/>
  <c r="H19" i="2"/>
  <c r="D19" i="2"/>
  <c r="O19" i="2"/>
  <c r="G19" i="2"/>
  <c r="S19" i="2"/>
  <c r="J19" i="2"/>
  <c r="V19" i="2"/>
  <c r="N19" i="2"/>
  <c r="K19" i="2"/>
  <c r="R19" i="2"/>
  <c r="V18" i="2"/>
  <c r="C20" i="2"/>
  <c r="B20" i="2"/>
  <c r="C20" i="5" l="1"/>
  <c r="C20" i="3"/>
  <c r="N19" i="3"/>
  <c r="AT19" i="2" s="1"/>
  <c r="N19" i="5"/>
  <c r="L19" i="3"/>
  <c r="AR19" i="2" s="1"/>
  <c r="L19" i="5"/>
  <c r="V17" i="3"/>
  <c r="BB17" i="2" s="1"/>
  <c r="V17" i="5"/>
  <c r="V9" i="3"/>
  <c r="BB9" i="2" s="1"/>
  <c r="V9" i="5"/>
  <c r="N18" i="3"/>
  <c r="AT18" i="2" s="1"/>
  <c r="N18" i="5"/>
  <c r="V19" i="5"/>
  <c r="V19" i="3"/>
  <c r="BB19" i="2" s="1"/>
  <c r="P19" i="5"/>
  <c r="P19" i="3"/>
  <c r="AV19" i="2" s="1"/>
  <c r="V16" i="3"/>
  <c r="BB16" i="2" s="1"/>
  <c r="V16" i="5"/>
  <c r="V8" i="3"/>
  <c r="BB8" i="2" s="1"/>
  <c r="V8" i="5"/>
  <c r="M18" i="5"/>
  <c r="M18" i="3"/>
  <c r="AS18" i="2" s="1"/>
  <c r="S19" i="3"/>
  <c r="AY19" i="2" s="1"/>
  <c r="S19" i="5"/>
  <c r="E19" i="3"/>
  <c r="AK19" i="2" s="1"/>
  <c r="E19" i="5"/>
  <c r="V14" i="3"/>
  <c r="BB14" i="2" s="1"/>
  <c r="V14" i="5"/>
  <c r="V6" i="5"/>
  <c r="V6" i="3"/>
  <c r="BB6" i="2" s="1"/>
  <c r="J19" i="3"/>
  <c r="AP19" i="2" s="1"/>
  <c r="J19" i="5"/>
  <c r="T19" i="2"/>
  <c r="V15" i="3"/>
  <c r="BB15" i="2" s="1"/>
  <c r="V15" i="5"/>
  <c r="V18" i="3"/>
  <c r="BB18" i="2" s="1"/>
  <c r="V18" i="5"/>
  <c r="G19" i="5"/>
  <c r="G19" i="3"/>
  <c r="AM19" i="2" s="1"/>
  <c r="I19" i="2"/>
  <c r="V13" i="5"/>
  <c r="V13" i="3"/>
  <c r="BB13" i="2" s="1"/>
  <c r="V5" i="3"/>
  <c r="BB5" i="2" s="1"/>
  <c r="V5" i="5"/>
  <c r="R18" i="3"/>
  <c r="R18" i="5"/>
  <c r="D18" i="5"/>
  <c r="D18" i="3"/>
  <c r="AJ18" i="2" s="1"/>
  <c r="V7" i="3"/>
  <c r="BB7" i="2" s="1"/>
  <c r="V7" i="5"/>
  <c r="R19" i="3"/>
  <c r="AX19" i="2" s="1"/>
  <c r="R19" i="5"/>
  <c r="O19" i="5"/>
  <c r="O19" i="3"/>
  <c r="AU19" i="2" s="1"/>
  <c r="M19" i="3"/>
  <c r="AS19" i="2" s="1"/>
  <c r="M19" i="5"/>
  <c r="V12" i="3"/>
  <c r="BB12" i="2" s="1"/>
  <c r="V12" i="5"/>
  <c r="V4" i="3"/>
  <c r="V4" i="5"/>
  <c r="K19" i="3"/>
  <c r="AQ19" i="2" s="1"/>
  <c r="K19" i="5"/>
  <c r="D19" i="5"/>
  <c r="D19" i="3"/>
  <c r="AJ19" i="2" s="1"/>
  <c r="Q19" i="2"/>
  <c r="V11" i="3"/>
  <c r="BB11" i="2" s="1"/>
  <c r="V11" i="5"/>
  <c r="BA4" i="2"/>
  <c r="F19" i="2"/>
  <c r="H19" i="5"/>
  <c r="H19" i="3"/>
  <c r="AN19" i="2" s="1"/>
  <c r="U19" i="5"/>
  <c r="U19" i="3"/>
  <c r="V10" i="3"/>
  <c r="BB10" i="2" s="1"/>
  <c r="V10" i="5"/>
  <c r="T18" i="3"/>
  <c r="AZ18" i="2" s="1"/>
  <c r="T18" i="5"/>
  <c r="O18" i="3"/>
  <c r="O18" i="5"/>
  <c r="W4" i="2"/>
  <c r="W5" i="2"/>
  <c r="W6" i="2"/>
  <c r="W7" i="2"/>
  <c r="W8" i="2"/>
  <c r="W9" i="2"/>
  <c r="W10" i="2"/>
  <c r="W11" i="2"/>
  <c r="W12" i="2"/>
  <c r="W13" i="2"/>
  <c r="W14" i="2"/>
  <c r="W15" i="2"/>
  <c r="W16" i="2"/>
  <c r="W17" i="2"/>
  <c r="W18" i="2"/>
  <c r="W19" i="2"/>
  <c r="V20" i="2"/>
  <c r="R20" i="2"/>
  <c r="N20" i="2"/>
  <c r="U20" i="2"/>
  <c r="Q20" i="2"/>
  <c r="M20" i="2"/>
  <c r="E20" i="2"/>
  <c r="P20" i="2"/>
  <c r="H20" i="2"/>
  <c r="T20" i="2"/>
  <c r="D20" i="2"/>
  <c r="S20" i="2"/>
  <c r="W20" i="2"/>
  <c r="O20" i="2"/>
  <c r="G20" i="2"/>
  <c r="L20" i="2"/>
  <c r="K20" i="2"/>
  <c r="C21" i="2"/>
  <c r="B21" i="2"/>
  <c r="T20" i="3" l="1"/>
  <c r="AZ20" i="2" s="1"/>
  <c r="T20" i="5"/>
  <c r="F20" i="2"/>
  <c r="W16" i="5"/>
  <c r="W16" i="3"/>
  <c r="BC16" i="2" s="1"/>
  <c r="W8" i="3"/>
  <c r="BC8" i="2" s="1"/>
  <c r="W8" i="5"/>
  <c r="W17" i="3"/>
  <c r="BC17" i="2" s="1"/>
  <c r="W17" i="5"/>
  <c r="L20" i="5"/>
  <c r="L20" i="3"/>
  <c r="AR20" i="2" s="1"/>
  <c r="P20" i="5"/>
  <c r="P20" i="3"/>
  <c r="AV20" i="2" s="1"/>
  <c r="N20" i="5"/>
  <c r="N20" i="3"/>
  <c r="AT20" i="2" s="1"/>
  <c r="W14" i="3"/>
  <c r="BC14" i="2" s="1"/>
  <c r="W14" i="5"/>
  <c r="W6" i="3"/>
  <c r="BC6" i="2" s="1"/>
  <c r="W6" i="5"/>
  <c r="Q19" i="3"/>
  <c r="AW19" i="2" s="1"/>
  <c r="Q19" i="5"/>
  <c r="T19" i="3"/>
  <c r="AZ19" i="2" s="1"/>
  <c r="T19" i="5"/>
  <c r="U20" i="3"/>
  <c r="BA20" i="2" s="1"/>
  <c r="U20" i="5"/>
  <c r="W9" i="3"/>
  <c r="BC9" i="2" s="1"/>
  <c r="W9" i="5"/>
  <c r="H20" i="5"/>
  <c r="H20" i="3"/>
  <c r="AN20" i="2" s="1"/>
  <c r="G20" i="3"/>
  <c r="AM20" i="2" s="1"/>
  <c r="G20" i="5"/>
  <c r="E20" i="3"/>
  <c r="AK20" i="2" s="1"/>
  <c r="E20" i="5"/>
  <c r="R20" i="5"/>
  <c r="R20" i="3"/>
  <c r="W13" i="3"/>
  <c r="BC13" i="2" s="1"/>
  <c r="W13" i="5"/>
  <c r="W5" i="5"/>
  <c r="W5" i="3"/>
  <c r="BC5" i="2" s="1"/>
  <c r="K20" i="3"/>
  <c r="AQ20" i="2" s="1"/>
  <c r="K20" i="5"/>
  <c r="W15" i="3"/>
  <c r="BC15" i="2" s="1"/>
  <c r="W15" i="5"/>
  <c r="O20" i="3"/>
  <c r="AU20" i="2" s="1"/>
  <c r="O20" i="5"/>
  <c r="I20" i="2"/>
  <c r="V20" i="3"/>
  <c r="V20" i="5"/>
  <c r="W12" i="3"/>
  <c r="BC12" i="2" s="1"/>
  <c r="W12" i="5"/>
  <c r="W4" i="5"/>
  <c r="W4" i="3"/>
  <c r="BC4" i="2"/>
  <c r="F19" i="3"/>
  <c r="AL19" i="2" s="1"/>
  <c r="F19" i="5"/>
  <c r="D20" i="3"/>
  <c r="AJ20" i="2" s="1"/>
  <c r="D20" i="5"/>
  <c r="I19" i="5"/>
  <c r="I19" i="3"/>
  <c r="AO19" i="2" s="1"/>
  <c r="J20" i="2"/>
  <c r="W7" i="3"/>
  <c r="BC7" i="2" s="1"/>
  <c r="W7" i="5"/>
  <c r="C21" i="5"/>
  <c r="C21" i="3"/>
  <c r="W20" i="3"/>
  <c r="BC20" i="2" s="1"/>
  <c r="W20" i="5"/>
  <c r="M20" i="3"/>
  <c r="AS20" i="2" s="1"/>
  <c r="M20" i="5"/>
  <c r="W19" i="5"/>
  <c r="W19" i="3"/>
  <c r="BC19" i="2" s="1"/>
  <c r="W11" i="5"/>
  <c r="W11" i="3"/>
  <c r="BC11" i="2" s="1"/>
  <c r="AU18" i="2"/>
  <c r="S20" i="3"/>
  <c r="AY20" i="2" s="1"/>
  <c r="S20" i="5"/>
  <c r="Q20" i="5"/>
  <c r="Q20" i="3"/>
  <c r="AW20" i="2" s="1"/>
  <c r="W18" i="5"/>
  <c r="W18" i="3"/>
  <c r="BC18" i="2" s="1"/>
  <c r="W10" i="5"/>
  <c r="W10" i="3"/>
  <c r="BC10" i="2" s="1"/>
  <c r="BA19" i="2"/>
  <c r="BB4" i="2"/>
  <c r="AX18" i="2"/>
  <c r="W21" i="2"/>
  <c r="S21" i="2"/>
  <c r="O21" i="2"/>
  <c r="K21" i="2"/>
  <c r="G21" i="2"/>
  <c r="V21" i="2"/>
  <c r="R21" i="2"/>
  <c r="N21" i="2"/>
  <c r="J21" i="2"/>
  <c r="F21" i="2"/>
  <c r="Q21" i="2"/>
  <c r="I21" i="2"/>
  <c r="U21" i="2"/>
  <c r="T21" i="2"/>
  <c r="D21" i="2"/>
  <c r="X21" i="2"/>
  <c r="P21" i="2"/>
  <c r="H21" i="2"/>
  <c r="M21" i="2"/>
  <c r="E21" i="2"/>
  <c r="L21" i="2"/>
  <c r="X4" i="2"/>
  <c r="X5" i="2"/>
  <c r="X6" i="2"/>
  <c r="X7" i="2"/>
  <c r="X8" i="2"/>
  <c r="X9" i="2"/>
  <c r="X10" i="2"/>
  <c r="X11" i="2"/>
  <c r="X12" i="2"/>
  <c r="X13" i="2"/>
  <c r="X14" i="2"/>
  <c r="X15" i="2"/>
  <c r="X16" i="2"/>
  <c r="X17" i="2"/>
  <c r="X18" i="2"/>
  <c r="X19" i="2"/>
  <c r="X20" i="2"/>
  <c r="B22" i="2"/>
  <c r="C22" i="2"/>
  <c r="X13" i="5" l="1"/>
  <c r="X13" i="3"/>
  <c r="BD13" i="2" s="1"/>
  <c r="X5" i="3"/>
  <c r="BD5" i="2" s="1"/>
  <c r="X5" i="5"/>
  <c r="D21" i="3"/>
  <c r="AJ21" i="2" s="1"/>
  <c r="D21" i="5"/>
  <c r="R21" i="5"/>
  <c r="R21" i="3"/>
  <c r="AX21" i="2" s="1"/>
  <c r="X20" i="3"/>
  <c r="BD20" i="2" s="1"/>
  <c r="X20" i="5"/>
  <c r="X12" i="3"/>
  <c r="BD12" i="2" s="1"/>
  <c r="X12" i="5"/>
  <c r="X4" i="3"/>
  <c r="BD4" i="2" s="1"/>
  <c r="X4" i="5"/>
  <c r="T21" i="5"/>
  <c r="T21" i="3"/>
  <c r="AZ21" i="2" s="1"/>
  <c r="V21" i="3"/>
  <c r="V21" i="5"/>
  <c r="I20" i="3"/>
  <c r="AO20" i="2" s="1"/>
  <c r="I20" i="5"/>
  <c r="X19" i="3"/>
  <c r="BD19" i="2" s="1"/>
  <c r="X19" i="5"/>
  <c r="X11" i="3"/>
  <c r="BD11" i="2" s="1"/>
  <c r="X11" i="5"/>
  <c r="L21" i="3"/>
  <c r="AR21" i="2" s="1"/>
  <c r="L21" i="5"/>
  <c r="U21" i="5"/>
  <c r="U21" i="3"/>
  <c r="BA21" i="2" s="1"/>
  <c r="G21" i="3"/>
  <c r="AM21" i="2" s="1"/>
  <c r="G21" i="5"/>
  <c r="X18" i="5"/>
  <c r="X18" i="3"/>
  <c r="BD18" i="2" s="1"/>
  <c r="X10" i="3"/>
  <c r="BD10" i="2" s="1"/>
  <c r="X10" i="5"/>
  <c r="E21" i="3"/>
  <c r="AK21" i="2" s="1"/>
  <c r="E21" i="5"/>
  <c r="I21" i="5"/>
  <c r="I21" i="3"/>
  <c r="AO21" i="2" s="1"/>
  <c r="K21" i="5"/>
  <c r="K21" i="3"/>
  <c r="AQ21" i="2" s="1"/>
  <c r="X17" i="5"/>
  <c r="X17" i="3"/>
  <c r="BD17" i="2" s="1"/>
  <c r="X9" i="5"/>
  <c r="X9" i="3"/>
  <c r="BD9" i="2" s="1"/>
  <c r="M21" i="5"/>
  <c r="M21" i="3"/>
  <c r="AS21" i="2" s="1"/>
  <c r="Q21" i="3"/>
  <c r="AW21" i="2" s="1"/>
  <c r="Q21" i="5"/>
  <c r="O21" i="3"/>
  <c r="AU21" i="2" s="1"/>
  <c r="O21" i="5"/>
  <c r="J20" i="3"/>
  <c r="AP20" i="2" s="1"/>
  <c r="J20" i="5"/>
  <c r="AX20" i="2"/>
  <c r="X16" i="3"/>
  <c r="BD16" i="2" s="1"/>
  <c r="X16" i="5"/>
  <c r="X8" i="3"/>
  <c r="BD8" i="2" s="1"/>
  <c r="X8" i="5"/>
  <c r="H21" i="5"/>
  <c r="H21" i="3"/>
  <c r="AN21" i="2" s="1"/>
  <c r="F21" i="5"/>
  <c r="F21" i="3"/>
  <c r="AL21" i="2" s="1"/>
  <c r="S21" i="3"/>
  <c r="AY21" i="2" s="1"/>
  <c r="S21" i="5"/>
  <c r="X15" i="3"/>
  <c r="BD15" i="2" s="1"/>
  <c r="X15" i="5"/>
  <c r="X7" i="5"/>
  <c r="X7" i="3"/>
  <c r="BD7" i="2" s="1"/>
  <c r="P21" i="5"/>
  <c r="P21" i="3"/>
  <c r="AV21" i="2" s="1"/>
  <c r="J21" i="3"/>
  <c r="AP21" i="2" s="1"/>
  <c r="J21" i="5"/>
  <c r="W21" i="3"/>
  <c r="W21" i="5"/>
  <c r="BB20" i="2"/>
  <c r="C22" i="5"/>
  <c r="C22" i="3"/>
  <c r="X14" i="3"/>
  <c r="BD14" i="2" s="1"/>
  <c r="X14" i="5"/>
  <c r="X6" i="5"/>
  <c r="X6" i="3"/>
  <c r="BD6" i="2" s="1"/>
  <c r="X21" i="3"/>
  <c r="BD21" i="2" s="1"/>
  <c r="X21" i="5"/>
  <c r="N21" i="3"/>
  <c r="AT21" i="2" s="1"/>
  <c r="N21" i="5"/>
  <c r="F20" i="5"/>
  <c r="F20" i="3"/>
  <c r="AL20" i="2" s="1"/>
  <c r="X22" i="2"/>
  <c r="P22" i="2"/>
  <c r="L22" i="2"/>
  <c r="S22" i="2"/>
  <c r="O22" i="2"/>
  <c r="G22" i="2"/>
  <c r="R22" i="2"/>
  <c r="J22" i="2"/>
  <c r="V22" i="2"/>
  <c r="F22" i="2"/>
  <c r="U22" i="2"/>
  <c r="E22" i="2"/>
  <c r="Y22" i="2"/>
  <c r="Q22" i="2"/>
  <c r="I22" i="2"/>
  <c r="N22" i="2"/>
  <c r="M22" i="2"/>
  <c r="Y4" i="2"/>
  <c r="Y5" i="2"/>
  <c r="Y6" i="2"/>
  <c r="Y7" i="2"/>
  <c r="Y8" i="2"/>
  <c r="Y9" i="2"/>
  <c r="Y10" i="2"/>
  <c r="Y11" i="2"/>
  <c r="Y12" i="2"/>
  <c r="Y13" i="2"/>
  <c r="Y14" i="2"/>
  <c r="Y15" i="2"/>
  <c r="Y16" i="2"/>
  <c r="Y17" i="2"/>
  <c r="Y18" i="2"/>
  <c r="Y19" i="2"/>
  <c r="Y20" i="2"/>
  <c r="Y21" i="2"/>
  <c r="C23" i="2"/>
  <c r="B23" i="2"/>
  <c r="Y15" i="3" l="1"/>
  <c r="BE15" i="2" s="1"/>
  <c r="Y15" i="5"/>
  <c r="Y7" i="3"/>
  <c r="BE7" i="2" s="1"/>
  <c r="Y7" i="5"/>
  <c r="Y22" i="5"/>
  <c r="Y22" i="3"/>
  <c r="BE22" i="2" s="1"/>
  <c r="K22" i="2"/>
  <c r="T22" i="2"/>
  <c r="BB21" i="2"/>
  <c r="Y14" i="5"/>
  <c r="Y14" i="3"/>
  <c r="BE14" i="2"/>
  <c r="Y6" i="3"/>
  <c r="BE6" i="2" s="1"/>
  <c r="Y6" i="5"/>
  <c r="E22" i="3"/>
  <c r="AK22" i="2" s="1"/>
  <c r="E22" i="5"/>
  <c r="O22" i="3"/>
  <c r="AU22" i="2" s="1"/>
  <c r="O22" i="5"/>
  <c r="X22" i="5"/>
  <c r="X22" i="3"/>
  <c r="BD22" i="2" s="1"/>
  <c r="Y21" i="3"/>
  <c r="BE21" i="2" s="1"/>
  <c r="Y21" i="5"/>
  <c r="Y13" i="5"/>
  <c r="Y13" i="3"/>
  <c r="BE13" i="2" s="1"/>
  <c r="Y5" i="3"/>
  <c r="BE5" i="2" s="1"/>
  <c r="Y5" i="5"/>
  <c r="U22" i="5"/>
  <c r="U22" i="3"/>
  <c r="BA22" i="2" s="1"/>
  <c r="S22" i="3"/>
  <c r="S22" i="5"/>
  <c r="AY22" i="2"/>
  <c r="Y20" i="5"/>
  <c r="Y20" i="3"/>
  <c r="BE20" i="2" s="1"/>
  <c r="Y12" i="3"/>
  <c r="BE12" i="2" s="1"/>
  <c r="Y12" i="5"/>
  <c r="Y4" i="3"/>
  <c r="Y4" i="5"/>
  <c r="F22" i="3"/>
  <c r="AL22" i="2" s="1"/>
  <c r="F22" i="5"/>
  <c r="W22" i="2"/>
  <c r="BC21" i="2"/>
  <c r="Y19" i="5"/>
  <c r="Y19" i="3"/>
  <c r="BE19" i="2" s="1"/>
  <c r="Y11" i="5"/>
  <c r="Y11" i="3"/>
  <c r="BE11" i="2" s="1"/>
  <c r="M22" i="3"/>
  <c r="AS22" i="2" s="1"/>
  <c r="M22" i="5"/>
  <c r="V22" i="3"/>
  <c r="V22" i="5"/>
  <c r="D22" i="2"/>
  <c r="Y18" i="5"/>
  <c r="Y18" i="3"/>
  <c r="BE18" i="2" s="1"/>
  <c r="Y10" i="3"/>
  <c r="BE10" i="2" s="1"/>
  <c r="Y10" i="5"/>
  <c r="N22" i="3"/>
  <c r="AT22" i="2" s="1"/>
  <c r="N22" i="5"/>
  <c r="J22" i="5"/>
  <c r="J22" i="3"/>
  <c r="AP22" i="2" s="1"/>
  <c r="H22" i="2"/>
  <c r="C23" i="5"/>
  <c r="C23" i="3"/>
  <c r="Y17" i="5"/>
  <c r="Y17" i="3"/>
  <c r="BE17" i="2" s="1"/>
  <c r="Y9" i="3"/>
  <c r="BE9" i="2" s="1"/>
  <c r="Y9" i="5"/>
  <c r="I22" i="3"/>
  <c r="AO22" i="2" s="1"/>
  <c r="I22" i="5"/>
  <c r="R22" i="5"/>
  <c r="R22" i="3"/>
  <c r="AX22" i="2" s="1"/>
  <c r="L22" i="3"/>
  <c r="AR22" i="2" s="1"/>
  <c r="L22" i="5"/>
  <c r="Y16" i="3"/>
  <c r="BE16" i="2" s="1"/>
  <c r="Y16" i="5"/>
  <c r="Y8" i="5"/>
  <c r="Y8" i="3"/>
  <c r="BE8" i="2" s="1"/>
  <c r="Q22" i="3"/>
  <c r="AW22" i="2" s="1"/>
  <c r="Q22" i="5"/>
  <c r="G22" i="5"/>
  <c r="G22" i="3"/>
  <c r="AM22" i="2" s="1"/>
  <c r="P22" i="3"/>
  <c r="AV22" i="2" s="1"/>
  <c r="P22" i="5"/>
  <c r="X23" i="2"/>
  <c r="Y23" i="2"/>
  <c r="Z23" i="2"/>
  <c r="U23" i="2"/>
  <c r="Q23" i="2"/>
  <c r="M23" i="2"/>
  <c r="I23" i="2"/>
  <c r="E23" i="2"/>
  <c r="T23" i="2"/>
  <c r="P23" i="2"/>
  <c r="L23" i="2"/>
  <c r="H23" i="2"/>
  <c r="D23" i="2"/>
  <c r="S23" i="2"/>
  <c r="K23" i="2"/>
  <c r="W23" i="2"/>
  <c r="G23" i="2"/>
  <c r="V23" i="2"/>
  <c r="F23" i="2"/>
  <c r="R23" i="2"/>
  <c r="J23" i="2"/>
  <c r="O23" i="2"/>
  <c r="N23" i="2"/>
  <c r="Z4" i="2"/>
  <c r="Z5" i="2"/>
  <c r="Z6" i="2"/>
  <c r="Z7" i="2"/>
  <c r="Z8" i="2"/>
  <c r="Z9" i="2"/>
  <c r="Z10" i="2"/>
  <c r="Z11" i="2"/>
  <c r="Z12" i="2"/>
  <c r="Z13" i="2"/>
  <c r="Z14" i="2"/>
  <c r="Z15" i="2"/>
  <c r="Z16" i="2"/>
  <c r="Z17" i="2"/>
  <c r="Z18" i="2"/>
  <c r="Z19" i="2"/>
  <c r="Z20" i="2"/>
  <c r="Z21" i="2"/>
  <c r="Z22" i="2"/>
  <c r="C24" i="2"/>
  <c r="AA23" i="2"/>
  <c r="B24" i="2"/>
  <c r="X23" i="3" l="1"/>
  <c r="X23" i="5"/>
  <c r="C24" i="5"/>
  <c r="C24" i="3"/>
  <c r="Z21" i="3"/>
  <c r="BF21" i="2" s="1"/>
  <c r="Z21" i="5"/>
  <c r="Z13" i="5"/>
  <c r="Z13" i="3"/>
  <c r="BF13" i="2" s="1"/>
  <c r="Z5" i="3"/>
  <c r="BF5" i="2" s="1"/>
  <c r="Z5" i="5"/>
  <c r="G23" i="5"/>
  <c r="G23" i="3"/>
  <c r="AM23" i="2"/>
  <c r="T23" i="5"/>
  <c r="T23" i="3"/>
  <c r="AZ23" i="2" s="1"/>
  <c r="D22" i="5"/>
  <c r="AJ22" i="2"/>
  <c r="Z20" i="5"/>
  <c r="Z20" i="3"/>
  <c r="BF20" i="2" s="1"/>
  <c r="Z12" i="5"/>
  <c r="Z12" i="3"/>
  <c r="BF12" i="2" s="1"/>
  <c r="Z4" i="3"/>
  <c r="BF4" i="2" s="1"/>
  <c r="Z4" i="5"/>
  <c r="W23" i="3"/>
  <c r="BC23" i="2" s="1"/>
  <c r="W23" i="5"/>
  <c r="E23" i="3"/>
  <c r="AK23" i="2" s="1"/>
  <c r="E23" i="5"/>
  <c r="H22" i="5"/>
  <c r="H22" i="3"/>
  <c r="AN22" i="2" s="1"/>
  <c r="Z22" i="3"/>
  <c r="BF22" i="2" s="1"/>
  <c r="Z22" i="5"/>
  <c r="Z19" i="3"/>
  <c r="BF19" i="2" s="1"/>
  <c r="Z19" i="5"/>
  <c r="Z11" i="3"/>
  <c r="BF11" i="2" s="1"/>
  <c r="Z11" i="5"/>
  <c r="N23" i="3"/>
  <c r="AT23" i="2" s="1"/>
  <c r="N23" i="5"/>
  <c r="K23" i="3"/>
  <c r="AQ23" i="2" s="1"/>
  <c r="K23" i="5"/>
  <c r="I23" i="3"/>
  <c r="AO23" i="2" s="1"/>
  <c r="I23" i="5"/>
  <c r="BB22" i="2"/>
  <c r="Z14" i="5"/>
  <c r="Z14" i="3"/>
  <c r="BF14" i="2" s="1"/>
  <c r="V23" i="3"/>
  <c r="BB23" i="2" s="1"/>
  <c r="V23" i="5"/>
  <c r="P23" i="3"/>
  <c r="AV23" i="2" s="1"/>
  <c r="P23" i="5"/>
  <c r="AA23" i="3"/>
  <c r="BG23" i="2" s="1"/>
  <c r="AA23" i="5"/>
  <c r="Z18" i="3"/>
  <c r="BF18" i="2" s="1"/>
  <c r="Z18" i="5"/>
  <c r="Z10" i="5"/>
  <c r="Z10" i="3"/>
  <c r="BF10" i="2" s="1"/>
  <c r="O23" i="5"/>
  <c r="O23" i="3"/>
  <c r="AU23" i="2" s="1"/>
  <c r="S23" i="3"/>
  <c r="S23" i="5"/>
  <c r="M23" i="5"/>
  <c r="M23" i="3"/>
  <c r="AS23" i="2" s="1"/>
  <c r="Z17" i="3"/>
  <c r="BF17" i="2" s="1"/>
  <c r="Z17" i="5"/>
  <c r="Z9" i="5"/>
  <c r="Z9" i="3"/>
  <c r="BF9" i="2" s="1"/>
  <c r="J23" i="3"/>
  <c r="AP23" i="2" s="1"/>
  <c r="J23" i="5"/>
  <c r="D23" i="3"/>
  <c r="AJ23" i="2" s="1"/>
  <c r="D23" i="5"/>
  <c r="Q23" i="3"/>
  <c r="AW23" i="2" s="1"/>
  <c r="Q23" i="5"/>
  <c r="T22" i="3"/>
  <c r="AZ22" i="2" s="1"/>
  <c r="T22" i="5"/>
  <c r="Z6" i="5"/>
  <c r="Z6" i="3"/>
  <c r="BF6" i="2" s="1"/>
  <c r="Z16" i="3"/>
  <c r="BF16" i="2" s="1"/>
  <c r="Z16" i="5"/>
  <c r="Z8" i="3"/>
  <c r="BF8" i="2" s="1"/>
  <c r="Z8" i="5"/>
  <c r="R23" i="3"/>
  <c r="AX23" i="2" s="1"/>
  <c r="R23" i="5"/>
  <c r="H23" i="3"/>
  <c r="AN23" i="2" s="1"/>
  <c r="H23" i="5"/>
  <c r="U23" i="3"/>
  <c r="BA23" i="2" s="1"/>
  <c r="U23" i="5"/>
  <c r="Z23" i="5"/>
  <c r="Z23" i="3"/>
  <c r="BF23" i="2" s="1"/>
  <c r="BE4" i="2"/>
  <c r="Z15" i="5"/>
  <c r="Z15" i="3"/>
  <c r="BF15" i="2" s="1"/>
  <c r="Z7" i="3"/>
  <c r="BF7" i="2" s="1"/>
  <c r="Z7" i="5"/>
  <c r="F23" i="3"/>
  <c r="F23" i="5"/>
  <c r="AL23" i="2"/>
  <c r="L23" i="3"/>
  <c r="AR23" i="2" s="1"/>
  <c r="L23" i="5"/>
  <c r="Y23" i="5"/>
  <c r="Y23" i="3"/>
  <c r="BE23" i="2" s="1"/>
  <c r="W22" i="3"/>
  <c r="W22" i="5"/>
  <c r="K22" i="3"/>
  <c r="AQ22" i="2" s="1"/>
  <c r="K22" i="5"/>
  <c r="Z24" i="2"/>
  <c r="V24" i="2"/>
  <c r="R24" i="2"/>
  <c r="N24" i="2"/>
  <c r="J24" i="2"/>
  <c r="F24" i="2"/>
  <c r="Y24" i="2"/>
  <c r="U24" i="2"/>
  <c r="Q24" i="2"/>
  <c r="M24" i="2"/>
  <c r="I24" i="2"/>
  <c r="E24" i="2"/>
  <c r="T24" i="2"/>
  <c r="L24" i="2"/>
  <c r="D24" i="2"/>
  <c r="P24" i="2"/>
  <c r="W24" i="2"/>
  <c r="G24" i="2"/>
  <c r="AA24" i="2"/>
  <c r="S24" i="2"/>
  <c r="K24" i="2"/>
  <c r="X24" i="2"/>
  <c r="H24" i="2"/>
  <c r="O24" i="2"/>
  <c r="AA4" i="2"/>
  <c r="AA5" i="2"/>
  <c r="AA6" i="2"/>
  <c r="AA7" i="2"/>
  <c r="AA8" i="2"/>
  <c r="AA9" i="2"/>
  <c r="AA10" i="2"/>
  <c r="AA11" i="2"/>
  <c r="AA12" i="2"/>
  <c r="AA13" i="2"/>
  <c r="AA14" i="2"/>
  <c r="AA15" i="2"/>
  <c r="AA16" i="2"/>
  <c r="AA17" i="2"/>
  <c r="AA18" i="2"/>
  <c r="AA19" i="2"/>
  <c r="AA20" i="2"/>
  <c r="AA21" i="2"/>
  <c r="AA22" i="2"/>
  <c r="C25" i="2"/>
  <c r="B25" i="2"/>
  <c r="C26" i="2"/>
  <c r="AB23" i="2"/>
  <c r="AA17" i="3" l="1"/>
  <c r="BG17" i="2" s="1"/>
  <c r="AA17" i="5"/>
  <c r="AA9" i="3"/>
  <c r="BG9" i="2" s="1"/>
  <c r="AA9" i="5"/>
  <c r="X24" i="3"/>
  <c r="X24" i="5"/>
  <c r="L24" i="5"/>
  <c r="L24" i="3"/>
  <c r="AR24" i="2" s="1"/>
  <c r="F24" i="3"/>
  <c r="AL24" i="2" s="1"/>
  <c r="F24" i="5"/>
  <c r="AA18" i="3"/>
  <c r="BG18" i="2" s="1"/>
  <c r="AA18" i="5"/>
  <c r="D24" i="3"/>
  <c r="AJ24" i="2" s="1"/>
  <c r="D24" i="5"/>
  <c r="C26" i="5"/>
  <c r="C26" i="3"/>
  <c r="AA16" i="5"/>
  <c r="AA16" i="3"/>
  <c r="BG16" i="2" s="1"/>
  <c r="AA8" i="5"/>
  <c r="AA8" i="3"/>
  <c r="BG8" i="2" s="1"/>
  <c r="K24" i="3"/>
  <c r="AQ24" i="2" s="1"/>
  <c r="K24" i="5"/>
  <c r="T24" i="3"/>
  <c r="T24" i="5"/>
  <c r="J24" i="3"/>
  <c r="AP24" i="2" s="1"/>
  <c r="J24" i="5"/>
  <c r="H24" i="5"/>
  <c r="H24" i="3"/>
  <c r="AN24" i="2" s="1"/>
  <c r="AB23" i="3"/>
  <c r="BH23" i="2" s="1"/>
  <c r="AB23" i="5"/>
  <c r="C25" i="5"/>
  <c r="C25" i="3"/>
  <c r="AA15" i="5"/>
  <c r="AA15" i="3"/>
  <c r="BG15" i="2" s="1"/>
  <c r="AA7" i="3"/>
  <c r="BG7" i="2" s="1"/>
  <c r="AA7" i="5"/>
  <c r="S24" i="3"/>
  <c r="AY24" i="2" s="1"/>
  <c r="S24" i="5"/>
  <c r="E24" i="5"/>
  <c r="E24" i="3"/>
  <c r="AK24" i="2" s="1"/>
  <c r="N24" i="3"/>
  <c r="AT24" i="2" s="1"/>
  <c r="N24" i="5"/>
  <c r="AA10" i="3"/>
  <c r="BG10" i="2" s="1"/>
  <c r="AA10" i="5"/>
  <c r="Y24" i="3"/>
  <c r="BE24" i="2" s="1"/>
  <c r="Y24" i="5"/>
  <c r="AA22" i="3"/>
  <c r="BG22" i="2" s="1"/>
  <c r="AA22" i="5"/>
  <c r="AA14" i="3"/>
  <c r="BG14" i="2" s="1"/>
  <c r="AA14" i="5"/>
  <c r="AA6" i="3"/>
  <c r="BG6" i="2" s="1"/>
  <c r="AA6" i="5"/>
  <c r="AA24" i="5"/>
  <c r="AA24" i="3"/>
  <c r="BG24" i="2" s="1"/>
  <c r="I24" i="3"/>
  <c r="AO24" i="2" s="1"/>
  <c r="I24" i="5"/>
  <c r="R24" i="5"/>
  <c r="R24" i="3"/>
  <c r="AX24" i="2" s="1"/>
  <c r="AA21" i="5"/>
  <c r="AA21" i="3"/>
  <c r="BG21" i="2" s="1"/>
  <c r="AA13" i="5"/>
  <c r="AA13" i="3"/>
  <c r="BG13" i="2" s="1"/>
  <c r="AA5" i="3"/>
  <c r="BG5" i="2" s="1"/>
  <c r="AA5" i="5"/>
  <c r="G24" i="3"/>
  <c r="AM24" i="2" s="1"/>
  <c r="G24" i="5"/>
  <c r="M24" i="3"/>
  <c r="AS24" i="2" s="1"/>
  <c r="M24" i="5"/>
  <c r="V24" i="3"/>
  <c r="BB24" i="2" s="1"/>
  <c r="V24" i="5"/>
  <c r="AA20" i="5"/>
  <c r="AA20" i="3"/>
  <c r="BG20" i="2" s="1"/>
  <c r="AA12" i="5"/>
  <c r="AA12" i="3"/>
  <c r="BG12" i="2" s="1"/>
  <c r="AA4" i="5"/>
  <c r="AA4" i="3"/>
  <c r="BG4" i="2" s="1"/>
  <c r="W24" i="3"/>
  <c r="BC24" i="2" s="1"/>
  <c r="W24" i="5"/>
  <c r="Q24" i="3"/>
  <c r="AW24" i="2" s="1"/>
  <c r="Q24" i="5"/>
  <c r="Z24" i="3"/>
  <c r="Z24" i="5"/>
  <c r="BC22" i="2"/>
  <c r="AY23" i="2"/>
  <c r="BD23" i="2"/>
  <c r="AA19" i="3"/>
  <c r="BG19" i="2" s="1"/>
  <c r="AA19" i="5"/>
  <c r="AA11" i="3"/>
  <c r="BG11" i="2" s="1"/>
  <c r="AA11" i="5"/>
  <c r="O24" i="3"/>
  <c r="AU24" i="2" s="1"/>
  <c r="O24" i="5"/>
  <c r="P24" i="3"/>
  <c r="AV24" i="2" s="1"/>
  <c r="P24" i="5"/>
  <c r="U24" i="3"/>
  <c r="BA24" i="2" s="1"/>
  <c r="U24" i="5"/>
  <c r="AA25" i="2"/>
  <c r="W25" i="2"/>
  <c r="O25" i="2"/>
  <c r="Z25" i="2"/>
  <c r="V25" i="2"/>
  <c r="N25" i="2"/>
  <c r="J25" i="2"/>
  <c r="F25" i="2"/>
  <c r="E25" i="2"/>
  <c r="Y25" i="2"/>
  <c r="AB25" i="2"/>
  <c r="T25" i="2"/>
  <c r="L25" i="2"/>
  <c r="AB4" i="2"/>
  <c r="AB5" i="2"/>
  <c r="AB6" i="2"/>
  <c r="AB7" i="2"/>
  <c r="AB8" i="2"/>
  <c r="AB9" i="2"/>
  <c r="AB10" i="2"/>
  <c r="AB11" i="2"/>
  <c r="AB12" i="2"/>
  <c r="AB13" i="2"/>
  <c r="AB14" i="2"/>
  <c r="AB15" i="2"/>
  <c r="AB16" i="2"/>
  <c r="AB17" i="2"/>
  <c r="AB18" i="2"/>
  <c r="AB19" i="2"/>
  <c r="AB20" i="2"/>
  <c r="AB21" i="2"/>
  <c r="AB22" i="2"/>
  <c r="AB24" i="2"/>
  <c r="AC23" i="2"/>
  <c r="B26" i="2"/>
  <c r="AB16" i="5" l="1"/>
  <c r="AB16" i="3"/>
  <c r="BH16" i="2" s="1"/>
  <c r="AB8" i="3"/>
  <c r="BH8" i="2" s="1"/>
  <c r="AB8" i="5"/>
  <c r="Q25" i="2"/>
  <c r="M25" i="2"/>
  <c r="G25" i="2"/>
  <c r="AB17" i="3"/>
  <c r="BH17" i="2" s="1"/>
  <c r="AB17" i="5"/>
  <c r="Z25" i="3"/>
  <c r="BF25" i="2" s="1"/>
  <c r="Z25" i="5"/>
  <c r="AC23" i="3"/>
  <c r="BI23" i="2" s="1"/>
  <c r="AC23" i="5"/>
  <c r="AB24" i="5"/>
  <c r="AB24" i="3"/>
  <c r="BH24" i="2" s="1"/>
  <c r="AB15" i="3"/>
  <c r="BH15" i="2" s="1"/>
  <c r="AB15" i="5"/>
  <c r="AB7" i="3"/>
  <c r="BH7" i="2" s="1"/>
  <c r="AB7" i="5"/>
  <c r="D25" i="2"/>
  <c r="U25" i="2"/>
  <c r="K25" i="2"/>
  <c r="I25" i="2"/>
  <c r="AB22" i="3"/>
  <c r="AB22" i="5"/>
  <c r="BH22" i="2"/>
  <c r="AB14" i="3"/>
  <c r="BH14" i="2" s="1"/>
  <c r="AB14" i="5"/>
  <c r="AB6" i="5"/>
  <c r="AB6" i="3"/>
  <c r="BH6" i="2" s="1"/>
  <c r="L25" i="3"/>
  <c r="AR25" i="2" s="1"/>
  <c r="L25" i="5"/>
  <c r="F25" i="5"/>
  <c r="F25" i="3"/>
  <c r="AL25" i="2" s="1"/>
  <c r="O25" i="3"/>
  <c r="AU25" i="2" s="1"/>
  <c r="O25" i="5"/>
  <c r="BF24" i="2"/>
  <c r="BD24" i="2"/>
  <c r="AB21" i="3"/>
  <c r="BH21" i="2" s="1"/>
  <c r="AB21" i="5"/>
  <c r="AB13" i="3"/>
  <c r="BH13" i="2" s="1"/>
  <c r="AB13" i="5"/>
  <c r="AB5" i="3"/>
  <c r="BH5" i="2" s="1"/>
  <c r="AB5" i="5"/>
  <c r="T25" i="3"/>
  <c r="T25" i="5"/>
  <c r="J25" i="3"/>
  <c r="AP25" i="2" s="1"/>
  <c r="J25" i="5"/>
  <c r="S25" i="2"/>
  <c r="E25" i="5"/>
  <c r="E25" i="3"/>
  <c r="AK25" i="2" s="1"/>
  <c r="AB20" i="3"/>
  <c r="BH20" i="2" s="1"/>
  <c r="AB20" i="5"/>
  <c r="AB12" i="5"/>
  <c r="AB12" i="3"/>
  <c r="BH12" i="2" s="1"/>
  <c r="AB4" i="3"/>
  <c r="BH4" i="2" s="1"/>
  <c r="AB4" i="5"/>
  <c r="AB25" i="3"/>
  <c r="BH25" i="2" s="1"/>
  <c r="AB25" i="5"/>
  <c r="N25" i="3"/>
  <c r="AT25" i="2" s="1"/>
  <c r="N25" i="5"/>
  <c r="W25" i="5"/>
  <c r="W25" i="3"/>
  <c r="BC25" i="2" s="1"/>
  <c r="AB19" i="3"/>
  <c r="BH19" i="2" s="1"/>
  <c r="AB19" i="5"/>
  <c r="AB11" i="5"/>
  <c r="AB11" i="3"/>
  <c r="BH11" i="2" s="1"/>
  <c r="P25" i="2"/>
  <c r="H25" i="2"/>
  <c r="R25" i="2"/>
  <c r="AA25" i="5"/>
  <c r="AA25" i="3"/>
  <c r="BG25" i="2" s="1"/>
  <c r="AZ24" i="2"/>
  <c r="AB9" i="3"/>
  <c r="BH9" i="2" s="1"/>
  <c r="AB9" i="5"/>
  <c r="AB18" i="5"/>
  <c r="AB18" i="3"/>
  <c r="BH18" i="2" s="1"/>
  <c r="AB10" i="5"/>
  <c r="AB10" i="3"/>
  <c r="BH10" i="2" s="1"/>
  <c r="X25" i="2"/>
  <c r="Y25" i="3"/>
  <c r="Y25" i="5"/>
  <c r="V25" i="3"/>
  <c r="BB25" i="2" s="1"/>
  <c r="V25" i="5"/>
  <c r="AC25" i="2"/>
  <c r="AC4" i="2"/>
  <c r="AC5" i="2"/>
  <c r="AC6" i="2"/>
  <c r="AC7" i="2"/>
  <c r="AC8" i="2"/>
  <c r="AC9" i="2"/>
  <c r="AC10" i="2"/>
  <c r="AC11" i="2"/>
  <c r="AC12" i="2"/>
  <c r="AC13" i="2"/>
  <c r="AC14" i="2"/>
  <c r="AC15" i="2"/>
  <c r="AC16" i="2"/>
  <c r="AC17" i="2"/>
  <c r="AC18" i="2"/>
  <c r="AC19" i="2"/>
  <c r="AC20" i="2"/>
  <c r="AC21" i="2"/>
  <c r="AC22" i="2"/>
  <c r="AC24" i="2"/>
  <c r="AB26" i="2"/>
  <c r="X26" i="2"/>
  <c r="T26" i="2"/>
  <c r="P26" i="2"/>
  <c r="L26" i="2"/>
  <c r="H26" i="2"/>
  <c r="D26" i="2"/>
  <c r="AA26" i="2"/>
  <c r="W26" i="2"/>
  <c r="S26" i="2"/>
  <c r="O26" i="2"/>
  <c r="K26" i="2"/>
  <c r="G26" i="2"/>
  <c r="V26" i="2"/>
  <c r="N26" i="2"/>
  <c r="F26" i="2"/>
  <c r="Z26" i="2"/>
  <c r="J26" i="2"/>
  <c r="Q26" i="2"/>
  <c r="AC26" i="2"/>
  <c r="U26" i="2"/>
  <c r="M26" i="2"/>
  <c r="E26" i="2"/>
  <c r="R26" i="2"/>
  <c r="Y26" i="2"/>
  <c r="I26" i="2"/>
  <c r="C27" i="2"/>
  <c r="B27" i="2"/>
  <c r="AD23" i="2"/>
  <c r="AC22" i="3" l="1"/>
  <c r="BI22" i="2" s="1"/>
  <c r="AC22" i="5"/>
  <c r="AC14" i="3"/>
  <c r="BI14" i="2" s="1"/>
  <c r="AC14" i="5"/>
  <c r="Q25" i="3"/>
  <c r="AW25" i="2" s="1"/>
  <c r="Q25" i="5"/>
  <c r="S25" i="3"/>
  <c r="AY25" i="2" s="1"/>
  <c r="S25" i="5"/>
  <c r="I25" i="3"/>
  <c r="AO25" i="2" s="1"/>
  <c r="I25" i="5"/>
  <c r="M26" i="3"/>
  <c r="AS26" i="2" s="1"/>
  <c r="M26" i="5"/>
  <c r="V26" i="3"/>
  <c r="BB26" i="2" s="1"/>
  <c r="V26" i="5"/>
  <c r="AC21" i="5"/>
  <c r="AC21" i="3"/>
  <c r="BI21" i="2" s="1"/>
  <c r="AC5" i="3"/>
  <c r="BI5" i="2" s="1"/>
  <c r="AC5" i="5"/>
  <c r="C27" i="5"/>
  <c r="C27" i="3"/>
  <c r="U26" i="5"/>
  <c r="U26" i="3"/>
  <c r="BA26" i="2"/>
  <c r="G26" i="3"/>
  <c r="AM26" i="2" s="1"/>
  <c r="G26" i="5"/>
  <c r="L26" i="3"/>
  <c r="AR26" i="2" s="1"/>
  <c r="L26" i="5"/>
  <c r="AC20" i="5"/>
  <c r="AC20" i="3"/>
  <c r="BI20" i="2" s="1"/>
  <c r="AC12" i="5"/>
  <c r="AC12" i="3"/>
  <c r="BI12" i="2" s="1"/>
  <c r="AC4" i="3"/>
  <c r="AC4" i="5"/>
  <c r="H25" i="3"/>
  <c r="AN25" i="2" s="1"/>
  <c r="H25" i="5"/>
  <c r="K25" i="3"/>
  <c r="AQ25" i="2" s="1"/>
  <c r="K25" i="5"/>
  <c r="E26" i="3"/>
  <c r="AK26" i="2" s="1"/>
  <c r="E26" i="5"/>
  <c r="H26" i="3"/>
  <c r="AN26" i="2" s="1"/>
  <c r="H26" i="5"/>
  <c r="AC13" i="3"/>
  <c r="BI13" i="2" s="1"/>
  <c r="AC13" i="5"/>
  <c r="AC26" i="5"/>
  <c r="AC26" i="3"/>
  <c r="BI26" i="2" s="1"/>
  <c r="K26" i="3"/>
  <c r="AQ26" i="2" s="1"/>
  <c r="K26" i="5"/>
  <c r="P26" i="5"/>
  <c r="P26" i="3"/>
  <c r="AV26" i="2" s="1"/>
  <c r="AC19" i="3"/>
  <c r="BI19" i="2" s="1"/>
  <c r="AC19" i="5"/>
  <c r="AC11" i="5"/>
  <c r="AC11" i="3"/>
  <c r="BI11" i="2" s="1"/>
  <c r="AC25" i="5"/>
  <c r="AC25" i="3"/>
  <c r="BI25" i="2" s="1"/>
  <c r="BE25" i="2"/>
  <c r="D26" i="3"/>
  <c r="AJ26" i="2" s="1"/>
  <c r="D26" i="5"/>
  <c r="AC6" i="3"/>
  <c r="BI6" i="2" s="1"/>
  <c r="AC6" i="5"/>
  <c r="AD23" i="3"/>
  <c r="BJ23" i="2" s="1"/>
  <c r="AD23" i="5"/>
  <c r="Q26" i="3"/>
  <c r="AW26" i="2" s="1"/>
  <c r="Q26" i="5"/>
  <c r="O26" i="3"/>
  <c r="AU26" i="2" s="1"/>
  <c r="O26" i="5"/>
  <c r="T26" i="3"/>
  <c r="AZ26" i="2" s="1"/>
  <c r="T26" i="5"/>
  <c r="AC18" i="5"/>
  <c r="AC18" i="3"/>
  <c r="BI18" i="2" s="1"/>
  <c r="AC10" i="5"/>
  <c r="AC10" i="3"/>
  <c r="BI10" i="2" s="1"/>
  <c r="P25" i="5"/>
  <c r="P25" i="3"/>
  <c r="AV25" i="2" s="1"/>
  <c r="U25" i="5"/>
  <c r="U25" i="3"/>
  <c r="BA25" i="2" s="1"/>
  <c r="N26" i="3"/>
  <c r="AT26" i="2" s="1"/>
  <c r="N26" i="5"/>
  <c r="R25" i="3"/>
  <c r="AX25" i="2" s="1"/>
  <c r="R25" i="5"/>
  <c r="I26" i="5"/>
  <c r="I26" i="3"/>
  <c r="AO26" i="2" s="1"/>
  <c r="J26" i="5"/>
  <c r="J26" i="3"/>
  <c r="AP26" i="2" s="1"/>
  <c r="S26" i="3"/>
  <c r="AY26" i="2" s="1"/>
  <c r="S26" i="5"/>
  <c r="X26" i="3"/>
  <c r="BD26" i="2" s="1"/>
  <c r="X26" i="5"/>
  <c r="AC17" i="5"/>
  <c r="AC17" i="3"/>
  <c r="BI17" i="2" s="1"/>
  <c r="AC9" i="5"/>
  <c r="AC9" i="3"/>
  <c r="BI9" i="2" s="1"/>
  <c r="G25" i="3"/>
  <c r="AM25" i="2" s="1"/>
  <c r="G25" i="5"/>
  <c r="Y26" i="5"/>
  <c r="Y26" i="3"/>
  <c r="BE26" i="2" s="1"/>
  <c r="Z26" i="3"/>
  <c r="BF26" i="2" s="1"/>
  <c r="Z26" i="5"/>
  <c r="W26" i="3"/>
  <c r="BC26" i="2" s="1"/>
  <c r="W26" i="5"/>
  <c r="AB26" i="5"/>
  <c r="AB26" i="3"/>
  <c r="AC16" i="3"/>
  <c r="BI16" i="2" s="1"/>
  <c r="AC16" i="5"/>
  <c r="AC8" i="5"/>
  <c r="AC8" i="3"/>
  <c r="BI8" i="2" s="1"/>
  <c r="X25" i="3"/>
  <c r="BD25" i="2" s="1"/>
  <c r="X25" i="5"/>
  <c r="AZ25" i="2"/>
  <c r="D25" i="3"/>
  <c r="AJ25" i="2" s="1"/>
  <c r="D25" i="5"/>
  <c r="R26" i="5"/>
  <c r="R26" i="3"/>
  <c r="AX26" i="2" s="1"/>
  <c r="F26" i="5"/>
  <c r="F26" i="3"/>
  <c r="AL26" i="2" s="1"/>
  <c r="AA26" i="3"/>
  <c r="AA26" i="5"/>
  <c r="AC24" i="3"/>
  <c r="BI24" i="2" s="1"/>
  <c r="AC24" i="5"/>
  <c r="AC15" i="5"/>
  <c r="AC15" i="3"/>
  <c r="BI15" i="2" s="1"/>
  <c r="AC7" i="3"/>
  <c r="BI7" i="2" s="1"/>
  <c r="AC7" i="5"/>
  <c r="M25" i="5"/>
  <c r="M25" i="3"/>
  <c r="AS25" i="2" s="1"/>
  <c r="AC27" i="2"/>
  <c r="Y27" i="2"/>
  <c r="U27" i="2"/>
  <c r="M27" i="2"/>
  <c r="E27" i="2"/>
  <c r="AB27" i="2"/>
  <c r="X27" i="2"/>
  <c r="T27" i="2"/>
  <c r="P27" i="2"/>
  <c r="H27" i="2"/>
  <c r="D27" i="2"/>
  <c r="W27" i="2"/>
  <c r="O27" i="2"/>
  <c r="G27" i="2"/>
  <c r="S27" i="2"/>
  <c r="R27" i="2"/>
  <c r="AD27" i="2"/>
  <c r="F27" i="2"/>
  <c r="AA27" i="2"/>
  <c r="K27" i="2"/>
  <c r="J27" i="2"/>
  <c r="AD4" i="2"/>
  <c r="AD5" i="2"/>
  <c r="AD6" i="2"/>
  <c r="AD7" i="2"/>
  <c r="AD8" i="2"/>
  <c r="AD9" i="2"/>
  <c r="AD10" i="2"/>
  <c r="AD11" i="2"/>
  <c r="AD12" i="2"/>
  <c r="AD13" i="2"/>
  <c r="AD14" i="2"/>
  <c r="AD15" i="2"/>
  <c r="AD16" i="2"/>
  <c r="AD17" i="2"/>
  <c r="AD18" i="2"/>
  <c r="AD19" i="2"/>
  <c r="AD20" i="2"/>
  <c r="AD21" i="2"/>
  <c r="AD22" i="2"/>
  <c r="AD24" i="2"/>
  <c r="AD25" i="2"/>
  <c r="AD26" i="2"/>
  <c r="B28" i="2"/>
  <c r="C28" i="2"/>
  <c r="C29" i="2"/>
  <c r="AE23" i="2"/>
  <c r="AD17" i="3" l="1"/>
  <c r="BJ17" i="2" s="1"/>
  <c r="AD17" i="5"/>
  <c r="AD9" i="3"/>
  <c r="BJ9" i="2" s="1"/>
  <c r="AD9" i="5"/>
  <c r="G27" i="5"/>
  <c r="G27" i="3"/>
  <c r="AM27" i="2" s="1"/>
  <c r="X27" i="3"/>
  <c r="BD27" i="2" s="1"/>
  <c r="X27" i="5"/>
  <c r="AC27" i="3"/>
  <c r="BI27" i="2" s="1"/>
  <c r="AC27" i="5"/>
  <c r="AD26" i="5"/>
  <c r="AD26" i="3"/>
  <c r="BJ26" i="2" s="1"/>
  <c r="K27" i="5"/>
  <c r="K27" i="3"/>
  <c r="AQ27" i="2" s="1"/>
  <c r="AE23" i="3"/>
  <c r="BK23" i="2" s="1"/>
  <c r="AE23" i="5"/>
  <c r="AD25" i="3"/>
  <c r="BJ25" i="2" s="1"/>
  <c r="AD25" i="5"/>
  <c r="AD16" i="5"/>
  <c r="AD16" i="3"/>
  <c r="BJ16" i="2" s="1"/>
  <c r="AD8" i="3"/>
  <c r="BJ8" i="2" s="1"/>
  <c r="AD8" i="5"/>
  <c r="AA27" i="3"/>
  <c r="BG27" i="2" s="1"/>
  <c r="AA27" i="5"/>
  <c r="O27" i="3"/>
  <c r="AU27" i="2" s="1"/>
  <c r="O27" i="5"/>
  <c r="AB27" i="3"/>
  <c r="BH27" i="2" s="1"/>
  <c r="AB27" i="5"/>
  <c r="BH26" i="2"/>
  <c r="C28" i="5"/>
  <c r="C28" i="3"/>
  <c r="AD24" i="5"/>
  <c r="AD24" i="3"/>
  <c r="BJ24" i="2" s="1"/>
  <c r="AD15" i="5"/>
  <c r="AD15" i="3"/>
  <c r="BJ15" i="2" s="1"/>
  <c r="AD7" i="3"/>
  <c r="BJ7" i="2" s="1"/>
  <c r="AD7" i="5"/>
  <c r="F27" i="3"/>
  <c r="AL27" i="2" s="1"/>
  <c r="F27" i="5"/>
  <c r="W27" i="3"/>
  <c r="BC27" i="2" s="1"/>
  <c r="W27" i="5"/>
  <c r="E27" i="5"/>
  <c r="E27" i="3"/>
  <c r="AK27" i="2" s="1"/>
  <c r="AD22" i="3"/>
  <c r="BJ22" i="2" s="1"/>
  <c r="AD22" i="5"/>
  <c r="AD14" i="3"/>
  <c r="BJ14" i="2" s="1"/>
  <c r="AD14" i="5"/>
  <c r="AD6" i="3"/>
  <c r="BJ6" i="2" s="1"/>
  <c r="AD6" i="5"/>
  <c r="N27" i="2"/>
  <c r="D27" i="3"/>
  <c r="AJ27" i="2" s="1"/>
  <c r="D27" i="5"/>
  <c r="I27" i="2"/>
  <c r="AD21" i="3"/>
  <c r="BJ21" i="2" s="1"/>
  <c r="AD21" i="5"/>
  <c r="AD13" i="5"/>
  <c r="AD13" i="3"/>
  <c r="BJ13" i="2" s="1"/>
  <c r="AD5" i="3"/>
  <c r="BJ5" i="2" s="1"/>
  <c r="AD5" i="5"/>
  <c r="V27" i="2"/>
  <c r="H27" i="3"/>
  <c r="AN27" i="2" s="1"/>
  <c r="H27" i="5"/>
  <c r="M27" i="5"/>
  <c r="M27" i="3"/>
  <c r="AS27" i="2" s="1"/>
  <c r="AD20" i="3"/>
  <c r="BJ20" i="2" s="1"/>
  <c r="AD20" i="5"/>
  <c r="AD12" i="5"/>
  <c r="AD12" i="3"/>
  <c r="BJ12" i="2" s="1"/>
  <c r="AD4" i="3"/>
  <c r="BJ4" i="2" s="1"/>
  <c r="AD4" i="5"/>
  <c r="AD27" i="3"/>
  <c r="BJ27" i="2" s="1"/>
  <c r="AD27" i="5"/>
  <c r="L27" i="2"/>
  <c r="Q27" i="2"/>
  <c r="AD19" i="5"/>
  <c r="AD19" i="3"/>
  <c r="BJ19" i="2" s="1"/>
  <c r="AD11" i="3"/>
  <c r="BJ11" i="2" s="1"/>
  <c r="AD11" i="5"/>
  <c r="J27" i="5"/>
  <c r="J27" i="3"/>
  <c r="AP27" i="2" s="1"/>
  <c r="R27" i="5"/>
  <c r="R27" i="3"/>
  <c r="AX27" i="2" s="1"/>
  <c r="P27" i="3"/>
  <c r="P27" i="5"/>
  <c r="AV27" i="2"/>
  <c r="U27" i="5"/>
  <c r="U27" i="3"/>
  <c r="BA27" i="2" s="1"/>
  <c r="BG26" i="2"/>
  <c r="BI4" i="2"/>
  <c r="C29" i="5"/>
  <c r="C29" i="3"/>
  <c r="AD18" i="3"/>
  <c r="BJ18" i="2" s="1"/>
  <c r="AD18" i="5"/>
  <c r="AD10" i="5"/>
  <c r="AD10" i="3"/>
  <c r="BJ10" i="2" s="1"/>
  <c r="Z27" i="2"/>
  <c r="S27" i="5"/>
  <c r="S27" i="3"/>
  <c r="AY27" i="2"/>
  <c r="T27" i="5"/>
  <c r="T27" i="3"/>
  <c r="AZ27" i="2" s="1"/>
  <c r="Y27" i="3"/>
  <c r="BE27" i="2" s="1"/>
  <c r="Y27" i="5"/>
  <c r="Y28" i="2"/>
  <c r="U28" i="2"/>
  <c r="Q28" i="2"/>
  <c r="M28" i="2"/>
  <c r="I28" i="2"/>
  <c r="E28" i="2"/>
  <c r="X28" i="2"/>
  <c r="T28" i="2"/>
  <c r="L28" i="2"/>
  <c r="H28" i="2"/>
  <c r="D28" i="2"/>
  <c r="AA28" i="2"/>
  <c r="Z28" i="2"/>
  <c r="J28" i="2"/>
  <c r="AE28" i="2"/>
  <c r="O28" i="2"/>
  <c r="AD28" i="2"/>
  <c r="V28" i="2"/>
  <c r="AE4" i="2"/>
  <c r="AE5" i="2"/>
  <c r="AE6" i="2"/>
  <c r="AE7" i="2"/>
  <c r="AE8" i="2"/>
  <c r="AE9" i="2"/>
  <c r="AE10" i="2"/>
  <c r="AE11" i="2"/>
  <c r="AE12" i="2"/>
  <c r="AE13" i="2"/>
  <c r="AE14" i="2"/>
  <c r="AE15" i="2"/>
  <c r="AE16" i="2"/>
  <c r="AE17" i="2"/>
  <c r="AE18" i="2"/>
  <c r="AE19" i="2"/>
  <c r="AE20" i="2"/>
  <c r="AE21" i="2"/>
  <c r="AE22" i="2"/>
  <c r="AE24" i="2"/>
  <c r="AE25" i="2"/>
  <c r="AE26" i="2"/>
  <c r="AE27" i="2"/>
  <c r="B29" i="2"/>
  <c r="AF23" i="2"/>
  <c r="AE19" i="3" l="1"/>
  <c r="BK19" i="2" s="1"/>
  <c r="AE19" i="5"/>
  <c r="AE11" i="3"/>
  <c r="BK11" i="2" s="1"/>
  <c r="AE11" i="5"/>
  <c r="V28" i="5"/>
  <c r="V28" i="3"/>
  <c r="BB28" i="2" s="1"/>
  <c r="J28" i="3"/>
  <c r="AP28" i="2" s="1"/>
  <c r="J28" i="5"/>
  <c r="L28" i="3"/>
  <c r="AR28" i="2" s="1"/>
  <c r="L28" i="5"/>
  <c r="Q28" i="3"/>
  <c r="AW28" i="2" s="1"/>
  <c r="Q28" i="5"/>
  <c r="I27" i="5"/>
  <c r="I27" i="3"/>
  <c r="AO27" i="2" s="1"/>
  <c r="AE27" i="5"/>
  <c r="AE27" i="3"/>
  <c r="BK27" i="2" s="1"/>
  <c r="AE18" i="3"/>
  <c r="AE18" i="5"/>
  <c r="BK18" i="2"/>
  <c r="AE10" i="3"/>
  <c r="BK10" i="2" s="1"/>
  <c r="AE10" i="5"/>
  <c r="W28" i="2"/>
  <c r="R28" i="2"/>
  <c r="P28" i="2"/>
  <c r="U28" i="5"/>
  <c r="U28" i="3"/>
  <c r="BA28" i="2" s="1"/>
  <c r="Z27" i="3"/>
  <c r="Z27" i="5"/>
  <c r="L27" i="3"/>
  <c r="AR27" i="2" s="1"/>
  <c r="L27" i="5"/>
  <c r="AE26" i="5"/>
  <c r="AE26" i="3"/>
  <c r="BK26" i="2" s="1"/>
  <c r="AE17" i="5"/>
  <c r="AE17" i="3"/>
  <c r="BK17" i="2" s="1"/>
  <c r="AE9" i="5"/>
  <c r="AE9" i="3"/>
  <c r="BK9" i="2" s="1"/>
  <c r="N28" i="2"/>
  <c r="Z28" i="3"/>
  <c r="BF28" i="2" s="1"/>
  <c r="Z28" i="5"/>
  <c r="T28" i="3"/>
  <c r="AZ28" i="2" s="1"/>
  <c r="T28" i="5"/>
  <c r="Y28" i="3"/>
  <c r="BE28" i="2" s="1"/>
  <c r="Y28" i="5"/>
  <c r="AF23" i="3"/>
  <c r="BL23" i="2" s="1"/>
  <c r="AF23" i="5"/>
  <c r="AE25" i="5"/>
  <c r="AE25" i="3"/>
  <c r="BK25" i="2" s="1"/>
  <c r="AE16" i="3"/>
  <c r="BK16" i="2" s="1"/>
  <c r="AE16" i="5"/>
  <c r="AE8" i="3"/>
  <c r="BK8" i="2" s="1"/>
  <c r="AE8" i="5"/>
  <c r="AD28" i="3"/>
  <c r="BJ28" i="2" s="1"/>
  <c r="AD28" i="5"/>
  <c r="K28" i="2"/>
  <c r="X28" i="3"/>
  <c r="BD28" i="2" s="1"/>
  <c r="X28" i="5"/>
  <c r="AC28" i="2"/>
  <c r="AE24" i="3"/>
  <c r="BK24" i="2" s="1"/>
  <c r="AE24" i="5"/>
  <c r="AE15" i="5"/>
  <c r="AE15" i="3"/>
  <c r="BK15" i="2" s="1"/>
  <c r="AE7" i="3"/>
  <c r="BK7" i="2" s="1"/>
  <c r="AE7" i="5"/>
  <c r="F28" i="2"/>
  <c r="S28" i="2"/>
  <c r="AB28" i="2"/>
  <c r="AE22" i="5"/>
  <c r="AE22" i="3"/>
  <c r="BK22" i="2" s="1"/>
  <c r="AE14" i="3"/>
  <c r="BK14" i="2" s="1"/>
  <c r="AE14" i="5"/>
  <c r="AE6" i="5"/>
  <c r="AE6" i="3"/>
  <c r="BK6" i="2" s="1"/>
  <c r="G28" i="2"/>
  <c r="AA28" i="3"/>
  <c r="BG28" i="2" s="1"/>
  <c r="AA28" i="5"/>
  <c r="E28" i="3"/>
  <c r="AK28" i="2" s="1"/>
  <c r="E28" i="5"/>
  <c r="V27" i="5"/>
  <c r="V27" i="3"/>
  <c r="BB27" i="2"/>
  <c r="N27" i="5"/>
  <c r="N27" i="3"/>
  <c r="AT27" i="2" s="1"/>
  <c r="AE21" i="3"/>
  <c r="BK21" i="2" s="1"/>
  <c r="AE21" i="5"/>
  <c r="AE13" i="3"/>
  <c r="BK13" i="2" s="1"/>
  <c r="AE13" i="5"/>
  <c r="AE5" i="3"/>
  <c r="BK5" i="2" s="1"/>
  <c r="AE5" i="5"/>
  <c r="O28" i="3"/>
  <c r="AU28" i="2" s="1"/>
  <c r="O28" i="5"/>
  <c r="D28" i="5"/>
  <c r="D28" i="3"/>
  <c r="AJ28" i="2" s="1"/>
  <c r="I28" i="3"/>
  <c r="AO28" i="2" s="1"/>
  <c r="I28" i="5"/>
  <c r="AE20" i="3"/>
  <c r="BK20" i="2" s="1"/>
  <c r="AE20" i="5"/>
  <c r="AE12" i="3"/>
  <c r="BK12" i="2" s="1"/>
  <c r="AE12" i="5"/>
  <c r="AE4" i="5"/>
  <c r="AE4" i="3"/>
  <c r="BK4" i="2"/>
  <c r="AE28" i="5"/>
  <c r="AE28" i="3"/>
  <c r="BK28" i="2" s="1"/>
  <c r="H28" i="5"/>
  <c r="H28" i="3"/>
  <c r="AN28" i="2" s="1"/>
  <c r="M28" i="3"/>
  <c r="AS28" i="2" s="1"/>
  <c r="M28" i="5"/>
  <c r="Q27" i="3"/>
  <c r="AW27" i="2" s="1"/>
  <c r="Q27" i="5"/>
  <c r="AD29" i="2"/>
  <c r="Z29" i="2"/>
  <c r="R29" i="2"/>
  <c r="F29" i="2"/>
  <c r="AC29" i="2"/>
  <c r="Y29" i="2"/>
  <c r="U29" i="2"/>
  <c r="Q29" i="2"/>
  <c r="M29" i="2"/>
  <c r="I29" i="2"/>
  <c r="E29" i="2"/>
  <c r="T29" i="2"/>
  <c r="K29" i="2"/>
  <c r="AF29" i="2"/>
  <c r="P29" i="2"/>
  <c r="H29" i="2"/>
  <c r="W29" i="2"/>
  <c r="AE29" i="2"/>
  <c r="O29" i="2"/>
  <c r="X29" i="2"/>
  <c r="G29" i="2"/>
  <c r="AF4" i="2"/>
  <c r="AF5" i="2"/>
  <c r="AF6" i="2"/>
  <c r="AF7" i="2"/>
  <c r="AF8" i="2"/>
  <c r="AF9" i="2"/>
  <c r="AF10" i="2"/>
  <c r="AF11" i="2"/>
  <c r="AF12" i="2"/>
  <c r="AF13" i="2"/>
  <c r="AF14" i="2"/>
  <c r="AF15" i="2"/>
  <c r="AF16" i="2"/>
  <c r="AF17" i="2"/>
  <c r="AF18" i="2"/>
  <c r="AF19" i="2"/>
  <c r="AF20" i="2"/>
  <c r="AF21" i="2"/>
  <c r="AF22" i="2"/>
  <c r="AF24" i="2"/>
  <c r="AF25" i="2"/>
  <c r="AF26" i="2"/>
  <c r="AF27" i="2"/>
  <c r="AF28" i="2"/>
  <c r="B30" i="2"/>
  <c r="AG23" i="2"/>
  <c r="C30" i="2"/>
  <c r="AF24" i="5" l="1"/>
  <c r="AF24" i="3"/>
  <c r="BL24" i="2" s="1"/>
  <c r="AF15" i="5"/>
  <c r="AF15" i="3"/>
  <c r="BL15" i="2" s="1"/>
  <c r="AF7" i="5"/>
  <c r="AF7" i="3"/>
  <c r="BL7" i="2" s="1"/>
  <c r="W29" i="5"/>
  <c r="W29" i="3"/>
  <c r="BC29" i="2" s="1"/>
  <c r="L29" i="2"/>
  <c r="Y29" i="3"/>
  <c r="BE29" i="2" s="1"/>
  <c r="Y29" i="5"/>
  <c r="AD29" i="3"/>
  <c r="BJ29" i="2" s="1"/>
  <c r="AD29" i="5"/>
  <c r="W28" i="3"/>
  <c r="BC28" i="2" s="1"/>
  <c r="W28" i="5"/>
  <c r="AF22" i="3"/>
  <c r="BL22" i="2" s="1"/>
  <c r="AF22" i="5"/>
  <c r="AF14" i="5"/>
  <c r="AF14" i="3"/>
  <c r="BL14" i="2" s="1"/>
  <c r="AF6" i="3"/>
  <c r="BL6" i="2" s="1"/>
  <c r="AF6" i="5"/>
  <c r="H29" i="5"/>
  <c r="H29" i="3"/>
  <c r="AN29" i="2" s="1"/>
  <c r="T29" i="5"/>
  <c r="T29" i="3"/>
  <c r="AZ29" i="2" s="1"/>
  <c r="AC29" i="3"/>
  <c r="BI29" i="2" s="1"/>
  <c r="AC29" i="5"/>
  <c r="S28" i="3"/>
  <c r="AY28" i="2" s="1"/>
  <c r="S28" i="5"/>
  <c r="AF21" i="5"/>
  <c r="AF21" i="3"/>
  <c r="BL21" i="2" s="1"/>
  <c r="AF13" i="5"/>
  <c r="AF13" i="3"/>
  <c r="BL13" i="2" s="1"/>
  <c r="AF5" i="5"/>
  <c r="AF5" i="3"/>
  <c r="BL5" i="2" s="1"/>
  <c r="P29" i="5"/>
  <c r="P29" i="3"/>
  <c r="AV29" i="2" s="1"/>
  <c r="AB29" i="2"/>
  <c r="F29" i="3"/>
  <c r="AL29" i="2" s="1"/>
  <c r="F29" i="5"/>
  <c r="G28" i="5"/>
  <c r="G28" i="3"/>
  <c r="AM28" i="2" s="1"/>
  <c r="N28" i="3"/>
  <c r="AT28" i="2" s="1"/>
  <c r="N28" i="5"/>
  <c r="AG23" i="3"/>
  <c r="BM23" i="2" s="1"/>
  <c r="AG23" i="5"/>
  <c r="AF20" i="5"/>
  <c r="AF20" i="3"/>
  <c r="BL20" i="2" s="1"/>
  <c r="AF12" i="5"/>
  <c r="AF12" i="3"/>
  <c r="BL12" i="2" s="1"/>
  <c r="AF4" i="5"/>
  <c r="AF4" i="3"/>
  <c r="BL4" i="2"/>
  <c r="AF29" i="3"/>
  <c r="BL29" i="2" s="1"/>
  <c r="AF29" i="5"/>
  <c r="E29" i="3"/>
  <c r="AK29" i="2" s="1"/>
  <c r="E29" i="5"/>
  <c r="J29" i="2"/>
  <c r="F28" i="3"/>
  <c r="AL28" i="2" s="1"/>
  <c r="F28" i="5"/>
  <c r="K28" i="3"/>
  <c r="AQ28" i="2" s="1"/>
  <c r="K28" i="5"/>
  <c r="C30" i="5"/>
  <c r="C30" i="3"/>
  <c r="AF28" i="3"/>
  <c r="AF28" i="5"/>
  <c r="BL28" i="2"/>
  <c r="AF19" i="3"/>
  <c r="BL19" i="2" s="1"/>
  <c r="AF19" i="5"/>
  <c r="AF11" i="3"/>
  <c r="BL11" i="2" s="1"/>
  <c r="AF11" i="5"/>
  <c r="G29" i="3"/>
  <c r="AM29" i="2" s="1"/>
  <c r="G29" i="5"/>
  <c r="K29" i="5"/>
  <c r="K29" i="3"/>
  <c r="AQ29" i="2" s="1"/>
  <c r="I29" i="5"/>
  <c r="I29" i="3"/>
  <c r="AO29" i="2" s="1"/>
  <c r="N29" i="2"/>
  <c r="P28" i="5"/>
  <c r="P28" i="3"/>
  <c r="AV28" i="2" s="1"/>
  <c r="AF27" i="5"/>
  <c r="AF27" i="3"/>
  <c r="BL27" i="2" s="1"/>
  <c r="AF18" i="3"/>
  <c r="BL18" i="2" s="1"/>
  <c r="AF18" i="5"/>
  <c r="AF10" i="3"/>
  <c r="BL10" i="2" s="1"/>
  <c r="AF10" i="5"/>
  <c r="X29" i="3"/>
  <c r="BD29" i="2" s="1"/>
  <c r="X29" i="5"/>
  <c r="S29" i="2"/>
  <c r="M29" i="5"/>
  <c r="M29" i="3"/>
  <c r="AS29" i="2" s="1"/>
  <c r="R29" i="5"/>
  <c r="R29" i="3"/>
  <c r="AX29" i="2" s="1"/>
  <c r="AF26" i="3"/>
  <c r="BL26" i="2" s="1"/>
  <c r="AF26" i="5"/>
  <c r="AF17" i="5"/>
  <c r="AF17" i="3"/>
  <c r="BL17" i="2" s="1"/>
  <c r="AF9" i="5"/>
  <c r="AF9" i="3"/>
  <c r="BL9" i="2" s="1"/>
  <c r="O29" i="3"/>
  <c r="AU29" i="2" s="1"/>
  <c r="O29" i="5"/>
  <c r="AA29" i="2"/>
  <c r="Q29" i="3"/>
  <c r="AW29" i="2" s="1"/>
  <c r="Q29" i="5"/>
  <c r="V29" i="2"/>
  <c r="AC28" i="5"/>
  <c r="AC28" i="3"/>
  <c r="BI28" i="2" s="1"/>
  <c r="BF27" i="2"/>
  <c r="R28" i="5"/>
  <c r="R28" i="3"/>
  <c r="AX28" i="2" s="1"/>
  <c r="AF25" i="3"/>
  <c r="BL25" i="2" s="1"/>
  <c r="AF25" i="5"/>
  <c r="AF16" i="5"/>
  <c r="AF16" i="3"/>
  <c r="BL16" i="2" s="1"/>
  <c r="AF8" i="3"/>
  <c r="BL8" i="2" s="1"/>
  <c r="AF8" i="5"/>
  <c r="AE29" i="5"/>
  <c r="AE29" i="3"/>
  <c r="BK29" i="2" s="1"/>
  <c r="D29" i="2"/>
  <c r="U29" i="5"/>
  <c r="U29" i="3"/>
  <c r="BA29" i="2" s="1"/>
  <c r="Z29" i="5"/>
  <c r="Z29" i="3"/>
  <c r="BF29" i="2" s="1"/>
  <c r="AB28" i="3"/>
  <c r="BH28" i="2" s="1"/>
  <c r="AB28" i="5"/>
  <c r="AG4" i="2"/>
  <c r="AG5" i="2"/>
  <c r="AG6" i="2"/>
  <c r="AG7" i="2"/>
  <c r="AG8" i="2"/>
  <c r="AG9" i="2"/>
  <c r="AG10" i="2"/>
  <c r="AG11" i="2"/>
  <c r="AG12" i="2"/>
  <c r="AG13" i="2"/>
  <c r="AG14" i="2"/>
  <c r="AG15" i="2"/>
  <c r="AG16" i="2"/>
  <c r="AG17" i="2"/>
  <c r="AG18" i="2"/>
  <c r="AG19" i="2"/>
  <c r="AG20" i="2"/>
  <c r="AG21" i="2"/>
  <c r="AG22" i="2"/>
  <c r="AG24" i="2"/>
  <c r="AG25" i="2"/>
  <c r="AG26" i="2"/>
  <c r="AG27" i="2"/>
  <c r="AG28" i="2"/>
  <c r="AE30" i="2"/>
  <c r="AA30" i="2"/>
  <c r="W30" i="2"/>
  <c r="S30" i="2"/>
  <c r="O30" i="2"/>
  <c r="K30" i="2"/>
  <c r="G30" i="2"/>
  <c r="AD30" i="2"/>
  <c r="Z30" i="2"/>
  <c r="V30" i="2"/>
  <c r="R30" i="2"/>
  <c r="N30" i="2"/>
  <c r="J30" i="2"/>
  <c r="F30" i="2"/>
  <c r="AC30" i="2"/>
  <c r="U30" i="2"/>
  <c r="M30" i="2"/>
  <c r="E30" i="2"/>
  <c r="AB30" i="2"/>
  <c r="T30" i="2"/>
  <c r="L30" i="2"/>
  <c r="D30" i="2"/>
  <c r="AG30" i="2"/>
  <c r="Q30" i="2"/>
  <c r="I30" i="2"/>
  <c r="X30" i="2"/>
  <c r="AF30" i="2"/>
  <c r="P30" i="2"/>
  <c r="Y30" i="2"/>
  <c r="H30" i="2"/>
  <c r="AG29" i="2"/>
  <c r="B31" i="2"/>
  <c r="C31" i="2"/>
  <c r="AH23" i="2"/>
  <c r="AF30" i="3" l="1"/>
  <c r="BL30" i="2" s="1"/>
  <c r="AF30" i="5"/>
  <c r="AB30" i="3"/>
  <c r="BH30" i="2" s="1"/>
  <c r="AB30" i="5"/>
  <c r="R30" i="5"/>
  <c r="R30" i="3"/>
  <c r="AX30" i="2" s="1"/>
  <c r="W30" i="3"/>
  <c r="BC30" i="2" s="1"/>
  <c r="W30" i="5"/>
  <c r="AG22" i="5"/>
  <c r="AG22" i="3"/>
  <c r="BM22" i="2" s="1"/>
  <c r="AG14" i="3"/>
  <c r="BM14" i="2" s="1"/>
  <c r="AG14" i="5"/>
  <c r="AG6" i="5"/>
  <c r="AG6" i="3"/>
  <c r="BM6" i="2" s="1"/>
  <c r="X30" i="5"/>
  <c r="X30" i="3"/>
  <c r="BD30" i="2" s="1"/>
  <c r="E30" i="3"/>
  <c r="AK30" i="2" s="1"/>
  <c r="E30" i="5"/>
  <c r="V30" i="5"/>
  <c r="V30" i="3"/>
  <c r="BB30" i="2" s="1"/>
  <c r="AA30" i="5"/>
  <c r="AA30" i="3"/>
  <c r="BG30" i="2" s="1"/>
  <c r="AG21" i="5"/>
  <c r="AG21" i="3"/>
  <c r="BM21" i="2" s="1"/>
  <c r="AG13" i="5"/>
  <c r="AG13" i="3"/>
  <c r="BM13" i="2" s="1"/>
  <c r="AG5" i="5"/>
  <c r="AG5" i="3"/>
  <c r="BM5" i="2" s="1"/>
  <c r="AA29" i="3"/>
  <c r="BG29" i="2" s="1"/>
  <c r="AA29" i="5"/>
  <c r="I30" i="5"/>
  <c r="I30" i="3"/>
  <c r="AO30" i="2" s="1"/>
  <c r="M30" i="5"/>
  <c r="M30" i="3"/>
  <c r="AS30" i="2" s="1"/>
  <c r="Z30" i="3"/>
  <c r="BF30" i="2" s="1"/>
  <c r="Z30" i="5"/>
  <c r="AE30" i="3"/>
  <c r="BK30" i="2" s="1"/>
  <c r="AE30" i="5"/>
  <c r="AG20" i="3"/>
  <c r="BM20" i="2" s="1"/>
  <c r="AG20" i="5"/>
  <c r="AG12" i="5"/>
  <c r="AG12" i="3"/>
  <c r="BM12" i="2" s="1"/>
  <c r="AG4" i="3"/>
  <c r="BM4" i="2" s="1"/>
  <c r="AG4" i="5"/>
  <c r="AB29" i="3"/>
  <c r="AB29" i="5"/>
  <c r="BH29" i="2"/>
  <c r="Q30" i="5"/>
  <c r="Q30" i="3"/>
  <c r="AW30" i="2" s="1"/>
  <c r="U30" i="3"/>
  <c r="BA30" i="2" s="1"/>
  <c r="U30" i="5"/>
  <c r="AD30" i="5"/>
  <c r="AD30" i="3"/>
  <c r="AG28" i="5"/>
  <c r="AG28" i="3"/>
  <c r="BM28" i="2" s="1"/>
  <c r="AG19" i="5"/>
  <c r="AG19" i="3"/>
  <c r="BM19" i="2" s="1"/>
  <c r="AG11" i="3"/>
  <c r="BM11" i="2" s="1"/>
  <c r="AG11" i="5"/>
  <c r="AH23" i="3"/>
  <c r="BN23" i="2" s="1"/>
  <c r="BO23" i="2" s="1"/>
  <c r="AH23" i="5"/>
  <c r="AG29" i="3"/>
  <c r="BM29" i="2" s="1"/>
  <c r="AG29" i="5"/>
  <c r="AG30" i="3"/>
  <c r="BM30" i="2" s="1"/>
  <c r="AG30" i="5"/>
  <c r="AC30" i="3"/>
  <c r="BI30" i="2" s="1"/>
  <c r="AC30" i="5"/>
  <c r="G30" i="3"/>
  <c r="AM30" i="2" s="1"/>
  <c r="G30" i="5"/>
  <c r="AG27" i="5"/>
  <c r="AG27" i="3"/>
  <c r="BM27" i="2" s="1"/>
  <c r="AG18" i="3"/>
  <c r="BM18" i="2" s="1"/>
  <c r="AG18" i="5"/>
  <c r="AG10" i="5"/>
  <c r="AG10" i="3"/>
  <c r="BM10" i="2" s="1"/>
  <c r="D29" i="5"/>
  <c r="D29" i="3"/>
  <c r="AJ29" i="2" s="1"/>
  <c r="V29" i="3"/>
  <c r="BB29" i="2" s="1"/>
  <c r="V29" i="5"/>
  <c r="J29" i="5"/>
  <c r="J29" i="3"/>
  <c r="AP29" i="2" s="1"/>
  <c r="H30" i="5"/>
  <c r="H30" i="3"/>
  <c r="AN30" i="2" s="1"/>
  <c r="D30" i="3"/>
  <c r="AJ30" i="2" s="1"/>
  <c r="D30" i="5"/>
  <c r="F30" i="5"/>
  <c r="F30" i="3"/>
  <c r="AL30" i="2" s="1"/>
  <c r="K30" i="3"/>
  <c r="AQ30" i="2" s="1"/>
  <c r="K30" i="5"/>
  <c r="AG26" i="5"/>
  <c r="AG26" i="3"/>
  <c r="BM26" i="2" s="1"/>
  <c r="AG17" i="3"/>
  <c r="BM17" i="2" s="1"/>
  <c r="AG17" i="5"/>
  <c r="AG9" i="3"/>
  <c r="BM9" i="2" s="1"/>
  <c r="AG9" i="5"/>
  <c r="S29" i="3"/>
  <c r="AY29" i="2" s="1"/>
  <c r="S29" i="5"/>
  <c r="Y30" i="3"/>
  <c r="BE30" i="2" s="1"/>
  <c r="Y30" i="5"/>
  <c r="L30" i="3"/>
  <c r="AR30" i="2" s="1"/>
  <c r="L30" i="5"/>
  <c r="J30" i="5"/>
  <c r="J30" i="3"/>
  <c r="AP30" i="2" s="1"/>
  <c r="O30" i="3"/>
  <c r="AU30" i="2" s="1"/>
  <c r="O30" i="5"/>
  <c r="AG25" i="3"/>
  <c r="BM25" i="2" s="1"/>
  <c r="AG25" i="5"/>
  <c r="AG16" i="3"/>
  <c r="BM16" i="2" s="1"/>
  <c r="AG16" i="5"/>
  <c r="AG8" i="5"/>
  <c r="AG8" i="3"/>
  <c r="BM8" i="2" s="1"/>
  <c r="L29" i="5"/>
  <c r="L29" i="3"/>
  <c r="AR29" i="2" s="1"/>
  <c r="C31" i="5"/>
  <c r="C31" i="3"/>
  <c r="P30" i="5"/>
  <c r="P30" i="3"/>
  <c r="AV30" i="2" s="1"/>
  <c r="T30" i="3"/>
  <c r="AZ30" i="2" s="1"/>
  <c r="T30" i="5"/>
  <c r="N30" i="3"/>
  <c r="AT30" i="2" s="1"/>
  <c r="N30" i="5"/>
  <c r="S30" i="3"/>
  <c r="AY30" i="2" s="1"/>
  <c r="S30" i="5"/>
  <c r="AG24" i="3"/>
  <c r="BM24" i="2" s="1"/>
  <c r="AG24" i="5"/>
  <c r="AG15" i="3"/>
  <c r="BM15" i="2" s="1"/>
  <c r="AG15" i="5"/>
  <c r="AG7" i="3"/>
  <c r="BM7" i="2" s="1"/>
  <c r="AG7" i="5"/>
  <c r="N29" i="3"/>
  <c r="AT29" i="2" s="1"/>
  <c r="N29" i="5"/>
  <c r="AF31" i="2"/>
  <c r="T31" i="2"/>
  <c r="K31" i="2"/>
  <c r="G31" i="2"/>
  <c r="AD31" i="2"/>
  <c r="F31" i="2"/>
  <c r="AH31" i="2"/>
  <c r="R31" i="2"/>
  <c r="Z31" i="2"/>
  <c r="Y31" i="2"/>
  <c r="AG31" i="2"/>
  <c r="Q31" i="2"/>
  <c r="I31" i="2"/>
  <c r="AH4" i="2"/>
  <c r="AH5" i="2"/>
  <c r="AH6" i="2"/>
  <c r="AH7" i="2"/>
  <c r="AH8" i="2"/>
  <c r="AH9" i="2"/>
  <c r="AH10" i="2"/>
  <c r="AH11" i="2"/>
  <c r="AH12" i="2"/>
  <c r="AH13" i="2"/>
  <c r="AH14" i="2"/>
  <c r="AH15" i="2"/>
  <c r="AH16" i="2"/>
  <c r="AH17" i="2"/>
  <c r="AH18" i="2"/>
  <c r="AH19" i="2"/>
  <c r="AH20" i="2"/>
  <c r="AH21" i="2"/>
  <c r="AH22" i="2"/>
  <c r="AH24" i="2"/>
  <c r="AH25" i="2"/>
  <c r="AH26" i="2"/>
  <c r="AH27" i="2"/>
  <c r="AH28" i="2"/>
  <c r="AH29" i="2"/>
  <c r="AH30" i="2"/>
  <c r="AH11" i="3" l="1"/>
  <c r="BN11" i="2" s="1"/>
  <c r="BO11" i="2" s="1"/>
  <c r="AH11" i="5"/>
  <c r="G31" i="3"/>
  <c r="AM31" i="2" s="1"/>
  <c r="G31" i="5"/>
  <c r="AH27" i="3"/>
  <c r="BN27" i="2" s="1"/>
  <c r="BO27" i="2" s="1"/>
  <c r="AH27" i="5"/>
  <c r="AH18" i="5"/>
  <c r="AH18" i="3"/>
  <c r="BN18" i="2" s="1"/>
  <c r="BO18" i="2" s="1"/>
  <c r="AH10" i="3"/>
  <c r="BN10" i="2" s="1"/>
  <c r="BO10" i="2" s="1"/>
  <c r="AH10" i="5"/>
  <c r="Q31" i="3"/>
  <c r="AW31" i="2" s="1"/>
  <c r="Q31" i="5"/>
  <c r="M31" i="2"/>
  <c r="K31" i="5"/>
  <c r="K31" i="3"/>
  <c r="AQ31" i="2" s="1"/>
  <c r="L31" i="2"/>
  <c r="BQ23" i="2"/>
  <c r="BR23" i="2"/>
  <c r="BP23" i="2" s="1"/>
  <c r="E31" i="2"/>
  <c r="AH26" i="3"/>
  <c r="BN26" i="2" s="1"/>
  <c r="BO26" i="2" s="1"/>
  <c r="AH26" i="5"/>
  <c r="AH17" i="5"/>
  <c r="AH17" i="3"/>
  <c r="BN17" i="2" s="1"/>
  <c r="BO17" i="2" s="1"/>
  <c r="AH9" i="5"/>
  <c r="AH9" i="3"/>
  <c r="BN9" i="2" s="1"/>
  <c r="BO9" i="2" s="1"/>
  <c r="AG31" i="5"/>
  <c r="AG31" i="3"/>
  <c r="BM31" i="2" s="1"/>
  <c r="U31" i="2"/>
  <c r="O31" i="2"/>
  <c r="P31" i="2"/>
  <c r="I31" i="3"/>
  <c r="AO31" i="2" s="1"/>
  <c r="I31" i="5"/>
  <c r="AH25" i="3"/>
  <c r="BN25" i="2" s="1"/>
  <c r="BO25" i="2" s="1"/>
  <c r="AH25" i="5"/>
  <c r="AH16" i="3"/>
  <c r="BN16" i="2" s="1"/>
  <c r="BO16" i="2" s="1"/>
  <c r="AH16" i="5"/>
  <c r="AH8" i="3"/>
  <c r="BN8" i="2" s="1"/>
  <c r="BO8" i="2" s="1"/>
  <c r="AH8" i="5"/>
  <c r="Y31" i="5"/>
  <c r="Y31" i="3"/>
  <c r="BE31" i="2" s="1"/>
  <c r="AC31" i="2"/>
  <c r="S31" i="2"/>
  <c r="T31" i="3"/>
  <c r="AZ31" i="2" s="1"/>
  <c r="T31" i="5"/>
  <c r="H31" i="2"/>
  <c r="AH24" i="5"/>
  <c r="AH24" i="3"/>
  <c r="BN24" i="2" s="1"/>
  <c r="BO24" i="2" s="1"/>
  <c r="AH15" i="3"/>
  <c r="BN15" i="2" s="1"/>
  <c r="BO15" i="2" s="1"/>
  <c r="AH15" i="5"/>
  <c r="AH7" i="5"/>
  <c r="AH7" i="3"/>
  <c r="BN7" i="2" s="1"/>
  <c r="BO7" i="2" s="1"/>
  <c r="J31" i="2"/>
  <c r="F31" i="3"/>
  <c r="AL31" i="2" s="1"/>
  <c r="F31" i="5"/>
  <c r="W31" i="2"/>
  <c r="X31" i="2"/>
  <c r="AH28" i="3"/>
  <c r="BN28" i="2" s="1"/>
  <c r="BO28" i="2" s="1"/>
  <c r="AH28" i="5"/>
  <c r="AH22" i="3"/>
  <c r="BN22" i="2" s="1"/>
  <c r="BO22" i="2" s="1"/>
  <c r="AH22" i="5"/>
  <c r="AH14" i="3"/>
  <c r="BN14" i="2" s="1"/>
  <c r="BO14" i="2" s="1"/>
  <c r="AH14" i="5"/>
  <c r="AH6" i="5"/>
  <c r="AH6" i="3"/>
  <c r="BN6" i="2" s="1"/>
  <c r="BO6" i="2" s="1"/>
  <c r="Z31" i="3"/>
  <c r="BF31" i="2" s="1"/>
  <c r="Z31" i="5"/>
  <c r="N31" i="2"/>
  <c r="AA31" i="2"/>
  <c r="AB31" i="2"/>
  <c r="AH30" i="3"/>
  <c r="BN30" i="2" s="1"/>
  <c r="AH30" i="5"/>
  <c r="AH21" i="3"/>
  <c r="BN21" i="2" s="1"/>
  <c r="BO21" i="2" s="1"/>
  <c r="AH21" i="5"/>
  <c r="AH13" i="3"/>
  <c r="BN13" i="2" s="1"/>
  <c r="BO13" i="2" s="1"/>
  <c r="AH13" i="5"/>
  <c r="AH5" i="5"/>
  <c r="AH5" i="3"/>
  <c r="BN5" i="2" s="1"/>
  <c r="BO5" i="2" s="1"/>
  <c r="R31" i="3"/>
  <c r="AX31" i="2" s="1"/>
  <c r="R31" i="5"/>
  <c r="V31" i="2"/>
  <c r="AE31" i="2"/>
  <c r="AF31" i="3"/>
  <c r="BL31" i="2" s="1"/>
  <c r="AF31" i="5"/>
  <c r="AH19" i="5"/>
  <c r="AH19" i="3"/>
  <c r="BN19" i="2" s="1"/>
  <c r="BO19" i="2" s="1"/>
  <c r="AH29" i="3"/>
  <c r="BN29" i="2" s="1"/>
  <c r="BO29" i="2" s="1"/>
  <c r="AH29" i="5"/>
  <c r="AH20" i="3"/>
  <c r="BN20" i="2" s="1"/>
  <c r="BO20" i="2" s="1"/>
  <c r="AH20" i="5"/>
  <c r="AH12" i="5"/>
  <c r="AH12" i="3"/>
  <c r="BN12" i="2" s="1"/>
  <c r="BO12" i="2" s="1"/>
  <c r="AH4" i="3"/>
  <c r="BN4" i="2" s="1"/>
  <c r="BO4" i="2" s="1"/>
  <c r="AH4" i="5"/>
  <c r="AH31" i="5"/>
  <c r="AH31" i="3"/>
  <c r="BN31" i="2" s="1"/>
  <c r="AD31" i="5"/>
  <c r="AD31" i="3"/>
  <c r="D31" i="2"/>
  <c r="BJ30" i="2"/>
  <c r="BO30" i="2" l="1"/>
  <c r="BR30" i="2" s="1"/>
  <c r="BP30" i="2" s="1"/>
  <c r="BQ9" i="2"/>
  <c r="BR9" i="2"/>
  <c r="BP9" i="2" s="1"/>
  <c r="BR20" i="2"/>
  <c r="BP20" i="2" s="1"/>
  <c r="BQ20" i="2"/>
  <c r="BR6" i="2"/>
  <c r="BP6" i="2" s="1"/>
  <c r="BQ6" i="2"/>
  <c r="BQ27" i="2"/>
  <c r="BR27" i="2"/>
  <c r="BP27" i="2" s="1"/>
  <c r="BR28" i="2"/>
  <c r="BP28" i="2" s="1"/>
  <c r="BQ28" i="2"/>
  <c r="BR17" i="2"/>
  <c r="BP17" i="2" s="1"/>
  <c r="BQ17" i="2"/>
  <c r="BR13" i="2"/>
  <c r="BP13" i="2" s="1"/>
  <c r="BQ13" i="2"/>
  <c r="BQ7" i="2"/>
  <c r="BR7" i="2"/>
  <c r="BP7" i="2" s="1"/>
  <c r="BQ30" i="2"/>
  <c r="BR4" i="2"/>
  <c r="BP4" i="2" s="1"/>
  <c r="BQ4" i="2"/>
  <c r="BR19" i="2"/>
  <c r="BP19" i="2" s="1"/>
  <c r="BQ19" i="2"/>
  <c r="BQ21" i="2"/>
  <c r="BR21" i="2"/>
  <c r="BP21" i="2" s="1"/>
  <c r="BQ10" i="2"/>
  <c r="BR10" i="2"/>
  <c r="BP10" i="2" s="1"/>
  <c r="BQ12" i="2"/>
  <c r="BR12" i="2"/>
  <c r="BP12" i="2" s="1"/>
  <c r="BR15" i="2"/>
  <c r="BP15" i="2" s="1"/>
  <c r="BQ15" i="2"/>
  <c r="BQ8" i="2"/>
  <c r="BR8" i="2"/>
  <c r="BP8" i="2" s="1"/>
  <c r="D31" i="3"/>
  <c r="AJ31" i="2" s="1"/>
  <c r="D31" i="5"/>
  <c r="AE31" i="3"/>
  <c r="AE31" i="5"/>
  <c r="BK31" i="2"/>
  <c r="X31" i="5"/>
  <c r="X31" i="3"/>
  <c r="BD31" i="2" s="1"/>
  <c r="U31" i="3"/>
  <c r="BA31" i="2" s="1"/>
  <c r="U31" i="5"/>
  <c r="E31" i="5"/>
  <c r="E31" i="3"/>
  <c r="AK31" i="2" s="1"/>
  <c r="BQ25" i="2"/>
  <c r="BR25" i="2"/>
  <c r="BP25" i="2" s="1"/>
  <c r="L31" i="3"/>
  <c r="AR31" i="2" s="1"/>
  <c r="L31" i="5"/>
  <c r="BJ31" i="2"/>
  <c r="V31" i="5"/>
  <c r="V31" i="3"/>
  <c r="BB31" i="2" s="1"/>
  <c r="BR22" i="2"/>
  <c r="BP22" i="2" s="1"/>
  <c r="BQ22" i="2"/>
  <c r="W31" i="3"/>
  <c r="BC31" i="2" s="1"/>
  <c r="W31" i="5"/>
  <c r="BQ29" i="2"/>
  <c r="BR29" i="2"/>
  <c r="BP29" i="2" s="1"/>
  <c r="AB31" i="5"/>
  <c r="AB31" i="3"/>
  <c r="BH31" i="2" s="1"/>
  <c r="BQ26" i="2"/>
  <c r="BR26" i="2"/>
  <c r="BP26" i="2" s="1"/>
  <c r="S31" i="3"/>
  <c r="AY31" i="2" s="1"/>
  <c r="S31" i="5"/>
  <c r="P31" i="3"/>
  <c r="AV31" i="2" s="1"/>
  <c r="P31" i="5"/>
  <c r="AA31" i="3"/>
  <c r="BG31" i="2" s="1"/>
  <c r="AA31" i="5"/>
  <c r="H31" i="3"/>
  <c r="H31" i="5"/>
  <c r="AN31" i="2"/>
  <c r="AC31" i="3"/>
  <c r="AC31" i="5"/>
  <c r="BQ16" i="2"/>
  <c r="BR16" i="2"/>
  <c r="BP16" i="2" s="1"/>
  <c r="O31" i="3"/>
  <c r="AU31" i="2" s="1"/>
  <c r="O31" i="5"/>
  <c r="M31" i="3"/>
  <c r="AS31" i="2" s="1"/>
  <c r="M31" i="5"/>
  <c r="BR18" i="2"/>
  <c r="BP18" i="2" s="1"/>
  <c r="BQ18" i="2"/>
  <c r="BR11" i="2"/>
  <c r="BP11" i="2" s="1"/>
  <c r="BQ11" i="2"/>
  <c r="BQ5" i="2"/>
  <c r="BR5" i="2"/>
  <c r="BP5" i="2" s="1"/>
  <c r="N31" i="3"/>
  <c r="AT31" i="2" s="1"/>
  <c r="N31" i="5"/>
  <c r="BR14" i="2"/>
  <c r="BP14" i="2" s="1"/>
  <c r="BQ14" i="2"/>
  <c r="J31" i="3"/>
  <c r="AP31" i="2" s="1"/>
  <c r="J31" i="5"/>
  <c r="BR24" i="2"/>
  <c r="BP24" i="2" s="1"/>
  <c r="BQ24" i="2"/>
  <c r="BI31" i="2" l="1"/>
  <c r="BO31" i="2" s="1"/>
  <c r="BR31" i="2" l="1"/>
  <c r="BP31" i="2" s="1"/>
  <c r="BQ31" i="2"/>
  <c r="C42" i="2" l="1"/>
  <c r="C42" i="5" l="1"/>
  <c r="C42" i="3"/>
  <c r="C44" i="2" l="1"/>
  <c r="C44" i="5" s="1"/>
  <c r="B42" i="2"/>
  <c r="B43" i="2"/>
  <c r="C43" i="2"/>
  <c r="C45" i="2"/>
  <c r="C44" i="3" l="1"/>
  <c r="C45" i="5"/>
  <c r="C45" i="3"/>
  <c r="C43" i="5"/>
  <c r="C43" i="3"/>
  <c r="Y42" i="2"/>
  <c r="N42" i="2"/>
  <c r="AE43" i="2"/>
  <c r="AA43" i="2"/>
  <c r="W43" i="2"/>
  <c r="S43" i="2"/>
  <c r="O43" i="2"/>
  <c r="K43" i="2"/>
  <c r="G43" i="2"/>
  <c r="AH43" i="2"/>
  <c r="AD43" i="2"/>
  <c r="Z43" i="2"/>
  <c r="V43" i="2"/>
  <c r="R43" i="2"/>
  <c r="J43" i="2"/>
  <c r="F43" i="2"/>
  <c r="AG43" i="2"/>
  <c r="AC43" i="2"/>
  <c r="Y43" i="2"/>
  <c r="U43" i="2"/>
  <c r="Q43" i="2"/>
  <c r="M43" i="2"/>
  <c r="I43" i="2"/>
  <c r="E43" i="2"/>
  <c r="AF43" i="2"/>
  <c r="P43" i="2"/>
  <c r="AB43" i="2"/>
  <c r="L43" i="2"/>
  <c r="X43" i="2"/>
  <c r="T43" i="2"/>
  <c r="H43" i="2"/>
  <c r="D43" i="2"/>
  <c r="C46" i="2"/>
  <c r="P43" i="3" l="1"/>
  <c r="AV43" i="2" s="1"/>
  <c r="P43" i="5"/>
  <c r="AC43" i="5"/>
  <c r="AC43" i="3"/>
  <c r="BI43" i="2" s="1"/>
  <c r="AH43" i="3"/>
  <c r="BN43" i="2" s="1"/>
  <c r="AH43" i="5"/>
  <c r="AA42" i="2"/>
  <c r="AF42" i="2"/>
  <c r="L42" i="2"/>
  <c r="F42" i="2"/>
  <c r="AG42" i="2"/>
  <c r="AC42" i="2"/>
  <c r="Q42" i="2"/>
  <c r="S42" i="2"/>
  <c r="Y42" i="5"/>
  <c r="Y42" i="3"/>
  <c r="BE42" i="2" s="1"/>
  <c r="AF43" i="5"/>
  <c r="AF43" i="3"/>
  <c r="BL43" i="2" s="1"/>
  <c r="J42" i="2"/>
  <c r="D43" i="5"/>
  <c r="D43" i="3"/>
  <c r="AJ43" i="2" s="1"/>
  <c r="E43" i="3"/>
  <c r="AK43" i="2" s="1"/>
  <c r="E43" i="5"/>
  <c r="F43" i="3"/>
  <c r="AL43" i="2" s="1"/>
  <c r="F43" i="5"/>
  <c r="K43" i="5"/>
  <c r="K43" i="3"/>
  <c r="AQ43" i="2" s="1"/>
  <c r="AB42" i="2"/>
  <c r="H42" i="2"/>
  <c r="V42" i="2"/>
  <c r="D44" i="2"/>
  <c r="B44" i="2"/>
  <c r="G43" i="3"/>
  <c r="AM43" i="2" s="1"/>
  <c r="G43" i="5"/>
  <c r="AH42" i="2"/>
  <c r="AE42" i="2"/>
  <c r="W42" i="2"/>
  <c r="H43" i="5"/>
  <c r="H43" i="3"/>
  <c r="AN43" i="2" s="1"/>
  <c r="I43" i="5"/>
  <c r="I43" i="3"/>
  <c r="AO43" i="2" s="1"/>
  <c r="J43" i="5"/>
  <c r="J43" i="3"/>
  <c r="AP43" i="2" s="1"/>
  <c r="O43" i="3"/>
  <c r="AU43" i="2" s="1"/>
  <c r="O43" i="5"/>
  <c r="AD42" i="2"/>
  <c r="M42" i="2"/>
  <c r="AG43" i="3"/>
  <c r="BM43" i="2" s="1"/>
  <c r="AG43" i="5"/>
  <c r="D42" i="2"/>
  <c r="O42" i="2"/>
  <c r="T43" i="3"/>
  <c r="AZ43" i="2" s="1"/>
  <c r="T43" i="5"/>
  <c r="M43" i="3"/>
  <c r="AS43" i="2" s="1"/>
  <c r="M43" i="5"/>
  <c r="R43" i="5"/>
  <c r="R43" i="3"/>
  <c r="AX43" i="2" s="1"/>
  <c r="S43" i="5"/>
  <c r="S43" i="3"/>
  <c r="AY43" i="2" s="1"/>
  <c r="X42" i="2"/>
  <c r="X43" i="5"/>
  <c r="X43" i="3"/>
  <c r="BD43" i="2" s="1"/>
  <c r="V43" i="3"/>
  <c r="BB43" i="2" s="1"/>
  <c r="V43" i="5"/>
  <c r="W43" i="5"/>
  <c r="W43" i="3"/>
  <c r="BC43" i="2" s="1"/>
  <c r="U42" i="2"/>
  <c r="I42" i="2"/>
  <c r="Z42" i="2"/>
  <c r="P42" i="2"/>
  <c r="Q43" i="5"/>
  <c r="Q43" i="3"/>
  <c r="AW43" i="2" s="1"/>
  <c r="L43" i="3"/>
  <c r="AR43" i="2" s="1"/>
  <c r="L43" i="5"/>
  <c r="U43" i="3"/>
  <c r="BA43" i="2" s="1"/>
  <c r="U43" i="5"/>
  <c r="Z43" i="3"/>
  <c r="BF43" i="2" s="1"/>
  <c r="Z43" i="5"/>
  <c r="AA43" i="5"/>
  <c r="AA43" i="3"/>
  <c r="BG43" i="2" s="1"/>
  <c r="K42" i="2"/>
  <c r="G42" i="2"/>
  <c r="T42" i="2"/>
  <c r="C46" i="5"/>
  <c r="C46" i="3"/>
  <c r="AB43" i="3"/>
  <c r="BH43" i="2" s="1"/>
  <c r="AB43" i="5"/>
  <c r="Y43" i="3"/>
  <c r="BE43" i="2" s="1"/>
  <c r="Y43" i="5"/>
  <c r="AD43" i="5"/>
  <c r="AD43" i="3"/>
  <c r="BJ43" i="2" s="1"/>
  <c r="AE43" i="3"/>
  <c r="BK43" i="2" s="1"/>
  <c r="AE43" i="5"/>
  <c r="E42" i="2"/>
  <c r="R42" i="2"/>
  <c r="N42" i="3"/>
  <c r="AT42" i="2" s="1"/>
  <c r="N42" i="5"/>
  <c r="B45" i="2"/>
  <c r="BO43" i="2" l="1"/>
  <c r="E44" i="2"/>
  <c r="F44" i="2"/>
  <c r="K44" i="2"/>
  <c r="P44" i="2"/>
  <c r="E42" i="5"/>
  <c r="E42" i="3"/>
  <c r="AK42" i="2" s="1"/>
  <c r="Z42" i="5"/>
  <c r="Z42" i="3"/>
  <c r="BF42" i="2" s="1"/>
  <c r="O42" i="5"/>
  <c r="O42" i="3"/>
  <c r="AU42" i="2" s="1"/>
  <c r="M42" i="3"/>
  <c r="AS42" i="2" s="1"/>
  <c r="M42" i="5"/>
  <c r="J42" i="5"/>
  <c r="J42" i="3"/>
  <c r="AP42" i="2" s="1"/>
  <c r="I44" i="2"/>
  <c r="J44" i="2"/>
  <c r="O44" i="2"/>
  <c r="T44" i="2"/>
  <c r="X42" i="3"/>
  <c r="BD42" i="2" s="1"/>
  <c r="X42" i="5"/>
  <c r="AC42" i="3"/>
  <c r="BI42" i="2" s="1"/>
  <c r="AC42" i="5"/>
  <c r="AF42" i="5"/>
  <c r="AF42" i="3"/>
  <c r="BL42" i="2" s="1"/>
  <c r="U44" i="2"/>
  <c r="R44" i="2"/>
  <c r="S44" i="2"/>
  <c r="X44" i="2"/>
  <c r="P42" i="5"/>
  <c r="P42" i="3"/>
  <c r="AV42" i="2" s="1"/>
  <c r="I42" i="3"/>
  <c r="AO42" i="2" s="1"/>
  <c r="I42" i="5"/>
  <c r="D42" i="3"/>
  <c r="AJ42" i="2" s="1"/>
  <c r="D42" i="5"/>
  <c r="AD42" i="3"/>
  <c r="BJ42" i="2" s="1"/>
  <c r="AD42" i="5"/>
  <c r="W42" i="3"/>
  <c r="BC42" i="2" s="1"/>
  <c r="W42" i="5"/>
  <c r="Y44" i="2"/>
  <c r="V44" i="2"/>
  <c r="W44" i="2"/>
  <c r="AB44" i="2"/>
  <c r="T42" i="5"/>
  <c r="T42" i="3"/>
  <c r="AZ42" i="2" s="1"/>
  <c r="V42" i="5"/>
  <c r="V42" i="3"/>
  <c r="BB42" i="2" s="1"/>
  <c r="AG42" i="3"/>
  <c r="BM42" i="2" s="1"/>
  <c r="AG42" i="5"/>
  <c r="AA42" i="3"/>
  <c r="BG42" i="2" s="1"/>
  <c r="AA42" i="5"/>
  <c r="M44" i="2"/>
  <c r="Z44" i="2"/>
  <c r="AA44" i="2"/>
  <c r="AF44" i="2"/>
  <c r="U42" i="5"/>
  <c r="U42" i="3"/>
  <c r="BA42" i="2" s="1"/>
  <c r="AE42" i="3"/>
  <c r="BK42" i="2" s="1"/>
  <c r="AE42" i="5"/>
  <c r="D44" i="3"/>
  <c r="AJ44" i="2" s="1"/>
  <c r="D44" i="5"/>
  <c r="AC44" i="2"/>
  <c r="AD44" i="2"/>
  <c r="AE44" i="2"/>
  <c r="G42" i="3"/>
  <c r="AM42" i="2" s="1"/>
  <c r="G42" i="5"/>
  <c r="H42" i="3"/>
  <c r="AN42" i="2" s="1"/>
  <c r="H42" i="5"/>
  <c r="S42" i="5"/>
  <c r="S42" i="3"/>
  <c r="AY42" i="2" s="1"/>
  <c r="F42" i="3"/>
  <c r="AL42" i="2" s="1"/>
  <c r="F42" i="5"/>
  <c r="Q44" i="2"/>
  <c r="AH44" i="2"/>
  <c r="H44" i="2"/>
  <c r="R42" i="3"/>
  <c r="AX42" i="2" s="1"/>
  <c r="R42" i="5"/>
  <c r="AH42" i="5"/>
  <c r="AH42" i="3"/>
  <c r="BN42" i="2" s="1"/>
  <c r="AG44" i="2"/>
  <c r="G44" i="2"/>
  <c r="L44" i="2"/>
  <c r="K42" i="3"/>
  <c r="AQ42" i="2" s="1"/>
  <c r="K42" i="5"/>
  <c r="AB42" i="5"/>
  <c r="AB42" i="3"/>
  <c r="BH42" i="2" s="1"/>
  <c r="Q42" i="3"/>
  <c r="AW42" i="2" s="1"/>
  <c r="Q42" i="5"/>
  <c r="L42" i="5"/>
  <c r="L42" i="3"/>
  <c r="AR42" i="2" s="1"/>
  <c r="B46" i="2"/>
  <c r="BO42" i="2" l="1"/>
  <c r="AF45" i="2"/>
  <c r="AH45" i="2"/>
  <c r="D45" i="2"/>
  <c r="E45" i="2"/>
  <c r="AH44" i="5"/>
  <c r="AH44" i="3"/>
  <c r="BN44" i="2" s="1"/>
  <c r="AE44" i="3"/>
  <c r="BK44" i="2" s="1"/>
  <c r="AE44" i="5"/>
  <c r="AF44" i="5"/>
  <c r="AF44" i="3"/>
  <c r="BL44" i="2" s="1"/>
  <c r="AB44" i="5"/>
  <c r="AB44" i="3"/>
  <c r="BH44" i="2" s="1"/>
  <c r="F45" i="2"/>
  <c r="G45" i="2"/>
  <c r="H45" i="2"/>
  <c r="I45" i="2"/>
  <c r="R44" i="5"/>
  <c r="R44" i="3"/>
  <c r="AX44" i="2" s="1"/>
  <c r="I44" i="5"/>
  <c r="I44" i="3"/>
  <c r="AO44" i="2" s="1"/>
  <c r="F44" i="3"/>
  <c r="AL44" i="2" s="1"/>
  <c r="F44" i="5"/>
  <c r="AG45" i="2"/>
  <c r="K44" i="3"/>
  <c r="AQ44" i="2" s="1"/>
  <c r="K44" i="5"/>
  <c r="J45" i="2"/>
  <c r="K45" i="2"/>
  <c r="L45" i="2"/>
  <c r="M45" i="2"/>
  <c r="L44" i="5"/>
  <c r="L44" i="3"/>
  <c r="AR44" i="2" s="1"/>
  <c r="Q44" i="5"/>
  <c r="Q44" i="3"/>
  <c r="AW44" i="2" s="1"/>
  <c r="AD44" i="3"/>
  <c r="BJ44" i="2" s="1"/>
  <c r="AD44" i="5"/>
  <c r="AA44" i="5"/>
  <c r="AA44" i="3"/>
  <c r="BG44" i="2" s="1"/>
  <c r="W44" i="5"/>
  <c r="W44" i="3"/>
  <c r="BC44" i="2" s="1"/>
  <c r="AE45" i="2"/>
  <c r="S44" i="5"/>
  <c r="S44" i="3"/>
  <c r="AY44" i="2" s="1"/>
  <c r="V45" i="2"/>
  <c r="O45" i="2"/>
  <c r="P45" i="2"/>
  <c r="Q45" i="2"/>
  <c r="U44" i="5"/>
  <c r="U44" i="3"/>
  <c r="BA44" i="2" s="1"/>
  <c r="T44" i="5"/>
  <c r="T44" i="3"/>
  <c r="AZ44" i="2" s="1"/>
  <c r="E44" i="3"/>
  <c r="AK44" i="2" s="1"/>
  <c r="E44" i="5"/>
  <c r="J44" i="3"/>
  <c r="AP44" i="2" s="1"/>
  <c r="J44" i="5"/>
  <c r="Z45" i="2"/>
  <c r="S45" i="2"/>
  <c r="T45" i="2"/>
  <c r="U45" i="2"/>
  <c r="G44" i="3"/>
  <c r="AM44" i="2" s="1"/>
  <c r="G44" i="5"/>
  <c r="AC44" i="5"/>
  <c r="AC44" i="3"/>
  <c r="BI44" i="2" s="1"/>
  <c r="Z44" i="5"/>
  <c r="Z44" i="3"/>
  <c r="BF44" i="2" s="1"/>
  <c r="V44" i="3"/>
  <c r="BB44" i="2" s="1"/>
  <c r="V44" i="5"/>
  <c r="R45" i="2"/>
  <c r="W45" i="2"/>
  <c r="X45" i="2"/>
  <c r="Y45" i="2"/>
  <c r="X44" i="5"/>
  <c r="X44" i="3"/>
  <c r="BD44" i="2" s="1"/>
  <c r="O44" i="5"/>
  <c r="O44" i="3"/>
  <c r="AU44" i="2" s="1"/>
  <c r="P44" i="3"/>
  <c r="AV44" i="2" s="1"/>
  <c r="P44" i="5"/>
  <c r="AD45" i="2"/>
  <c r="AA45" i="2"/>
  <c r="AB45" i="2"/>
  <c r="AC45" i="2"/>
  <c r="AG44" i="5"/>
  <c r="AG44" i="3"/>
  <c r="BM44" i="2"/>
  <c r="H44" i="3"/>
  <c r="AN44" i="2" s="1"/>
  <c r="H44" i="5"/>
  <c r="M44" i="5"/>
  <c r="M44" i="3"/>
  <c r="AS44" i="2" s="1"/>
  <c r="Y44" i="3"/>
  <c r="BE44" i="2" s="1"/>
  <c r="Y44" i="5"/>
  <c r="BR43" i="2"/>
  <c r="BP43" i="2" s="1"/>
  <c r="BQ43" i="2"/>
  <c r="BO44" i="2" l="1"/>
  <c r="O46" i="2"/>
  <c r="X46" i="2"/>
  <c r="Y46" i="2"/>
  <c r="AD46" i="2"/>
  <c r="W45" i="3"/>
  <c r="BC45" i="2" s="1"/>
  <c r="W45" i="5"/>
  <c r="U45" i="3"/>
  <c r="BA45" i="2" s="1"/>
  <c r="U45" i="5"/>
  <c r="O45" i="5"/>
  <c r="O45" i="3"/>
  <c r="AU45" i="2" s="1"/>
  <c r="AE46" i="2"/>
  <c r="AB46" i="2"/>
  <c r="AC46" i="2"/>
  <c r="AH46" i="2"/>
  <c r="AD45" i="5"/>
  <c r="AD45" i="3"/>
  <c r="BJ45" i="2" s="1"/>
  <c r="L45" i="5"/>
  <c r="L45" i="3"/>
  <c r="AR45" i="2"/>
  <c r="I45" i="3"/>
  <c r="AO45" i="2" s="1"/>
  <c r="I45" i="5"/>
  <c r="AH45" i="5"/>
  <c r="AH45" i="3"/>
  <c r="BN45" i="2" s="1"/>
  <c r="S46" i="2"/>
  <c r="AF46" i="2"/>
  <c r="AG46" i="2"/>
  <c r="T45" i="5"/>
  <c r="T45" i="3"/>
  <c r="AZ45" i="2" s="1"/>
  <c r="V45" i="3"/>
  <c r="BB45" i="2" s="1"/>
  <c r="V45" i="5"/>
  <c r="AE45" i="3"/>
  <c r="BK45" i="2" s="1"/>
  <c r="AE45" i="5"/>
  <c r="D46" i="2"/>
  <c r="E46" i="2"/>
  <c r="F46" i="2"/>
  <c r="AC45" i="5"/>
  <c r="AC45" i="3"/>
  <c r="BI45" i="2" s="1"/>
  <c r="K45" i="5"/>
  <c r="K45" i="3"/>
  <c r="AQ45" i="2" s="1"/>
  <c r="H45" i="5"/>
  <c r="H45" i="3"/>
  <c r="AN45" i="2" s="1"/>
  <c r="AF45" i="3"/>
  <c r="BL45" i="2" s="1"/>
  <c r="AF45" i="5"/>
  <c r="G46" i="2"/>
  <c r="H46" i="2"/>
  <c r="I46" i="2"/>
  <c r="J46" i="2"/>
  <c r="Y45" i="3"/>
  <c r="BE45" i="2" s="1"/>
  <c r="Y45" i="5"/>
  <c r="S45" i="5"/>
  <c r="S45" i="3"/>
  <c r="AY45" i="2" s="1"/>
  <c r="Q45" i="5"/>
  <c r="Q45" i="3"/>
  <c r="AW45" i="2" s="1"/>
  <c r="K46" i="2"/>
  <c r="L46" i="2"/>
  <c r="M46" i="2"/>
  <c r="R46" i="2"/>
  <c r="AB45" i="5"/>
  <c r="AB45" i="3"/>
  <c r="BH45" i="2" s="1"/>
  <c r="J45" i="5"/>
  <c r="J45" i="3"/>
  <c r="AP45" i="2" s="1"/>
  <c r="G45" i="5"/>
  <c r="G45" i="3"/>
  <c r="AM45" i="2" s="1"/>
  <c r="E45" i="3"/>
  <c r="AK45" i="2" s="1"/>
  <c r="E45" i="5"/>
  <c r="BR42" i="2"/>
  <c r="BP42" i="2" s="1"/>
  <c r="BQ42" i="2"/>
  <c r="W46" i="2"/>
  <c r="P46" i="2"/>
  <c r="Q46" i="2"/>
  <c r="V46" i="2"/>
  <c r="X45" i="5"/>
  <c r="X45" i="3"/>
  <c r="BD45" i="2" s="1"/>
  <c r="R45" i="3"/>
  <c r="AX45" i="2" s="1"/>
  <c r="R45" i="5"/>
  <c r="Z45" i="5"/>
  <c r="Z45" i="3"/>
  <c r="BF45" i="2" s="1"/>
  <c r="P45" i="5"/>
  <c r="P45" i="3"/>
  <c r="AV45" i="2" s="1"/>
  <c r="AG45" i="5"/>
  <c r="AG45" i="3"/>
  <c r="BM45" i="2" s="1"/>
  <c r="AA46" i="2"/>
  <c r="T46" i="2"/>
  <c r="U46" i="2"/>
  <c r="Z46" i="2"/>
  <c r="AA45" i="5"/>
  <c r="AA45" i="3"/>
  <c r="BG45" i="2" s="1"/>
  <c r="M45" i="5"/>
  <c r="M45" i="3"/>
  <c r="AS45" i="2" s="1"/>
  <c r="F45" i="3"/>
  <c r="AL45" i="2" s="1"/>
  <c r="F45" i="5"/>
  <c r="D45" i="5"/>
  <c r="D45" i="3"/>
  <c r="AJ45" i="2" s="1"/>
  <c r="T46" i="5" l="1"/>
  <c r="T46" i="3"/>
  <c r="P46" i="5"/>
  <c r="P46" i="3"/>
  <c r="J46" i="5"/>
  <c r="J46" i="3"/>
  <c r="E46" i="5"/>
  <c r="E46" i="3"/>
  <c r="AF46" i="3"/>
  <c r="BL46" i="2" s="1"/>
  <c r="AF46" i="5"/>
  <c r="L46" i="3"/>
  <c r="L46" i="5"/>
  <c r="AB46" i="5"/>
  <c r="AB46" i="3"/>
  <c r="Y46" i="3"/>
  <c r="Y46" i="5"/>
  <c r="AA46" i="5"/>
  <c r="AA46" i="3"/>
  <c r="W46" i="3"/>
  <c r="W46" i="5"/>
  <c r="I46" i="3"/>
  <c r="I46" i="5"/>
  <c r="D46" i="3"/>
  <c r="D46" i="5"/>
  <c r="S46" i="3"/>
  <c r="S46" i="5"/>
  <c r="K46" i="5"/>
  <c r="K46" i="3"/>
  <c r="AE46" i="3"/>
  <c r="BK46" i="2" s="1"/>
  <c r="AE46" i="5"/>
  <c r="X46" i="3"/>
  <c r="X46" i="5"/>
  <c r="Z46" i="3"/>
  <c r="Z46" i="5"/>
  <c r="V46" i="3"/>
  <c r="V46" i="5"/>
  <c r="H46" i="5"/>
  <c r="H46" i="3"/>
  <c r="R46" i="5"/>
  <c r="R46" i="3"/>
  <c r="AH46" i="5"/>
  <c r="AH46" i="3"/>
  <c r="BN46" i="2" s="1"/>
  <c r="O46" i="3"/>
  <c r="O46" i="5"/>
  <c r="U46" i="3"/>
  <c r="U46" i="5"/>
  <c r="Q46" i="5"/>
  <c r="Q46" i="3"/>
  <c r="G46" i="5"/>
  <c r="G46" i="3"/>
  <c r="F46" i="5"/>
  <c r="F46" i="3"/>
  <c r="AG46" i="5"/>
  <c r="AG46" i="3"/>
  <c r="BM46" i="2" s="1"/>
  <c r="BO45" i="2"/>
  <c r="M46" i="3"/>
  <c r="M46" i="5"/>
  <c r="AC46" i="5"/>
  <c r="AC46" i="3"/>
  <c r="AD46" i="3"/>
  <c r="AD46" i="5"/>
  <c r="BR44" i="2"/>
  <c r="BP44" i="2" s="1"/>
  <c r="BQ44" i="2"/>
  <c r="AU46" i="2" l="1"/>
  <c r="BF46" i="2"/>
  <c r="BE46" i="2"/>
  <c r="AR46" i="2"/>
  <c r="AL46" i="2"/>
  <c r="AW46" i="2"/>
  <c r="AQ46" i="2"/>
  <c r="AK46" i="2"/>
  <c r="AV46" i="2"/>
  <c r="AN46" i="2"/>
  <c r="AO46" i="2"/>
  <c r="BD46" i="2"/>
  <c r="AJ46" i="2"/>
  <c r="BC46" i="2"/>
  <c r="BH46" i="2"/>
  <c r="BJ46" i="2"/>
  <c r="AS46" i="2"/>
  <c r="BB46" i="2"/>
  <c r="BI46" i="2"/>
  <c r="BQ45" i="2"/>
  <c r="BR45" i="2"/>
  <c r="BP45" i="2" s="1"/>
  <c r="AM46" i="2"/>
  <c r="AX46" i="2"/>
  <c r="AY46" i="2"/>
  <c r="AP46" i="2"/>
  <c r="AZ46" i="2"/>
  <c r="BA46" i="2"/>
  <c r="BG46" i="2"/>
  <c r="BO46" i="2" l="1"/>
  <c r="BQ46" i="2" l="1"/>
  <c r="BR46" i="2"/>
  <c r="BP46" i="2" s="1"/>
  <c r="C32" i="2" l="1"/>
  <c r="C34" i="2"/>
  <c r="C33" i="2"/>
  <c r="C35" i="2"/>
  <c r="C36" i="2"/>
  <c r="C37" i="2"/>
  <c r="C38" i="2"/>
  <c r="C39" i="2"/>
  <c r="C40" i="2"/>
  <c r="C41" i="2"/>
  <c r="C40" i="5" l="1"/>
  <c r="C40" i="3"/>
  <c r="C39" i="5"/>
  <c r="C39" i="3"/>
  <c r="B37" i="2"/>
  <c r="AG37" i="2"/>
  <c r="AF37" i="2"/>
  <c r="AE37" i="2"/>
  <c r="J37" i="2"/>
  <c r="AC37" i="2"/>
  <c r="AB37" i="2"/>
  <c r="AA37" i="2"/>
  <c r="V37" i="2"/>
  <c r="Y37" i="2"/>
  <c r="X37" i="2"/>
  <c r="W37" i="2"/>
  <c r="F37" i="2"/>
  <c r="U37" i="2"/>
  <c r="T37" i="2"/>
  <c r="S37" i="2"/>
  <c r="R37" i="2"/>
  <c r="Q37" i="2"/>
  <c r="P37" i="2"/>
  <c r="O37" i="2"/>
  <c r="N37" i="2"/>
  <c r="M37" i="2"/>
  <c r="L37" i="2"/>
  <c r="K37" i="2"/>
  <c r="AH37" i="2"/>
  <c r="E37" i="2"/>
  <c r="AD37" i="2"/>
  <c r="H37" i="2"/>
  <c r="D37" i="2"/>
  <c r="Z37" i="2"/>
  <c r="G37" i="2"/>
  <c r="I37" i="2"/>
  <c r="B36" i="2"/>
  <c r="AH36" i="2"/>
  <c r="AF36" i="2"/>
  <c r="Q36" i="2"/>
  <c r="B33" i="2"/>
  <c r="V33" i="2"/>
  <c r="U33" i="2"/>
  <c r="H33" i="2"/>
  <c r="AA33" i="2"/>
  <c r="R33" i="2"/>
  <c r="Q33" i="2"/>
  <c r="AE33" i="2"/>
  <c r="S33" i="2"/>
  <c r="N33" i="2"/>
  <c r="M33" i="2"/>
  <c r="W33" i="2"/>
  <c r="L33" i="2"/>
  <c r="Z33" i="2"/>
  <c r="Y33" i="2"/>
  <c r="P33" i="2"/>
  <c r="AB33" i="2"/>
  <c r="J33" i="2"/>
  <c r="I33" i="2"/>
  <c r="O33" i="2"/>
  <c r="K33" i="2"/>
  <c r="F33" i="2"/>
  <c r="E33" i="2"/>
  <c r="G33" i="2"/>
  <c r="AH33" i="2"/>
  <c r="AG33" i="2"/>
  <c r="AF33" i="2"/>
  <c r="T33" i="2"/>
  <c r="AD33" i="2"/>
  <c r="AC33" i="2"/>
  <c r="X33" i="2"/>
  <c r="D33" i="2"/>
  <c r="B41" i="2"/>
  <c r="E41" i="2"/>
  <c r="D41" i="2"/>
  <c r="AD41" i="2"/>
  <c r="N41" i="2"/>
  <c r="Z41" i="2"/>
  <c r="Y41" i="2"/>
  <c r="X41" i="2"/>
  <c r="W41" i="2"/>
  <c r="J41" i="2"/>
  <c r="U41" i="2"/>
  <c r="T41" i="2"/>
  <c r="S41" i="2"/>
  <c r="V41" i="2"/>
  <c r="K41" i="2"/>
  <c r="AG41" i="2"/>
  <c r="AB41" i="2"/>
  <c r="Q41" i="2"/>
  <c r="P41" i="2"/>
  <c r="O41" i="2"/>
  <c r="R41" i="2"/>
  <c r="AF41" i="2"/>
  <c r="AC41" i="2"/>
  <c r="M41" i="2"/>
  <c r="L41" i="2"/>
  <c r="F41" i="2"/>
  <c r="AE41" i="2"/>
  <c r="I41" i="2"/>
  <c r="H41" i="2"/>
  <c r="G41" i="2"/>
  <c r="AH41" i="2"/>
  <c r="AA41" i="2"/>
  <c r="B35" i="2"/>
  <c r="AB35" i="2"/>
  <c r="R35" i="2"/>
  <c r="N35" i="2"/>
  <c r="X35" i="2"/>
  <c r="W35" i="2"/>
  <c r="J35" i="2"/>
  <c r="AC35" i="2"/>
  <c r="T35" i="2"/>
  <c r="S35" i="2"/>
  <c r="AG35" i="2"/>
  <c r="U35" i="2"/>
  <c r="P35" i="2"/>
  <c r="O35" i="2"/>
  <c r="Y35" i="2"/>
  <c r="E35" i="2"/>
  <c r="L35" i="2"/>
  <c r="K35" i="2"/>
  <c r="Q35" i="2"/>
  <c r="AD35" i="2"/>
  <c r="H35" i="2"/>
  <c r="G35" i="2"/>
  <c r="I35" i="2"/>
  <c r="M35" i="2"/>
  <c r="D35" i="2"/>
  <c r="AH35" i="2"/>
  <c r="V35" i="2"/>
  <c r="AF35" i="2"/>
  <c r="AE35" i="2"/>
  <c r="Z35" i="2"/>
  <c r="F35" i="2"/>
  <c r="C35" i="5"/>
  <c r="C35" i="3"/>
  <c r="B34" i="2"/>
  <c r="AE34" i="2"/>
  <c r="AD34" i="2"/>
  <c r="Y34" i="2"/>
  <c r="E34" i="2"/>
  <c r="AA34" i="2"/>
  <c r="Z34" i="2"/>
  <c r="Q34" i="2"/>
  <c r="AB34" i="2"/>
  <c r="AG34" i="2"/>
  <c r="W34" i="2"/>
  <c r="V34" i="2"/>
  <c r="I34" i="2"/>
  <c r="T34" i="2"/>
  <c r="U34" i="2"/>
  <c r="S34" i="2"/>
  <c r="R34" i="2"/>
  <c r="AF34" i="2"/>
  <c r="D34" i="2"/>
  <c r="O34" i="2"/>
  <c r="N34" i="2"/>
  <c r="X34" i="2"/>
  <c r="AC34" i="2"/>
  <c r="K34" i="2"/>
  <c r="J34" i="2"/>
  <c r="P34" i="2"/>
  <c r="M34" i="2"/>
  <c r="AH34" i="2"/>
  <c r="G34" i="2"/>
  <c r="F34" i="2"/>
  <c r="H34" i="2"/>
  <c r="L34" i="2"/>
  <c r="B32" i="2"/>
  <c r="K40" i="2"/>
  <c r="B40" i="2"/>
  <c r="D40" i="2"/>
  <c r="X40" i="2"/>
  <c r="W40" i="2"/>
  <c r="R40" i="2"/>
  <c r="U40" i="2"/>
  <c r="AC40" i="2"/>
  <c r="H40" i="2"/>
  <c r="AH40" i="2"/>
  <c r="B38" i="2"/>
  <c r="V38" i="2"/>
  <c r="U38" i="2"/>
  <c r="T38" i="2"/>
  <c r="R38" i="2"/>
  <c r="Q38" i="2"/>
  <c r="P38" i="2"/>
  <c r="S38" i="2"/>
  <c r="N38" i="2"/>
  <c r="M38" i="2"/>
  <c r="L38" i="2"/>
  <c r="O38" i="2"/>
  <c r="J38" i="2"/>
  <c r="I38" i="2"/>
  <c r="H38" i="2"/>
  <c r="AE38" i="2"/>
  <c r="X38" i="2"/>
  <c r="F38" i="2"/>
  <c r="E38" i="2"/>
  <c r="D38" i="2"/>
  <c r="Y38" i="2"/>
  <c r="AH38" i="2"/>
  <c r="AG38" i="2"/>
  <c r="AF38" i="2"/>
  <c r="AA38" i="2"/>
  <c r="AD38" i="2"/>
  <c r="AC38" i="2"/>
  <c r="AB38" i="2"/>
  <c r="K38" i="2"/>
  <c r="Z38" i="2"/>
  <c r="W38" i="2"/>
  <c r="C32" i="5"/>
  <c r="C32" i="3"/>
  <c r="C41" i="5"/>
  <c r="C41" i="3"/>
  <c r="C37" i="5"/>
  <c r="C37" i="3"/>
  <c r="C33" i="5"/>
  <c r="C33" i="3"/>
  <c r="K39" i="2"/>
  <c r="B39" i="2"/>
  <c r="AE39" i="2"/>
  <c r="Z39" i="2"/>
  <c r="Y39" i="2"/>
  <c r="X39" i="2"/>
  <c r="AD39" i="2"/>
  <c r="AA39" i="2"/>
  <c r="V39" i="2"/>
  <c r="U39" i="2"/>
  <c r="H39" i="2"/>
  <c r="W39" i="2"/>
  <c r="R39" i="2"/>
  <c r="Q39" i="2"/>
  <c r="T39" i="2"/>
  <c r="S39" i="2"/>
  <c r="N39" i="2"/>
  <c r="P39" i="2"/>
  <c r="O39" i="2"/>
  <c r="J39" i="2"/>
  <c r="AF39" i="2"/>
  <c r="L39" i="2"/>
  <c r="F39" i="2"/>
  <c r="D39" i="2"/>
  <c r="AH39" i="2"/>
  <c r="AG39" i="2"/>
  <c r="AB39" i="2"/>
  <c r="AC39" i="2"/>
  <c r="C36" i="5"/>
  <c r="C36" i="3"/>
  <c r="C34" i="5"/>
  <c r="C34" i="3"/>
  <c r="C38" i="5"/>
  <c r="C38" i="3"/>
  <c r="P39" i="5" l="1"/>
  <c r="P39" i="3"/>
  <c r="AV39" i="2" s="1"/>
  <c r="AG40" i="2"/>
  <c r="N34" i="5"/>
  <c r="N34" i="3"/>
  <c r="AT34" i="2" s="1"/>
  <c r="K33" i="3"/>
  <c r="AQ33" i="2" s="1"/>
  <c r="K33" i="5"/>
  <c r="G36" i="2"/>
  <c r="T37" i="3"/>
  <c r="AZ37" i="2" s="1"/>
  <c r="T37" i="5"/>
  <c r="F39" i="5"/>
  <c r="F39" i="3"/>
  <c r="AL39" i="2" s="1"/>
  <c r="M39" i="2"/>
  <c r="U39" i="5"/>
  <c r="U39" i="3"/>
  <c r="BA39" i="2" s="1"/>
  <c r="W38" i="3"/>
  <c r="BC38" i="2" s="1"/>
  <c r="W38" i="5"/>
  <c r="AG38" i="5"/>
  <c r="AG38" i="3"/>
  <c r="BM38" i="2" s="1"/>
  <c r="H38" i="5"/>
  <c r="H38" i="3"/>
  <c r="AN38" i="2" s="1"/>
  <c r="P38" i="5"/>
  <c r="P38" i="3"/>
  <c r="AV38" i="2" s="1"/>
  <c r="O40" i="2"/>
  <c r="U40" i="5"/>
  <c r="U40" i="3"/>
  <c r="BA40" i="2" s="1"/>
  <c r="Y40" i="2"/>
  <c r="F40" i="2"/>
  <c r="AG32" i="2"/>
  <c r="K32" i="2"/>
  <c r="AH32" i="2"/>
  <c r="AA32" i="2"/>
  <c r="AH34" i="5"/>
  <c r="AH34" i="3"/>
  <c r="BN34" i="2" s="1"/>
  <c r="O34" i="3"/>
  <c r="AU34" i="2" s="1"/>
  <c r="O34" i="5"/>
  <c r="V34" i="5"/>
  <c r="V34" i="3"/>
  <c r="BB34" i="2" s="1"/>
  <c r="Y34" i="5"/>
  <c r="Y34" i="3"/>
  <c r="BE34" i="2"/>
  <c r="AE35" i="3"/>
  <c r="BK35" i="2" s="1"/>
  <c r="AE35" i="5"/>
  <c r="H35" i="3"/>
  <c r="AN35" i="2" s="1"/>
  <c r="H35" i="5"/>
  <c r="P35" i="3"/>
  <c r="AV35" i="2" s="1"/>
  <c r="P35" i="5"/>
  <c r="X35" i="3"/>
  <c r="BD35" i="2" s="1"/>
  <c r="X35" i="5"/>
  <c r="I41" i="5"/>
  <c r="I41" i="3"/>
  <c r="AO41" i="2" s="1"/>
  <c r="O41" i="5"/>
  <c r="O41" i="3"/>
  <c r="AU41" i="2" s="1"/>
  <c r="T41" i="3"/>
  <c r="AZ41" i="2" s="1"/>
  <c r="T41" i="5"/>
  <c r="AD41" i="5"/>
  <c r="AD41" i="3"/>
  <c r="BJ41" i="2" s="1"/>
  <c r="T33" i="5"/>
  <c r="T33" i="3"/>
  <c r="AZ33" i="2" s="1"/>
  <c r="O33" i="5"/>
  <c r="O33" i="3"/>
  <c r="AU33" i="2" s="1"/>
  <c r="W33" i="5"/>
  <c r="W33" i="3"/>
  <c r="BC33" i="2" s="1"/>
  <c r="H33" i="5"/>
  <c r="H33" i="3"/>
  <c r="AN33" i="2" s="1"/>
  <c r="Q36" i="3"/>
  <c r="AW36" i="2" s="1"/>
  <c r="Q36" i="5"/>
  <c r="H36" i="2"/>
  <c r="E36" i="2"/>
  <c r="Y36" i="2"/>
  <c r="Z37" i="3"/>
  <c r="BF37" i="2" s="1"/>
  <c r="Z37" i="5"/>
  <c r="M37" i="5"/>
  <c r="M37" i="3"/>
  <c r="AS37" i="2" s="1"/>
  <c r="U37" i="3"/>
  <c r="BA37" i="2" s="1"/>
  <c r="U37" i="5"/>
  <c r="AC37" i="3"/>
  <c r="BI37" i="2" s="1"/>
  <c r="AC37" i="5"/>
  <c r="E39" i="2"/>
  <c r="S38" i="5"/>
  <c r="S38" i="3"/>
  <c r="AY38" i="2" s="1"/>
  <c r="AC40" i="3"/>
  <c r="BI40" i="2" s="1"/>
  <c r="AC40" i="5"/>
  <c r="Y32" i="2"/>
  <c r="Z35" i="3"/>
  <c r="BF35" i="2" s="1"/>
  <c r="Z35" i="5"/>
  <c r="AD33" i="3"/>
  <c r="BJ33" i="2" s="1"/>
  <c r="AD33" i="5"/>
  <c r="G39" i="2"/>
  <c r="N39" i="3"/>
  <c r="AT39" i="2" s="1"/>
  <c r="N39" i="5"/>
  <c r="V39" i="3"/>
  <c r="BB39" i="2" s="1"/>
  <c r="V39" i="5"/>
  <c r="K39" i="3"/>
  <c r="AQ39" i="2" s="1"/>
  <c r="K39" i="5"/>
  <c r="Z38" i="3"/>
  <c r="BF38" i="2" s="1"/>
  <c r="Z38" i="5"/>
  <c r="AH38" i="3"/>
  <c r="BN38" i="2" s="1"/>
  <c r="AH38" i="5"/>
  <c r="I38" i="5"/>
  <c r="I38" i="3"/>
  <c r="AO38" i="2" s="1"/>
  <c r="Q38" i="5"/>
  <c r="Q38" i="3"/>
  <c r="AW38" i="2" s="1"/>
  <c r="P40" i="2"/>
  <c r="R40" i="3"/>
  <c r="AX40" i="2" s="1"/>
  <c r="R40" i="5"/>
  <c r="Z40" i="2"/>
  <c r="G40" i="2"/>
  <c r="F32" i="2"/>
  <c r="V32" i="2"/>
  <c r="G32" i="2"/>
  <c r="W32" i="2"/>
  <c r="M34" i="5"/>
  <c r="M34" i="3"/>
  <c r="AS34" i="2" s="1"/>
  <c r="D34" i="3"/>
  <c r="AJ34" i="2" s="1"/>
  <c r="D34" i="5"/>
  <c r="W34" i="5"/>
  <c r="W34" i="3"/>
  <c r="BC34" i="2" s="1"/>
  <c r="AD34" i="3"/>
  <c r="BJ34" i="2" s="1"/>
  <c r="AD34" i="5"/>
  <c r="AF35" i="5"/>
  <c r="AF35" i="3"/>
  <c r="BL35" i="2" s="1"/>
  <c r="AD35" i="3"/>
  <c r="BJ35" i="2" s="1"/>
  <c r="AD35" i="5"/>
  <c r="U35" i="3"/>
  <c r="BA35" i="2" s="1"/>
  <c r="U35" i="5"/>
  <c r="N35" i="5"/>
  <c r="N35" i="3"/>
  <c r="AT35" i="2" s="1"/>
  <c r="AE41" i="5"/>
  <c r="AE41" i="3"/>
  <c r="BK41" i="2" s="1"/>
  <c r="P41" i="3"/>
  <c r="AV41" i="2" s="1"/>
  <c r="P41" i="5"/>
  <c r="U41" i="3"/>
  <c r="BA41" i="2" s="1"/>
  <c r="U41" i="5"/>
  <c r="D41" i="3"/>
  <c r="AJ41" i="2" s="1"/>
  <c r="D41" i="5"/>
  <c r="AF33" i="3"/>
  <c r="BL33" i="2" s="1"/>
  <c r="AF33" i="5"/>
  <c r="I33" i="3"/>
  <c r="AO33" i="2" s="1"/>
  <c r="I33" i="5"/>
  <c r="M33" i="5"/>
  <c r="M33" i="3"/>
  <c r="AS33" i="2" s="1"/>
  <c r="U33" i="3"/>
  <c r="BA33" i="2" s="1"/>
  <c r="U33" i="5"/>
  <c r="N36" i="2"/>
  <c r="V36" i="2"/>
  <c r="AD36" i="2"/>
  <c r="K36" i="2"/>
  <c r="D37" i="3"/>
  <c r="AJ37" i="2" s="1"/>
  <c r="D37" i="5"/>
  <c r="N37" i="3"/>
  <c r="AT37" i="2" s="1"/>
  <c r="N37" i="5"/>
  <c r="F37" i="3"/>
  <c r="AL37" i="2" s="1"/>
  <c r="F37" i="5"/>
  <c r="J37" i="5"/>
  <c r="J37" i="3"/>
  <c r="AP37" i="2" s="1"/>
  <c r="AE39" i="3"/>
  <c r="BK39" i="2" s="1"/>
  <c r="AE39" i="5"/>
  <c r="I32" i="2"/>
  <c r="I34" i="5"/>
  <c r="I34" i="3"/>
  <c r="AO34" i="2" s="1"/>
  <c r="N41" i="3"/>
  <c r="AT41" i="2" s="1"/>
  <c r="N41" i="5"/>
  <c r="G37" i="5"/>
  <c r="G37" i="3"/>
  <c r="AM37" i="2" s="1"/>
  <c r="AC39" i="3"/>
  <c r="BI39" i="2" s="1"/>
  <c r="AC39" i="5"/>
  <c r="L39" i="3"/>
  <c r="AR39" i="2" s="1"/>
  <c r="L39" i="5"/>
  <c r="S39" i="3"/>
  <c r="AY39" i="2" s="1"/>
  <c r="S39" i="5"/>
  <c r="AA39" i="3"/>
  <c r="BG39" i="2" s="1"/>
  <c r="AA39" i="5"/>
  <c r="K38" i="3"/>
  <c r="AQ38" i="2" s="1"/>
  <c r="K38" i="5"/>
  <c r="Y38" i="3"/>
  <c r="BE38" i="2" s="1"/>
  <c r="Y38" i="5"/>
  <c r="J38" i="3"/>
  <c r="AP38" i="2" s="1"/>
  <c r="J38" i="5"/>
  <c r="R38" i="3"/>
  <c r="AX38" i="2" s="1"/>
  <c r="R38" i="5"/>
  <c r="H40" i="5"/>
  <c r="H40" i="3"/>
  <c r="AN40" i="2" s="1"/>
  <c r="W40" i="5"/>
  <c r="W40" i="3"/>
  <c r="BC40" i="2" s="1"/>
  <c r="AE40" i="2"/>
  <c r="L40" i="2"/>
  <c r="D32" i="2"/>
  <c r="L32" i="2"/>
  <c r="T32" i="2"/>
  <c r="AB32" i="2"/>
  <c r="P34" i="5"/>
  <c r="P34" i="3"/>
  <c r="AV34" i="2" s="1"/>
  <c r="AF34" i="5"/>
  <c r="AF34" i="3"/>
  <c r="BL34" i="2" s="1"/>
  <c r="AG34" i="3"/>
  <c r="BM34" i="2" s="1"/>
  <c r="AG34" i="5"/>
  <c r="AE34" i="3"/>
  <c r="BK34" i="2" s="1"/>
  <c r="AE34" i="5"/>
  <c r="V35" i="5"/>
  <c r="V35" i="3"/>
  <c r="BB35" i="2" s="1"/>
  <c r="Q35" i="5"/>
  <c r="Q35" i="3"/>
  <c r="AW35" i="2" s="1"/>
  <c r="AG35" i="3"/>
  <c r="BM35" i="2" s="1"/>
  <c r="AG35" i="5"/>
  <c r="R35" i="5"/>
  <c r="R35" i="3"/>
  <c r="AX35" i="2" s="1"/>
  <c r="F41" i="3"/>
  <c r="AL41" i="2" s="1"/>
  <c r="F41" i="5"/>
  <c r="Q41" i="3"/>
  <c r="AW41" i="2" s="1"/>
  <c r="Q41" i="5"/>
  <c r="J41" i="5"/>
  <c r="J41" i="3"/>
  <c r="AP41" i="2" s="1"/>
  <c r="E41" i="3"/>
  <c r="AK41" i="2" s="1"/>
  <c r="E41" i="5"/>
  <c r="AG33" i="5"/>
  <c r="AG33" i="3"/>
  <c r="BM33" i="2" s="1"/>
  <c r="J33" i="3"/>
  <c r="AP33" i="2" s="1"/>
  <c r="J33" i="5"/>
  <c r="N33" i="3"/>
  <c r="AT33" i="2" s="1"/>
  <c r="N33" i="5"/>
  <c r="V33" i="5"/>
  <c r="V33" i="3"/>
  <c r="BB33" i="2" s="1"/>
  <c r="S36" i="2"/>
  <c r="AA36" i="2"/>
  <c r="L36" i="2"/>
  <c r="T36" i="2"/>
  <c r="H37" i="3"/>
  <c r="AN37" i="2" s="1"/>
  <c r="H37" i="5"/>
  <c r="O37" i="3"/>
  <c r="AU37" i="2" s="1"/>
  <c r="O37" i="5"/>
  <c r="W37" i="5"/>
  <c r="W37" i="3"/>
  <c r="BC37" i="2" s="1"/>
  <c r="AE37" i="3"/>
  <c r="BK37" i="2" s="1"/>
  <c r="AE37" i="5"/>
  <c r="AF32" i="2"/>
  <c r="G34" i="5"/>
  <c r="G34" i="3"/>
  <c r="AM34" i="2" s="1"/>
  <c r="W35" i="5"/>
  <c r="W35" i="3"/>
  <c r="BC35" i="2" s="1"/>
  <c r="R41" i="5"/>
  <c r="R41" i="3"/>
  <c r="AX41" i="2" s="1"/>
  <c r="F36" i="2"/>
  <c r="AB37" i="3"/>
  <c r="BH37" i="2" s="1"/>
  <c r="AB37" i="5"/>
  <c r="AB39" i="3"/>
  <c r="BH39" i="2" s="1"/>
  <c r="AB39" i="5"/>
  <c r="AF39" i="3"/>
  <c r="BL39" i="2" s="1"/>
  <c r="AF39" i="5"/>
  <c r="T39" i="3"/>
  <c r="AZ39" i="2" s="1"/>
  <c r="T39" i="5"/>
  <c r="AD39" i="3"/>
  <c r="BJ39" i="2" s="1"/>
  <c r="AD39" i="5"/>
  <c r="AB38" i="5"/>
  <c r="AB38" i="3"/>
  <c r="BH38" i="2" s="1"/>
  <c r="D38" i="3"/>
  <c r="AJ38" i="2" s="1"/>
  <c r="D38" i="5"/>
  <c r="O38" i="3"/>
  <c r="AU38" i="2" s="1"/>
  <c r="O38" i="5"/>
  <c r="G38" i="2"/>
  <c r="Q40" i="2"/>
  <c r="X40" i="3"/>
  <c r="BD40" i="2" s="1"/>
  <c r="X40" i="5"/>
  <c r="AF40" i="2"/>
  <c r="E32" i="2"/>
  <c r="M32" i="2"/>
  <c r="U32" i="2"/>
  <c r="AC32" i="2"/>
  <c r="J34" i="3"/>
  <c r="AP34" i="2" s="1"/>
  <c r="J34" i="5"/>
  <c r="R34" i="3"/>
  <c r="AX34" i="2" s="1"/>
  <c r="R34" i="5"/>
  <c r="AB34" i="3"/>
  <c r="BH34" i="2" s="1"/>
  <c r="AB34" i="5"/>
  <c r="AH35" i="3"/>
  <c r="BN35" i="2" s="1"/>
  <c r="AH35" i="5"/>
  <c r="K35" i="3"/>
  <c r="AQ35" i="2" s="1"/>
  <c r="K35" i="5"/>
  <c r="S35" i="3"/>
  <c r="AY35" i="2" s="1"/>
  <c r="S35" i="5"/>
  <c r="AA35" i="2"/>
  <c r="L41" i="5"/>
  <c r="L41" i="3"/>
  <c r="AR41" i="2" s="1"/>
  <c r="AB41" i="3"/>
  <c r="BH41" i="2" s="1"/>
  <c r="AB41" i="5"/>
  <c r="W41" i="5"/>
  <c r="W41" i="3"/>
  <c r="BC41" i="2" s="1"/>
  <c r="AH33" i="5"/>
  <c r="AH33" i="3"/>
  <c r="BN33" i="2" s="1"/>
  <c r="AB33" i="5"/>
  <c r="AB33" i="3"/>
  <c r="BH33" i="2" s="1"/>
  <c r="S33" i="3"/>
  <c r="AY33" i="2" s="1"/>
  <c r="S33" i="5"/>
  <c r="AB36" i="2"/>
  <c r="AC36" i="2"/>
  <c r="AG36" i="2"/>
  <c r="M36" i="2"/>
  <c r="AD37" i="3"/>
  <c r="BJ37" i="2" s="1"/>
  <c r="AD37" i="5"/>
  <c r="P37" i="3"/>
  <c r="AV37" i="2" s="1"/>
  <c r="P37" i="5"/>
  <c r="X37" i="3"/>
  <c r="BD37" i="2" s="1"/>
  <c r="X37" i="5"/>
  <c r="AF37" i="3"/>
  <c r="BL37" i="2" s="1"/>
  <c r="AF37" i="5"/>
  <c r="H39" i="5"/>
  <c r="H39" i="3"/>
  <c r="AN39" i="2" s="1"/>
  <c r="J40" i="2"/>
  <c r="Q32" i="2"/>
  <c r="O35" i="3"/>
  <c r="AU35" i="2" s="1"/>
  <c r="O35" i="5"/>
  <c r="H41" i="5"/>
  <c r="H41" i="3"/>
  <c r="AN41" i="2" s="1"/>
  <c r="AA33" i="3"/>
  <c r="BG33" i="2" s="1"/>
  <c r="AA33" i="5"/>
  <c r="AG39" i="3"/>
  <c r="BM39" i="2" s="1"/>
  <c r="AG39" i="5"/>
  <c r="I39" i="2"/>
  <c r="Q39" i="5"/>
  <c r="Q39" i="3"/>
  <c r="AW39" i="2" s="1"/>
  <c r="X39" i="3"/>
  <c r="BD39" i="2" s="1"/>
  <c r="X39" i="5"/>
  <c r="AC38" i="3"/>
  <c r="BI38" i="2" s="1"/>
  <c r="AC38" i="5"/>
  <c r="E38" i="3"/>
  <c r="AK38" i="2" s="1"/>
  <c r="E38" i="5"/>
  <c r="L38" i="5"/>
  <c r="L38" i="3"/>
  <c r="AR38" i="2"/>
  <c r="T38" i="5"/>
  <c r="T38" i="3"/>
  <c r="AZ38" i="2" s="1"/>
  <c r="N40" i="2"/>
  <c r="I40" i="2"/>
  <c r="M40" i="2"/>
  <c r="K40" i="5"/>
  <c r="K40" i="3"/>
  <c r="AQ40" i="2" s="1"/>
  <c r="J32" i="2"/>
  <c r="R32" i="2"/>
  <c r="Z32" i="2"/>
  <c r="L34" i="3"/>
  <c r="AR34" i="2" s="1"/>
  <c r="L34" i="5"/>
  <c r="K34" i="3"/>
  <c r="AQ34" i="2" s="1"/>
  <c r="K34" i="5"/>
  <c r="S34" i="5"/>
  <c r="S34" i="3"/>
  <c r="AY34" i="2" s="1"/>
  <c r="Q34" i="3"/>
  <c r="AW34" i="2" s="1"/>
  <c r="Q34" i="5"/>
  <c r="D35" i="3"/>
  <c r="AJ35" i="2" s="1"/>
  <c r="D35" i="5"/>
  <c r="L35" i="3"/>
  <c r="AR35" i="2" s="1"/>
  <c r="L35" i="5"/>
  <c r="T35" i="3"/>
  <c r="AZ35" i="2" s="1"/>
  <c r="T35" i="5"/>
  <c r="AB35" i="3"/>
  <c r="BH35" i="2" s="1"/>
  <c r="AB35" i="5"/>
  <c r="AA41" i="3"/>
  <c r="BG41" i="2" s="1"/>
  <c r="AA41" i="5"/>
  <c r="M41" i="5"/>
  <c r="M41" i="3"/>
  <c r="AS41" i="2" s="1"/>
  <c r="AG41" i="5"/>
  <c r="AG41" i="3"/>
  <c r="BM41" i="2" s="1"/>
  <c r="X41" i="5"/>
  <c r="X41" i="3"/>
  <c r="BD41" i="2" s="1"/>
  <c r="D33" i="3"/>
  <c r="AJ33" i="2" s="1"/>
  <c r="D33" i="5"/>
  <c r="G33" i="3"/>
  <c r="AM33" i="2" s="1"/>
  <c r="G33" i="5"/>
  <c r="P33" i="5"/>
  <c r="P33" i="3"/>
  <c r="AV33" i="2" s="1"/>
  <c r="AE33" i="5"/>
  <c r="AE33" i="3"/>
  <c r="BK33" i="2" s="1"/>
  <c r="D36" i="2"/>
  <c r="U36" i="2"/>
  <c r="I36" i="2"/>
  <c r="J36" i="2"/>
  <c r="E37" i="3"/>
  <c r="AK37" i="2" s="1"/>
  <c r="E37" i="5"/>
  <c r="Q37" i="5"/>
  <c r="Q37" i="3"/>
  <c r="AW37" i="2" s="1"/>
  <c r="Y37" i="3"/>
  <c r="BE37" i="2" s="1"/>
  <c r="Y37" i="5"/>
  <c r="AG37" i="5"/>
  <c r="AG37" i="3"/>
  <c r="BM37" i="2" s="1"/>
  <c r="AE38" i="3"/>
  <c r="BK38" i="2" s="1"/>
  <c r="AE38" i="5"/>
  <c r="AB40" i="2"/>
  <c r="G35" i="3"/>
  <c r="AM35" i="2" s="1"/>
  <c r="G35" i="5"/>
  <c r="L33" i="5"/>
  <c r="L33" i="3"/>
  <c r="AR33" i="2" s="1"/>
  <c r="AH39" i="3"/>
  <c r="BN39" i="2" s="1"/>
  <c r="AH39" i="5"/>
  <c r="J39" i="3"/>
  <c r="AP39" i="2" s="1"/>
  <c r="J39" i="5"/>
  <c r="R39" i="5"/>
  <c r="R39" i="3"/>
  <c r="AX39" i="2" s="1"/>
  <c r="Y39" i="5"/>
  <c r="Y39" i="3"/>
  <c r="BE39" i="2" s="1"/>
  <c r="AD38" i="3"/>
  <c r="BJ38" i="2" s="1"/>
  <c r="AD38" i="5"/>
  <c r="F38" i="3"/>
  <c r="AL38" i="2" s="1"/>
  <c r="F38" i="5"/>
  <c r="M38" i="5"/>
  <c r="M38" i="3"/>
  <c r="AS38" i="2" s="1"/>
  <c r="U38" i="5"/>
  <c r="U38" i="3"/>
  <c r="BA38" i="2" s="1"/>
  <c r="AH40" i="3"/>
  <c r="BN40" i="2" s="1"/>
  <c r="AH40" i="5"/>
  <c r="S40" i="2"/>
  <c r="V40" i="2"/>
  <c r="AD40" i="2"/>
  <c r="S32" i="2"/>
  <c r="N32" i="2"/>
  <c r="AD32" i="2"/>
  <c r="O32" i="2"/>
  <c r="H34" i="3"/>
  <c r="AN34" i="2" s="1"/>
  <c r="H34" i="5"/>
  <c r="AC34" i="3"/>
  <c r="BI34" i="2" s="1"/>
  <c r="AC34" i="5"/>
  <c r="U34" i="3"/>
  <c r="BA34" i="2" s="1"/>
  <c r="U34" i="5"/>
  <c r="Z34" i="5"/>
  <c r="Z34" i="3"/>
  <c r="BF34" i="2" s="1"/>
  <c r="M35" i="3"/>
  <c r="AS35" i="2" s="1"/>
  <c r="M35" i="5"/>
  <c r="E35" i="3"/>
  <c r="AK35" i="2" s="1"/>
  <c r="E35" i="5"/>
  <c r="AC35" i="3"/>
  <c r="BI35" i="2" s="1"/>
  <c r="AC35" i="5"/>
  <c r="AH41" i="5"/>
  <c r="AH41" i="3"/>
  <c r="BN41" i="2" s="1"/>
  <c r="AC41" i="3"/>
  <c r="BI41" i="2" s="1"/>
  <c r="AC41" i="5"/>
  <c r="K41" i="3"/>
  <c r="AQ41" i="2" s="1"/>
  <c r="K41" i="5"/>
  <c r="Y41" i="5"/>
  <c r="Y41" i="3"/>
  <c r="BE41" i="2" s="1"/>
  <c r="X33" i="5"/>
  <c r="X33" i="3"/>
  <c r="BD33" i="2" s="1"/>
  <c r="E33" i="3"/>
  <c r="AK33" i="2" s="1"/>
  <c r="E33" i="5"/>
  <c r="Y33" i="3"/>
  <c r="BE33" i="2" s="1"/>
  <c r="Y33" i="5"/>
  <c r="Q33" i="5"/>
  <c r="Q33" i="3"/>
  <c r="AW33" i="2" s="1"/>
  <c r="R36" i="2"/>
  <c r="Z36" i="2"/>
  <c r="AH36" i="3"/>
  <c r="BN36" i="2" s="1"/>
  <c r="AH36" i="5"/>
  <c r="O36" i="2"/>
  <c r="AH37" i="3"/>
  <c r="BN37" i="2" s="1"/>
  <c r="AH37" i="5"/>
  <c r="R37" i="3"/>
  <c r="AX37" i="2" s="1"/>
  <c r="R37" i="5"/>
  <c r="V37" i="3"/>
  <c r="BB37" i="2" s="1"/>
  <c r="V37" i="5"/>
  <c r="AF38" i="3"/>
  <c r="BL38" i="2" s="1"/>
  <c r="AF38" i="5"/>
  <c r="E34" i="3"/>
  <c r="AK34" i="2" s="1"/>
  <c r="E34" i="5"/>
  <c r="S41" i="3"/>
  <c r="AY41" i="2" s="1"/>
  <c r="S41" i="5"/>
  <c r="AF36" i="5"/>
  <c r="AF36" i="3"/>
  <c r="BL36" i="2" s="1"/>
  <c r="L37" i="3"/>
  <c r="AR37" i="2" s="1"/>
  <c r="L37" i="5"/>
  <c r="D39" i="3"/>
  <c r="AJ39" i="2" s="1"/>
  <c r="D39" i="5"/>
  <c r="O39" i="3"/>
  <c r="AU39" i="2" s="1"/>
  <c r="O39" i="5"/>
  <c r="W39" i="3"/>
  <c r="BC39" i="2" s="1"/>
  <c r="W39" i="5"/>
  <c r="Z39" i="3"/>
  <c r="BF39" i="2" s="1"/>
  <c r="Z39" i="5"/>
  <c r="AA38" i="3"/>
  <c r="BG38" i="2" s="1"/>
  <c r="AA38" i="5"/>
  <c r="X38" i="3"/>
  <c r="BD38" i="2" s="1"/>
  <c r="X38" i="5"/>
  <c r="N38" i="3"/>
  <c r="AT38" i="2" s="1"/>
  <c r="N38" i="5"/>
  <c r="V38" i="3"/>
  <c r="BB38" i="2" s="1"/>
  <c r="V38" i="5"/>
  <c r="E40" i="2"/>
  <c r="T40" i="2"/>
  <c r="AA40" i="2"/>
  <c r="D40" i="3"/>
  <c r="AJ40" i="2" s="1"/>
  <c r="D40" i="5"/>
  <c r="AE32" i="2"/>
  <c r="H32" i="2"/>
  <c r="P32" i="2"/>
  <c r="X32" i="2"/>
  <c r="F34" i="3"/>
  <c r="AL34" i="2" s="1"/>
  <c r="F34" i="5"/>
  <c r="X34" i="5"/>
  <c r="X34" i="3"/>
  <c r="BD34" i="2" s="1"/>
  <c r="T34" i="5"/>
  <c r="T34" i="3"/>
  <c r="AZ34" i="2" s="1"/>
  <c r="AA34" i="3"/>
  <c r="BG34" i="2" s="1"/>
  <c r="AA34" i="5"/>
  <c r="F35" i="3"/>
  <c r="AL35" i="2" s="1"/>
  <c r="F35" i="5"/>
  <c r="I35" i="3"/>
  <c r="AO35" i="2" s="1"/>
  <c r="I35" i="5"/>
  <c r="Y35" i="3"/>
  <c r="Y35" i="5"/>
  <c r="BE35" i="2"/>
  <c r="J35" i="3"/>
  <c r="AP35" i="2" s="1"/>
  <c r="J35" i="5"/>
  <c r="G41" i="5"/>
  <c r="G41" i="3"/>
  <c r="AM41" i="2" s="1"/>
  <c r="AF41" i="3"/>
  <c r="BL41" i="2" s="1"/>
  <c r="AF41" i="5"/>
  <c r="V41" i="3"/>
  <c r="BB41" i="2" s="1"/>
  <c r="V41" i="5"/>
  <c r="Z41" i="3"/>
  <c r="BF41" i="2" s="1"/>
  <c r="Z41" i="5"/>
  <c r="AC33" i="3"/>
  <c r="BI33" i="2" s="1"/>
  <c r="AC33" i="5"/>
  <c r="F33" i="5"/>
  <c r="F33" i="3"/>
  <c r="AL33" i="2" s="1"/>
  <c r="Z33" i="3"/>
  <c r="BF33" i="2" s="1"/>
  <c r="Z33" i="5"/>
  <c r="R33" i="5"/>
  <c r="R33" i="3"/>
  <c r="AX33" i="2" s="1"/>
  <c r="W36" i="2"/>
  <c r="AE36" i="2"/>
  <c r="P36" i="2"/>
  <c r="X36" i="2"/>
  <c r="I37" i="3"/>
  <c r="AO37" i="2" s="1"/>
  <c r="I37" i="5"/>
  <c r="K37" i="5"/>
  <c r="K37" i="3"/>
  <c r="AQ37" i="2" s="1"/>
  <c r="S37" i="3"/>
  <c r="AY37" i="2" s="1"/>
  <c r="S37" i="5"/>
  <c r="AA37" i="3"/>
  <c r="BG37" i="2" s="1"/>
  <c r="AA37" i="5"/>
  <c r="BO34" i="2" l="1"/>
  <c r="O36" i="5"/>
  <c r="O36" i="3"/>
  <c r="AU36" i="2" s="1"/>
  <c r="O32" i="3"/>
  <c r="AU32" i="2" s="1"/>
  <c r="O32" i="5"/>
  <c r="O55" i="2"/>
  <c r="O54" i="2"/>
  <c r="N32" i="5"/>
  <c r="N32" i="3"/>
  <c r="AT32" i="2" s="1"/>
  <c r="N55" i="2"/>
  <c r="N54" i="2"/>
  <c r="S32" i="3"/>
  <c r="AY32" i="2" s="1"/>
  <c r="S32" i="5"/>
  <c r="S55" i="2"/>
  <c r="S54" i="2"/>
  <c r="U36" i="3"/>
  <c r="U36" i="5"/>
  <c r="BA36" i="2"/>
  <c r="N40" i="5"/>
  <c r="N40" i="3"/>
  <c r="AT40" i="2" s="1"/>
  <c r="AE40" i="5"/>
  <c r="AE40" i="3"/>
  <c r="BK40" i="2" s="1"/>
  <c r="K36" i="3"/>
  <c r="AQ36" i="2" s="1"/>
  <c r="K36" i="5"/>
  <c r="BO41" i="2"/>
  <c r="Y32" i="3"/>
  <c r="BE32" i="2" s="1"/>
  <c r="Y32" i="5"/>
  <c r="Y54" i="2"/>
  <c r="Y55" i="2"/>
  <c r="AH32" i="5"/>
  <c r="AH32" i="3"/>
  <c r="BN32" i="2" s="1"/>
  <c r="AH55" i="2"/>
  <c r="AH54" i="2"/>
  <c r="X36" i="3"/>
  <c r="BD36" i="2" s="1"/>
  <c r="X36" i="5"/>
  <c r="AD32" i="3"/>
  <c r="BJ32" i="2" s="1"/>
  <c r="AD32" i="5"/>
  <c r="AD54" i="2"/>
  <c r="AD55" i="2"/>
  <c r="BO33" i="2"/>
  <c r="AC36" i="5"/>
  <c r="AC36" i="3"/>
  <c r="BI36" i="2" s="1"/>
  <c r="F36" i="5"/>
  <c r="F36" i="3"/>
  <c r="AL36" i="2" s="1"/>
  <c r="T36" i="5"/>
  <c r="T36" i="3"/>
  <c r="AZ36" i="2" s="1"/>
  <c r="G32" i="3"/>
  <c r="AM32" i="2" s="1"/>
  <c r="G32" i="5"/>
  <c r="G55" i="2"/>
  <c r="G54" i="2"/>
  <c r="V32" i="5"/>
  <c r="V32" i="3"/>
  <c r="BB32" i="2" s="1"/>
  <c r="V54" i="2"/>
  <c r="V55" i="2"/>
  <c r="F32" i="5"/>
  <c r="F32" i="3"/>
  <c r="AL32" i="2" s="1"/>
  <c r="F55" i="2"/>
  <c r="F54" i="2"/>
  <c r="G39" i="3"/>
  <c r="AM39" i="2" s="1"/>
  <c r="G39" i="5"/>
  <c r="H36" i="3"/>
  <c r="AN36" i="2" s="1"/>
  <c r="H36" i="5"/>
  <c r="K32" i="3"/>
  <c r="AQ32" i="2" s="1"/>
  <c r="K32" i="5"/>
  <c r="K54" i="2"/>
  <c r="K55" i="2"/>
  <c r="AG32" i="3"/>
  <c r="AG32" i="5"/>
  <c r="BM32" i="2"/>
  <c r="AG54" i="2"/>
  <c r="AG55" i="2"/>
  <c r="AA40" i="3"/>
  <c r="AA40" i="5"/>
  <c r="BG40" i="2"/>
  <c r="AD40" i="3"/>
  <c r="AD40" i="5"/>
  <c r="BJ40" i="2"/>
  <c r="AB40" i="5"/>
  <c r="AB40" i="3"/>
  <c r="BH40" i="2" s="1"/>
  <c r="D36" i="5"/>
  <c r="D36" i="3"/>
  <c r="AJ36" i="2" s="1"/>
  <c r="Q32" i="3"/>
  <c r="AW32" i="2" s="1"/>
  <c r="Q32" i="5"/>
  <c r="Q54" i="2"/>
  <c r="Q55" i="2"/>
  <c r="AD36" i="3"/>
  <c r="BJ36" i="2" s="1"/>
  <c r="AD36" i="5"/>
  <c r="P40" i="3"/>
  <c r="AV40" i="2" s="1"/>
  <c r="P40" i="5"/>
  <c r="O40" i="3"/>
  <c r="AU40" i="2" s="1"/>
  <c r="O40" i="5"/>
  <c r="P36" i="5"/>
  <c r="P36" i="3"/>
  <c r="AV36" i="2" s="1"/>
  <c r="AB36" i="5"/>
  <c r="AB36" i="3"/>
  <c r="BH36" i="2" s="1"/>
  <c r="AA35" i="5"/>
  <c r="AA35" i="3"/>
  <c r="BG35" i="2" s="1"/>
  <c r="BO35" i="2" s="1"/>
  <c r="AF32" i="3"/>
  <c r="BL32" i="2" s="1"/>
  <c r="AF32" i="5"/>
  <c r="AF54" i="2"/>
  <c r="AF55" i="2"/>
  <c r="L36" i="3"/>
  <c r="AR36" i="2" s="1"/>
  <c r="L36" i="5"/>
  <c r="T32" i="3"/>
  <c r="AZ32" i="2" s="1"/>
  <c r="T32" i="5"/>
  <c r="T54" i="2"/>
  <c r="T55" i="2"/>
  <c r="L32" i="5"/>
  <c r="L32" i="3"/>
  <c r="AR32" i="2" s="1"/>
  <c r="L55" i="2"/>
  <c r="L54" i="2"/>
  <c r="W32" i="5"/>
  <c r="W32" i="3"/>
  <c r="BC32" i="2" s="1"/>
  <c r="W55" i="2"/>
  <c r="W54" i="2"/>
  <c r="G40" i="5"/>
  <c r="G40" i="3"/>
  <c r="AM40" i="2" s="1"/>
  <c r="F40" i="5"/>
  <c r="F40" i="3"/>
  <c r="AL40" i="2" s="1"/>
  <c r="M39" i="5"/>
  <c r="M39" i="3"/>
  <c r="AS39" i="2" s="1"/>
  <c r="G36" i="3"/>
  <c r="AM36" i="2" s="1"/>
  <c r="G36" i="5"/>
  <c r="AG40" i="3"/>
  <c r="BM40" i="2" s="1"/>
  <c r="AG40" i="5"/>
  <c r="T40" i="3"/>
  <c r="AZ40" i="2" s="1"/>
  <c r="T40" i="5"/>
  <c r="V40" i="3"/>
  <c r="BB40" i="2" s="1"/>
  <c r="V40" i="5"/>
  <c r="J36" i="3"/>
  <c r="AP36" i="2" s="1"/>
  <c r="J36" i="5"/>
  <c r="M40" i="5"/>
  <c r="M40" i="3"/>
  <c r="AS40" i="2" s="1"/>
  <c r="I39" i="3"/>
  <c r="AO39" i="2" s="1"/>
  <c r="I39" i="5"/>
  <c r="J40" i="5"/>
  <c r="J40" i="3"/>
  <c r="AP40" i="2" s="1"/>
  <c r="Q40" i="5"/>
  <c r="Q40" i="3"/>
  <c r="AW40" i="2" s="1"/>
  <c r="AB32" i="3"/>
  <c r="BH32" i="2" s="1"/>
  <c r="AB32" i="5"/>
  <c r="AB55" i="2"/>
  <c r="AB54" i="2"/>
  <c r="D32" i="3"/>
  <c r="AJ32" i="2" s="1"/>
  <c r="D32" i="5"/>
  <c r="D54" i="2"/>
  <c r="D55" i="2"/>
  <c r="V36" i="3"/>
  <c r="BB36" i="2" s="1"/>
  <c r="V36" i="5"/>
  <c r="P32" i="3"/>
  <c r="AV32" i="2" s="1"/>
  <c r="P32" i="5"/>
  <c r="P54" i="2"/>
  <c r="P55" i="2"/>
  <c r="AE36" i="5"/>
  <c r="AE36" i="3"/>
  <c r="BK36" i="2" s="1"/>
  <c r="H32" i="3"/>
  <c r="AN32" i="2" s="1"/>
  <c r="H32" i="5"/>
  <c r="H55" i="2"/>
  <c r="H54" i="2"/>
  <c r="AE32" i="3"/>
  <c r="BK32" i="2" s="1"/>
  <c r="AE32" i="5"/>
  <c r="AE54" i="2"/>
  <c r="AE55" i="2"/>
  <c r="BO37" i="2"/>
  <c r="Z36" i="3"/>
  <c r="Z36" i="5"/>
  <c r="BF36" i="2"/>
  <c r="M36" i="5"/>
  <c r="M36" i="3"/>
  <c r="AS36" i="2" s="1"/>
  <c r="E32" i="3"/>
  <c r="AK32" i="2" s="1"/>
  <c r="E32" i="5"/>
  <c r="E54" i="2"/>
  <c r="E55" i="2"/>
  <c r="AA36" i="3"/>
  <c r="BG36" i="2" s="1"/>
  <c r="AA36" i="5"/>
  <c r="Z40" i="5"/>
  <c r="Z40" i="3"/>
  <c r="BF40" i="2" s="1"/>
  <c r="Y36" i="3"/>
  <c r="BE36" i="2" s="1"/>
  <c r="Y36" i="5"/>
  <c r="Y40" i="3"/>
  <c r="BE40" i="2" s="1"/>
  <c r="Y40" i="5"/>
  <c r="E40" i="5"/>
  <c r="E40" i="3"/>
  <c r="AK40" i="2" s="1"/>
  <c r="S40" i="3"/>
  <c r="AY40" i="2" s="1"/>
  <c r="S40" i="5"/>
  <c r="I36" i="5"/>
  <c r="I36" i="3"/>
  <c r="AO36" i="2" s="1"/>
  <c r="Z32" i="5"/>
  <c r="Z32" i="3"/>
  <c r="Z54" i="2"/>
  <c r="Z55" i="2"/>
  <c r="I40" i="5"/>
  <c r="I40" i="3"/>
  <c r="AO40" i="2" s="1"/>
  <c r="M32" i="3"/>
  <c r="AS32" i="2" s="1"/>
  <c r="M32" i="5"/>
  <c r="M54" i="2"/>
  <c r="M55" i="2"/>
  <c r="G38" i="3"/>
  <c r="AM38" i="2" s="1"/>
  <c r="BO38" i="2" s="1"/>
  <c r="G38" i="5"/>
  <c r="L40" i="3"/>
  <c r="AR40" i="2" s="1"/>
  <c r="L40" i="5"/>
  <c r="N36" i="3"/>
  <c r="AT36" i="2" s="1"/>
  <c r="N36" i="5"/>
  <c r="X32" i="3"/>
  <c r="X32" i="5"/>
  <c r="X55" i="2"/>
  <c r="X54" i="2"/>
  <c r="W36" i="5"/>
  <c r="W36" i="3"/>
  <c r="BC36" i="2" s="1"/>
  <c r="R36" i="3"/>
  <c r="AX36" i="2" s="1"/>
  <c r="R36" i="5"/>
  <c r="R32" i="3"/>
  <c r="AX32" i="2" s="1"/>
  <c r="R32" i="5"/>
  <c r="R55" i="2"/>
  <c r="R54" i="2"/>
  <c r="J32" i="5"/>
  <c r="J32" i="3"/>
  <c r="AP32" i="2" s="1"/>
  <c r="J54" i="2"/>
  <c r="J55" i="2"/>
  <c r="AG36" i="3"/>
  <c r="BM36" i="2" s="1"/>
  <c r="AG36" i="5"/>
  <c r="AC32" i="3"/>
  <c r="BI32" i="2" s="1"/>
  <c r="AC32" i="5"/>
  <c r="AC55" i="2"/>
  <c r="AC54" i="2"/>
  <c r="U32" i="3"/>
  <c r="BA32" i="2" s="1"/>
  <c r="U32" i="5"/>
  <c r="U54" i="2"/>
  <c r="U55" i="2"/>
  <c r="AF40" i="5"/>
  <c r="AF40" i="3"/>
  <c r="BL40" i="2" s="1"/>
  <c r="S36" i="3"/>
  <c r="AY36" i="2" s="1"/>
  <c r="S36" i="5"/>
  <c r="I32" i="5"/>
  <c r="I32" i="3"/>
  <c r="I55" i="2"/>
  <c r="I54" i="2"/>
  <c r="E39" i="3"/>
  <c r="AK39" i="2" s="1"/>
  <c r="E39" i="5"/>
  <c r="E36" i="3"/>
  <c r="AK36" i="2" s="1"/>
  <c r="E36" i="5"/>
  <c r="AA32" i="5"/>
  <c r="AA32" i="3"/>
  <c r="BG32" i="2" s="1"/>
  <c r="AA54" i="2"/>
  <c r="AA55" i="2"/>
  <c r="BO39" i="2" l="1"/>
  <c r="BQ38" i="2"/>
  <c r="BR38" i="2"/>
  <c r="BP38" i="2" s="1"/>
  <c r="BQ39" i="2"/>
  <c r="BR39" i="2"/>
  <c r="BP39" i="2" s="1"/>
  <c r="BO40" i="2"/>
  <c r="BQ35" i="2"/>
  <c r="BR35" i="2"/>
  <c r="BP35" i="2" s="1"/>
  <c r="Q57" i="3"/>
  <c r="Q54" i="3"/>
  <c r="Q55" i="3"/>
  <c r="Q56" i="3"/>
  <c r="AG54" i="5"/>
  <c r="AG55" i="5"/>
  <c r="AG56" i="5"/>
  <c r="AG57" i="5"/>
  <c r="V55" i="3"/>
  <c r="V56" i="3"/>
  <c r="V57" i="3"/>
  <c r="V54" i="3"/>
  <c r="S56" i="5"/>
  <c r="S55" i="5"/>
  <c r="S57" i="5"/>
  <c r="S54" i="5"/>
  <c r="I57" i="3"/>
  <c r="I55" i="3"/>
  <c r="I54" i="3"/>
  <c r="I56" i="3"/>
  <c r="M56" i="3"/>
  <c r="M57" i="3"/>
  <c r="M54" i="3"/>
  <c r="M55" i="3"/>
  <c r="I54" i="5"/>
  <c r="I57" i="5"/>
  <c r="I56" i="5"/>
  <c r="I55" i="5"/>
  <c r="U57" i="5"/>
  <c r="U56" i="5"/>
  <c r="U55" i="5"/>
  <c r="U54" i="5"/>
  <c r="Z57" i="5"/>
  <c r="Z54" i="5"/>
  <c r="Z55" i="5"/>
  <c r="Z56" i="5"/>
  <c r="BR37" i="2"/>
  <c r="BP37" i="2" s="1"/>
  <c r="BQ37" i="2"/>
  <c r="AI55" i="2"/>
  <c r="AB55" i="3"/>
  <c r="AB57" i="3"/>
  <c r="AB54" i="3"/>
  <c r="AB56" i="3"/>
  <c r="T55" i="5"/>
  <c r="T56" i="5"/>
  <c r="T54" i="5"/>
  <c r="T57" i="5"/>
  <c r="AF56" i="3"/>
  <c r="AF54" i="3"/>
  <c r="AF55" i="3"/>
  <c r="AF57" i="3"/>
  <c r="AG55" i="3"/>
  <c r="AG56" i="3"/>
  <c r="AG57" i="3"/>
  <c r="AG54" i="3"/>
  <c r="V57" i="5"/>
  <c r="V56" i="5"/>
  <c r="V55" i="5"/>
  <c r="V54" i="5"/>
  <c r="AD56" i="5"/>
  <c r="AD54" i="5"/>
  <c r="AD57" i="5"/>
  <c r="AD55" i="5"/>
  <c r="S54" i="3"/>
  <c r="S55" i="3"/>
  <c r="S57" i="3"/>
  <c r="S56" i="3"/>
  <c r="Z57" i="3"/>
  <c r="Z54" i="3"/>
  <c r="Z56" i="3"/>
  <c r="Z55" i="3"/>
  <c r="BO36" i="2"/>
  <c r="AB54" i="5"/>
  <c r="AB57" i="5"/>
  <c r="AB56" i="5"/>
  <c r="AB55" i="5"/>
  <c r="AF57" i="5"/>
  <c r="AF54" i="5"/>
  <c r="AF55" i="5"/>
  <c r="AF56" i="5"/>
  <c r="AA55" i="3"/>
  <c r="AA56" i="3"/>
  <c r="AA54" i="3"/>
  <c r="AA57" i="3"/>
  <c r="U57" i="3"/>
  <c r="U55" i="3"/>
  <c r="U54" i="3"/>
  <c r="U56" i="3"/>
  <c r="R56" i="5"/>
  <c r="R57" i="5"/>
  <c r="R55" i="5"/>
  <c r="R54" i="5"/>
  <c r="T54" i="3"/>
  <c r="T57" i="3"/>
  <c r="T56" i="3"/>
  <c r="T55" i="3"/>
  <c r="AD56" i="3"/>
  <c r="AD55" i="3"/>
  <c r="AD54" i="3"/>
  <c r="AD57" i="3"/>
  <c r="AC55" i="5"/>
  <c r="AC57" i="5"/>
  <c r="AC56" i="5"/>
  <c r="AC54" i="5"/>
  <c r="AA55" i="5"/>
  <c r="AA57" i="5"/>
  <c r="AA56" i="5"/>
  <c r="AA54" i="5"/>
  <c r="R57" i="3"/>
  <c r="R54" i="3"/>
  <c r="R55" i="3"/>
  <c r="R56" i="3"/>
  <c r="H57" i="5"/>
  <c r="H54" i="5"/>
  <c r="H56" i="5"/>
  <c r="H55" i="5"/>
  <c r="W54" i="3"/>
  <c r="W56" i="3"/>
  <c r="W55" i="3"/>
  <c r="W57" i="3"/>
  <c r="F55" i="3"/>
  <c r="F56" i="3"/>
  <c r="F54" i="3"/>
  <c r="F57" i="3"/>
  <c r="Y56" i="5"/>
  <c r="Y55" i="5"/>
  <c r="Y54" i="5"/>
  <c r="Y57" i="5"/>
  <c r="J55" i="5"/>
  <c r="J54" i="5"/>
  <c r="J57" i="5"/>
  <c r="J56" i="5"/>
  <c r="X56" i="3"/>
  <c r="X54" i="3"/>
  <c r="X57" i="3"/>
  <c r="X55" i="3"/>
  <c r="BD32" i="2"/>
  <c r="E56" i="5"/>
  <c r="E55" i="5"/>
  <c r="E54" i="5"/>
  <c r="E57" i="5"/>
  <c r="H57" i="3"/>
  <c r="H54" i="3"/>
  <c r="H55" i="3"/>
  <c r="H56" i="3"/>
  <c r="D55" i="5"/>
  <c r="D56" i="5"/>
  <c r="D57" i="5"/>
  <c r="D54" i="5"/>
  <c r="W55" i="5"/>
  <c r="W57" i="5"/>
  <c r="W54" i="5"/>
  <c r="W56" i="5"/>
  <c r="L56" i="3"/>
  <c r="L55" i="3"/>
  <c r="L54" i="3"/>
  <c r="L57" i="3"/>
  <c r="F56" i="5"/>
  <c r="F57" i="5"/>
  <c r="F55" i="5"/>
  <c r="F54" i="5"/>
  <c r="BQ33" i="2"/>
  <c r="BR33" i="2"/>
  <c r="BP33" i="2" s="1"/>
  <c r="Y54" i="3"/>
  <c r="Y56" i="3"/>
  <c r="Y57" i="3"/>
  <c r="Y55" i="3"/>
  <c r="BR41" i="2"/>
  <c r="BP41" i="2" s="1"/>
  <c r="BQ41" i="2"/>
  <c r="J57" i="3"/>
  <c r="J55" i="3"/>
  <c r="J56" i="3"/>
  <c r="J54" i="3"/>
  <c r="X55" i="5"/>
  <c r="X56" i="5"/>
  <c r="X57" i="5"/>
  <c r="X54" i="5"/>
  <c r="E55" i="3"/>
  <c r="E54" i="3"/>
  <c r="E56" i="3"/>
  <c r="E57" i="3"/>
  <c r="P55" i="5"/>
  <c r="P56" i="5"/>
  <c r="P54" i="5"/>
  <c r="P57" i="5"/>
  <c r="D55" i="3"/>
  <c r="D56" i="3"/>
  <c r="D57" i="3"/>
  <c r="D54" i="3"/>
  <c r="L57" i="5"/>
  <c r="L54" i="5"/>
  <c r="L55" i="5"/>
  <c r="L56" i="5"/>
  <c r="K56" i="5"/>
  <c r="K54" i="5"/>
  <c r="K55" i="5"/>
  <c r="K57" i="5"/>
  <c r="G56" i="5"/>
  <c r="G57" i="5"/>
  <c r="G54" i="5"/>
  <c r="G55" i="5"/>
  <c r="N57" i="3"/>
  <c r="N56" i="3"/>
  <c r="N55" i="3"/>
  <c r="N54" i="3"/>
  <c r="O57" i="5"/>
  <c r="O55" i="5"/>
  <c r="O54" i="5"/>
  <c r="O56" i="5"/>
  <c r="BQ34" i="2"/>
  <c r="BR34" i="2"/>
  <c r="BP34" i="2" s="1"/>
  <c r="K55" i="3"/>
  <c r="K54" i="3"/>
  <c r="K57" i="3"/>
  <c r="K56" i="3"/>
  <c r="G55" i="3"/>
  <c r="G57" i="3"/>
  <c r="G56" i="3"/>
  <c r="G54" i="3"/>
  <c r="AH54" i="3"/>
  <c r="AH55" i="3"/>
  <c r="AH56" i="3"/>
  <c r="AH57" i="3"/>
  <c r="N57" i="5"/>
  <c r="N54" i="5"/>
  <c r="N55" i="5"/>
  <c r="N56" i="5"/>
  <c r="O54" i="3"/>
  <c r="O56" i="3"/>
  <c r="O55" i="3"/>
  <c r="O57" i="3"/>
  <c r="AE55" i="5"/>
  <c r="AE54" i="5"/>
  <c r="AE57" i="5"/>
  <c r="AE56" i="5"/>
  <c r="P55" i="3"/>
  <c r="P57" i="3"/>
  <c r="P54" i="3"/>
  <c r="P56" i="3"/>
  <c r="AO32" i="2"/>
  <c r="AC57" i="3"/>
  <c r="AC56" i="3"/>
  <c r="AC54" i="3"/>
  <c r="AC55" i="3"/>
  <c r="M57" i="5"/>
  <c r="M56" i="5"/>
  <c r="M55" i="5"/>
  <c r="M54" i="5"/>
  <c r="BF32" i="2"/>
  <c r="AE56" i="3"/>
  <c r="AE54" i="3"/>
  <c r="AE55" i="3"/>
  <c r="AE57" i="3"/>
  <c r="Q56" i="5"/>
  <c r="Q57" i="5"/>
  <c r="Q54" i="5"/>
  <c r="Q55" i="5"/>
  <c r="AH57" i="5"/>
  <c r="AH55" i="5"/>
  <c r="AH54" i="5"/>
  <c r="AH56" i="5"/>
  <c r="BO32" i="2" l="1"/>
  <c r="BQ32" i="2" s="1"/>
  <c r="BR32" i="2"/>
  <c r="BP32" i="2" s="1"/>
  <c r="AJ56" i="3"/>
  <c r="AJ56" i="5"/>
  <c r="BR36" i="2"/>
  <c r="BP36" i="2" s="1"/>
  <c r="BQ36" i="2"/>
  <c r="BQ40" i="2"/>
  <c r="BR40" i="2"/>
  <c r="BP40" i="2" s="1"/>
  <c r="BR2" i="2" l="1"/>
  <c r="D31" i="4" l="1"/>
  <c r="D16" i="4"/>
  <c r="D22" i="4"/>
  <c r="D18" i="4"/>
  <c r="D26" i="4"/>
  <c r="D5" i="4"/>
  <c r="D21" i="4"/>
  <c r="D17" i="4"/>
  <c r="D3" i="4"/>
  <c r="D28" i="4"/>
  <c r="D13" i="4"/>
  <c r="D32" i="4"/>
  <c r="D33" i="4"/>
  <c r="D15" i="4"/>
  <c r="D10" i="4"/>
  <c r="D14" i="4"/>
  <c r="D29" i="4"/>
  <c r="D23" i="4"/>
  <c r="D7" i="4"/>
  <c r="D19" i="4"/>
  <c r="D24" i="4"/>
  <c r="D30" i="4"/>
  <c r="D12" i="4"/>
  <c r="D20" i="4"/>
  <c r="D11" i="4"/>
  <c r="D9" i="4"/>
  <c r="D25" i="4"/>
  <c r="D6" i="4"/>
  <c r="D27" i="4"/>
  <c r="D4" i="4"/>
  <c r="D8" i="4"/>
  <c r="I12" i="4" l="1"/>
  <c r="K12" i="4"/>
  <c r="I4" i="4"/>
  <c r="K4" i="4"/>
  <c r="K30" i="4"/>
  <c r="I30" i="4"/>
  <c r="I15" i="4"/>
  <c r="K15" i="4"/>
  <c r="K5" i="4"/>
  <c r="I5" i="4"/>
  <c r="K10" i="4"/>
  <c r="I10" i="4"/>
  <c r="I27" i="4"/>
  <c r="K27" i="4"/>
  <c r="I24" i="4"/>
  <c r="K24" i="4"/>
  <c r="K33" i="4"/>
  <c r="I33" i="4"/>
  <c r="K26" i="4"/>
  <c r="I26" i="4"/>
  <c r="I6" i="4"/>
  <c r="K6" i="4"/>
  <c r="I19" i="4"/>
  <c r="K19" i="4"/>
  <c r="K32" i="4"/>
  <c r="I32" i="4"/>
  <c r="I18" i="4"/>
  <c r="K18" i="4"/>
  <c r="I25" i="4"/>
  <c r="K25" i="4"/>
  <c r="I7" i="4"/>
  <c r="K7" i="4"/>
  <c r="K13" i="4"/>
  <c r="I13" i="4"/>
  <c r="K22" i="4"/>
  <c r="I22" i="4"/>
  <c r="I21" i="4"/>
  <c r="K21" i="4"/>
  <c r="K9" i="4"/>
  <c r="I9" i="4"/>
  <c r="I23" i="4"/>
  <c r="K23" i="4"/>
  <c r="I28" i="4"/>
  <c r="K28" i="4"/>
  <c r="K16" i="4"/>
  <c r="I16" i="4"/>
  <c r="I8" i="4"/>
  <c r="K8" i="4"/>
  <c r="K11" i="4"/>
  <c r="I11" i="4"/>
  <c r="K29" i="4"/>
  <c r="I29" i="4"/>
  <c r="I3" i="4"/>
  <c r="K3" i="4"/>
  <c r="K31" i="4"/>
  <c r="I31" i="4"/>
  <c r="K20" i="4"/>
  <c r="I20" i="4"/>
  <c r="I14" i="4"/>
  <c r="K14" i="4"/>
  <c r="I17" i="4"/>
  <c r="K17" i="4"/>
</calcChain>
</file>

<file path=xl/sharedStrings.xml><?xml version="1.0" encoding="utf-8"?>
<sst xmlns="http://schemas.openxmlformats.org/spreadsheetml/2006/main" count="246" uniqueCount="47">
  <si>
    <t>当</t>
    <rPh sb="0" eb="1">
      <t>トウ</t>
    </rPh>
    <phoneticPr fontId="1"/>
  </si>
  <si>
    <t>明</t>
    <rPh sb="0" eb="1">
      <t>メイ</t>
    </rPh>
    <phoneticPr fontId="1"/>
  </si>
  <si>
    <t>●</t>
    <phoneticPr fontId="1"/>
  </si>
  <si>
    <t>変更</t>
    <rPh sb="0" eb="2">
      <t>ヘンコウ</t>
    </rPh>
    <phoneticPr fontId="1"/>
  </si>
  <si>
    <t>処理日</t>
  </si>
  <si>
    <t>曜日</t>
  </si>
  <si>
    <t>通知</t>
  </si>
  <si>
    <t>修正</t>
  </si>
  <si>
    <t>ﾛｯｸ</t>
  </si>
  <si>
    <t>振替</t>
  </si>
  <si>
    <t>ｶﾚﾝﾀﾞ</t>
  </si>
  <si>
    <t>勤怠区分</t>
  </si>
  <si>
    <t>ｼﾌﾄ区分</t>
  </si>
  <si>
    <t>前当翌</t>
  </si>
  <si>
    <t>出勤時刻</t>
  </si>
  <si>
    <t>出勤例外</t>
  </si>
  <si>
    <t>退勤時刻</t>
  </si>
  <si>
    <t>退勤例外</t>
  </si>
  <si>
    <t>早出乖離</t>
  </si>
  <si>
    <t>残業乖離</t>
  </si>
  <si>
    <t>承認1開始</t>
  </si>
  <si>
    <t>承認1終了</t>
  </si>
  <si>
    <t>ﾒﾓ1</t>
  </si>
  <si>
    <t>承認2開始</t>
  </si>
  <si>
    <t>承認2終了</t>
  </si>
  <si>
    <t>承認3開始</t>
  </si>
  <si>
    <t>承認3終了</t>
  </si>
  <si>
    <t>外出時刻</t>
  </si>
  <si>
    <t>外出例外</t>
  </si>
  <si>
    <t>戻り時刻</t>
  </si>
  <si>
    <t>出乖離解除</t>
  </si>
  <si>
    <t>退乖離解除</t>
  </si>
  <si>
    <t>外出2時刻</t>
  </si>
  <si>
    <t>外出2例外</t>
  </si>
  <si>
    <t>戻り2時刻</t>
  </si>
  <si>
    <t>ﾒﾓ2</t>
  </si>
  <si>
    <t>&gt;&gt;</t>
  </si>
  <si>
    <t xml:space="preserve"> </t>
  </si>
  <si>
    <t>下の赤枠の範囲を　COPY　してTime　Pro　に張り付ける</t>
    <rPh sb="0" eb="1">
      <t>シタ</t>
    </rPh>
    <rPh sb="2" eb="3">
      <t>アカ</t>
    </rPh>
    <rPh sb="3" eb="4">
      <t>ワク</t>
    </rPh>
    <rPh sb="5" eb="7">
      <t>ハンイ</t>
    </rPh>
    <rPh sb="26" eb="27">
      <t>ハ</t>
    </rPh>
    <rPh sb="28" eb="29">
      <t>ツ</t>
    </rPh>
    <phoneticPr fontId="1"/>
  </si>
  <si>
    <t>勤務</t>
    <rPh sb="0" eb="2">
      <t>キンム</t>
    </rPh>
    <phoneticPr fontId="1"/>
  </si>
  <si>
    <t>日勤</t>
    <rPh sb="0" eb="2">
      <t>ニッキン</t>
    </rPh>
    <phoneticPr fontId="1"/>
  </si>
  <si>
    <t>当</t>
    <rPh sb="0" eb="1">
      <t>トウ</t>
    </rPh>
    <phoneticPr fontId="1"/>
  </si>
  <si>
    <t>●</t>
    <phoneticPr fontId="1"/>
  </si>
  <si>
    <r>
      <t>　TimePro-VG 起動　</t>
    </r>
    <r>
      <rPr>
        <b/>
        <u/>
        <sz val="6"/>
        <color theme="10"/>
        <rFont val="ＭＳ Ｐゴシック"/>
        <family val="2"/>
        <charset val="128"/>
        <scheme val="minor"/>
      </rPr>
      <t>ココをクリック　</t>
    </r>
    <rPh sb="12" eb="14">
      <t>キドウ</t>
    </rPh>
    <phoneticPr fontId="1"/>
  </si>
  <si>
    <t/>
  </si>
  <si>
    <t xml:space="preserve"> </t>
    <phoneticPr fontId="1"/>
  </si>
  <si>
    <t>明</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</si>
</sst>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d"/>
    <numFmt numFmtId="177" formatCode="aaa"/>
    <numFmt numFmtId="178" formatCode="[$-409]yyyy/m/d\ h:mm\ AM/PM;@"/>
  </numFmts>
  <fonts count="19" x14ac:knownFonts="1">
    <font>
      <sz val="11"/>
      <color theme="1"/>
      <name val="ＭＳ Ｐゴシック"/>
      <family val="2"/>
      <charset val="128"/>
      <scheme val="minor"/>
    </font>
    <font>
      <sz val="6"/>
      <name val="ＭＳ Ｐゴシック"/>
      <family val="2"/>
      <charset val="128"/>
      <scheme val="minor"/>
    </font>
    <font>
      <b/>
      <sz val="12"/>
      <name val="ＭＳ Ｐゴシック"/>
      <family val="3"/>
      <charset val="128"/>
      <scheme val="minor"/>
    </font>
    <font>
      <b/>
      <sz val="12"/>
      <color theme="1"/>
      <name val="ＭＳ Ｐゴシック"/>
      <family val="3"/>
      <charset val="128"/>
      <scheme val="minor"/>
    </font>
    <font>
      <sz val="10"/>
      <color theme="1"/>
      <name val="ＭＳ Ｐゴシック"/>
      <family val="3"/>
      <charset val="128"/>
      <scheme val="minor"/>
    </font>
    <font>
      <sz val="8"/>
      <color theme="1"/>
      <name val="ＭＳ Ｐゴシック"/>
      <family val="2"/>
      <charset val="128"/>
      <scheme val="minor"/>
    </font>
    <font>
      <sz val="8"/>
      <color theme="1"/>
      <name val="ＭＳ Ｐゴシック"/>
      <family val="3"/>
      <charset val="128"/>
      <scheme val="minor"/>
    </font>
    <font>
      <b/>
      <sz val="14"/>
      <name val="ＭＳ Ｐゴシック"/>
      <family val="3"/>
      <charset val="128"/>
    </font>
    <font>
      <sz val="10"/>
      <color rgb="FFFF0000"/>
      <name val="ＭＳ Ｐゴシック"/>
      <family val="3"/>
      <charset val="128"/>
    </font>
    <font>
      <b/>
      <sz val="10"/>
      <color theme="4" tint="-0.249977111117893"/>
      <name val="ＭＳ Ｐゴシック"/>
      <family val="3"/>
      <charset val="128"/>
    </font>
    <font>
      <b/>
      <sz val="12"/>
      <color rgb="FFFF0000"/>
      <name val="ＭＳ Ｐゴシック"/>
      <family val="3"/>
      <charset val="128"/>
      <scheme val="minor"/>
    </font>
    <font>
      <b/>
      <sz val="12"/>
      <color theme="1"/>
      <name val="ＭＳ Ｐゴシック"/>
      <family val="3"/>
      <charset val="128"/>
    </font>
    <font>
      <b/>
      <sz val="12"/>
      <color theme="0"/>
      <name val="ＭＳ Ｐゴシック"/>
      <family val="3"/>
      <charset val="128"/>
      <scheme val="minor"/>
    </font>
    <font>
      <sz val="11"/>
      <color theme="1"/>
      <name val="ＭＳ Ｐゴシック"/>
      <family val="3"/>
      <charset val="128"/>
      <scheme val="minor"/>
    </font>
    <font>
      <u/>
      <sz val="11"/>
      <color theme="10"/>
      <name val="ＭＳ Ｐゴシック"/>
      <family val="2"/>
      <charset val="128"/>
      <scheme val="minor"/>
    </font>
    <font>
      <b/>
      <u/>
      <sz val="14"/>
      <color theme="10"/>
      <name val="ＭＳ Ｐゴシック"/>
      <family val="2"/>
      <charset val="128"/>
      <scheme val="minor"/>
    </font>
    <font>
      <b/>
      <u/>
      <sz val="6"/>
      <color theme="10"/>
      <name val="ＭＳ Ｐゴシック"/>
      <family val="2"/>
      <charset val="128"/>
      <scheme val="minor"/>
    </font>
    <font>
      <b/>
      <u/>
      <sz val="14"/>
      <color theme="10"/>
      <name val="ＭＳ Ｐゴシック"/>
      <family val="3"/>
      <charset val="128"/>
      <scheme val="minor"/>
    </font>
    <font>
      <sz val="11"/>
      <color rgb="FF000000"/>
      <name val="ＭＳ Ｐゴシック"/>
      <family val="3"/>
      <charset val="128"/>
    </font>
  </fonts>
  <fills count="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4" tint="0.59999389629810485"/>
        <bgColor indexed="64"/>
      </patternFill>
    </fill>
    <fill>
      <patternFill patternType="solid">
        <fgColor theme="6" tint="0.79998168889431442"/>
        <bgColor indexed="64"/>
      </patternFill>
    </fill>
  </fills>
  <borders count="40">
    <border>
      <left/>
      <right/>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indexed="64"/>
      </left>
      <right style="thin">
        <color indexed="64"/>
      </right>
      <top style="hair">
        <color indexed="64"/>
      </top>
      <bottom style="hair">
        <color indexed="64"/>
      </bottom>
      <diagonal/>
    </border>
    <border>
      <left style="thin">
        <color indexed="64"/>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style="medium">
        <color indexed="64"/>
      </left>
      <right style="medium">
        <color indexed="64"/>
      </right>
      <top style="medium">
        <color indexed="64"/>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medium">
        <color indexed="64"/>
      </left>
      <right style="medium">
        <color indexed="64"/>
      </right>
      <top style="thin">
        <color theme="1" tint="0.499984740745262"/>
      </top>
      <bottom style="thin">
        <color theme="1" tint="0.499984740745262"/>
      </bottom>
      <diagonal/>
    </border>
    <border>
      <left/>
      <right/>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rgb="FFFF0000"/>
      </left>
      <right style="medium">
        <color rgb="FFFF0000"/>
      </right>
      <top style="medium">
        <color rgb="FFFF0000"/>
      </top>
      <bottom style="medium">
        <color rgb="FFFF0000"/>
      </bottom>
      <diagonal/>
    </border>
    <border>
      <left style="thin">
        <color theme="1" tint="0.499984740745262"/>
      </left>
      <right/>
      <top/>
      <bottom style="thin">
        <color theme="1" tint="0.499984740745262"/>
      </bottom>
      <diagonal/>
    </border>
    <border>
      <left style="thin">
        <color theme="1" tint="0.499984740745262"/>
      </left>
      <right style="thin">
        <color theme="1" tint="0.499984740745262"/>
      </right>
      <top style="thick">
        <color rgb="FFFF0000"/>
      </top>
      <bottom style="thin">
        <color theme="1" tint="0.499984740745262"/>
      </bottom>
      <diagonal/>
    </border>
    <border>
      <left style="thin">
        <color theme="1" tint="0.499984740745262"/>
      </left>
      <right style="thick">
        <color rgb="FFFF0000"/>
      </right>
      <top style="thick">
        <color rgb="FFFF0000"/>
      </top>
      <bottom style="thin">
        <color theme="1" tint="0.499984740745262"/>
      </bottom>
      <diagonal/>
    </border>
    <border>
      <left style="thick">
        <color rgb="FFFF0000"/>
      </left>
      <right style="thin">
        <color theme="1" tint="0.499984740745262"/>
      </right>
      <top style="thin">
        <color theme="1" tint="0.499984740745262"/>
      </top>
      <bottom style="thin">
        <color theme="1" tint="0.499984740745262"/>
      </bottom>
      <diagonal/>
    </border>
    <border>
      <left style="thin">
        <color theme="1" tint="0.499984740745262"/>
      </left>
      <right style="thick">
        <color rgb="FFFF0000"/>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ck">
        <color rgb="FFFF0000"/>
      </bottom>
      <diagonal/>
    </border>
    <border>
      <left style="thin">
        <color theme="1" tint="0.499984740745262"/>
      </left>
      <right style="thick">
        <color rgb="FFFF0000"/>
      </right>
      <top style="thin">
        <color theme="1" tint="0.499984740745262"/>
      </top>
      <bottom style="thick">
        <color rgb="FFFF0000"/>
      </bottom>
      <diagonal/>
    </border>
    <border>
      <left/>
      <right style="thin">
        <color theme="1" tint="0.499984740745262"/>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s>
  <cellStyleXfs count="2">
    <xf numFmtId="0" fontId="0" fillId="0" borderId="0">
      <alignment vertical="center"/>
    </xf>
    <xf numFmtId="0" fontId="14" fillId="0" borderId="0" applyNumberFormat="0" applyFill="0" applyBorder="0" applyAlignment="0" applyProtection="0">
      <alignment vertical="center"/>
    </xf>
  </cellStyleXfs>
  <cellXfs count="101">
    <xf numFmtId="0" fontId="0" fillId="0" borderId="0" xfId="0">
      <alignment vertical="center"/>
    </xf>
    <xf numFmtId="176" fontId="4" fillId="0" borderId="4" xfId="0" applyNumberFormat="1" applyFont="1" applyBorder="1" applyAlignment="1">
      <alignment horizontal="center" vertical="center" shrinkToFit="1"/>
    </xf>
    <xf numFmtId="176" fontId="4" fillId="0" borderId="2" xfId="0" applyNumberFormat="1" applyFont="1" applyBorder="1" applyAlignment="1">
      <alignment horizontal="center" vertical="center" shrinkToFit="1"/>
    </xf>
    <xf numFmtId="176" fontId="4" fillId="0" borderId="3" xfId="0" applyNumberFormat="1" applyFont="1" applyBorder="1" applyAlignment="1">
      <alignment horizontal="center" vertical="center" shrinkToFit="1"/>
    </xf>
    <xf numFmtId="176" fontId="4" fillId="0" borderId="0" xfId="0" applyNumberFormat="1" applyFont="1" applyAlignment="1">
      <alignment horizontal="center" vertical="center" shrinkToFit="1"/>
    </xf>
    <xf numFmtId="177" fontId="4" fillId="0" borderId="8" xfId="0" applyNumberFormat="1" applyFont="1" applyBorder="1" applyAlignment="1">
      <alignment horizontal="center" vertical="center" shrinkToFit="1"/>
    </xf>
    <xf numFmtId="177" fontId="4" fillId="0" borderId="6" xfId="0" applyNumberFormat="1" applyFont="1" applyBorder="1" applyAlignment="1">
      <alignment horizontal="center" vertical="center" shrinkToFit="1"/>
    </xf>
    <xf numFmtId="177" fontId="4" fillId="0" borderId="7" xfId="0" applyNumberFormat="1" applyFont="1" applyBorder="1" applyAlignment="1">
      <alignment horizontal="center" vertical="center" shrinkToFit="1"/>
    </xf>
    <xf numFmtId="177" fontId="4" fillId="0" borderId="0" xfId="0" applyNumberFormat="1" applyFont="1" applyAlignment="1">
      <alignment horizontal="center" vertical="center" shrinkToFit="1"/>
    </xf>
    <xf numFmtId="0" fontId="4" fillId="0" borderId="9" xfId="0" applyFont="1" applyBorder="1" applyAlignment="1">
      <alignment vertical="center" shrinkToFit="1"/>
    </xf>
    <xf numFmtId="0" fontId="4" fillId="0" borderId="11" xfId="0" applyFont="1" applyBorder="1" applyAlignment="1">
      <alignment horizontal="center" vertical="center" shrinkToFit="1"/>
    </xf>
    <xf numFmtId="0" fontId="4" fillId="0" borderId="10" xfId="0" applyFont="1" applyBorder="1" applyAlignment="1">
      <alignment horizontal="center" vertical="center" shrinkToFit="1"/>
    </xf>
    <xf numFmtId="0" fontId="4" fillId="0" borderId="0" xfId="0" applyFont="1" applyAlignment="1">
      <alignment horizontal="center" vertical="center" shrinkToFit="1"/>
    </xf>
    <xf numFmtId="0" fontId="4" fillId="0" borderId="12" xfId="0" applyFont="1" applyBorder="1" applyAlignment="1">
      <alignment vertical="center" shrinkToFit="1"/>
    </xf>
    <xf numFmtId="0" fontId="4" fillId="0" borderId="14" xfId="0" applyFont="1" applyBorder="1" applyAlignment="1">
      <alignment horizontal="center" vertical="center" shrinkToFit="1"/>
    </xf>
    <xf numFmtId="0" fontId="4" fillId="0" borderId="13" xfId="0" applyFont="1" applyBorder="1" applyAlignment="1">
      <alignment horizontal="center" vertical="center" shrinkToFit="1"/>
    </xf>
    <xf numFmtId="0" fontId="4" fillId="0" borderId="5" xfId="0" applyFont="1" applyBorder="1" applyAlignment="1">
      <alignment vertical="center" shrinkToFit="1"/>
    </xf>
    <xf numFmtId="0" fontId="4" fillId="0" borderId="7" xfId="0" applyFont="1" applyBorder="1" applyAlignment="1">
      <alignment horizontal="center" vertical="center" shrinkToFit="1"/>
    </xf>
    <xf numFmtId="0" fontId="4" fillId="0" borderId="6" xfId="0" applyFont="1" applyBorder="1" applyAlignment="1">
      <alignment horizontal="center" vertical="center" shrinkToFit="1"/>
    </xf>
    <xf numFmtId="0" fontId="4" fillId="0" borderId="10" xfId="0" applyFont="1" applyBorder="1" applyAlignment="1">
      <alignment vertical="center" shrinkToFit="1"/>
    </xf>
    <xf numFmtId="0" fontId="4" fillId="0" borderId="9" xfId="0" applyFont="1" applyBorder="1" applyAlignment="1">
      <alignment horizontal="center" vertical="center" shrinkToFit="1"/>
    </xf>
    <xf numFmtId="0" fontId="4" fillId="0" borderId="13" xfId="0" applyFont="1" applyBorder="1" applyAlignment="1">
      <alignment vertical="center" shrinkToFit="1"/>
    </xf>
    <xf numFmtId="0" fontId="4" fillId="0" borderId="12" xfId="0" applyFont="1" applyBorder="1" applyAlignment="1">
      <alignment horizontal="center" vertical="center" shrinkToFit="1"/>
    </xf>
    <xf numFmtId="0" fontId="4" fillId="0" borderId="6" xfId="0" applyFont="1" applyBorder="1" applyAlignment="1">
      <alignment vertical="center" shrinkToFit="1"/>
    </xf>
    <xf numFmtId="0" fontId="4" fillId="0" borderId="5" xfId="0" applyFont="1" applyBorder="1" applyAlignment="1">
      <alignment horizontal="center" vertical="center" shrinkToFit="1"/>
    </xf>
    <xf numFmtId="0" fontId="4" fillId="0" borderId="0" xfId="0" applyFont="1" applyAlignment="1">
      <alignment horizontal="right" vertical="center" shrinkToFit="1"/>
    </xf>
    <xf numFmtId="0" fontId="4" fillId="0" borderId="1" xfId="0" applyFont="1" applyBorder="1" applyAlignment="1">
      <alignment horizontal="center" vertical="center" shrinkToFit="1"/>
    </xf>
    <xf numFmtId="0" fontId="4" fillId="0" borderId="2" xfId="0" applyFont="1" applyBorder="1" applyAlignment="1">
      <alignment horizontal="center" vertical="center" shrinkToFit="1"/>
    </xf>
    <xf numFmtId="0" fontId="6" fillId="0" borderId="0" xfId="0" applyFont="1">
      <alignment vertical="center"/>
    </xf>
    <xf numFmtId="0" fontId="4" fillId="0" borderId="10" xfId="0" applyFont="1" applyBorder="1" applyAlignment="1" applyProtection="1">
      <alignment horizontal="center" vertical="center" shrinkToFit="1"/>
      <protection locked="0"/>
    </xf>
    <xf numFmtId="0" fontId="0" fillId="0" borderId="13" xfId="0" applyBorder="1">
      <alignment vertical="center"/>
    </xf>
    <xf numFmtId="0" fontId="8" fillId="0" borderId="0" xfId="0" applyFont="1" applyAlignment="1">
      <alignment horizontal="center"/>
    </xf>
    <xf numFmtId="0" fontId="0" fillId="0" borderId="0" xfId="0" applyAlignment="1"/>
    <xf numFmtId="0" fontId="0" fillId="0" borderId="0" xfId="0" applyAlignment="1">
      <alignment horizontal="center"/>
    </xf>
    <xf numFmtId="0" fontId="0" fillId="0" borderId="16" xfId="0" applyBorder="1" applyAlignment="1">
      <alignment horizontal="center" vertical="center"/>
    </xf>
    <xf numFmtId="14" fontId="0" fillId="0" borderId="16" xfId="0" applyNumberFormat="1" applyBorder="1" applyAlignment="1">
      <alignment horizontal="center" vertical="center"/>
    </xf>
    <xf numFmtId="0" fontId="8" fillId="0" borderId="18" xfId="0" applyFont="1" applyBorder="1" applyAlignment="1">
      <alignment horizontal="center" vertical="center"/>
    </xf>
    <xf numFmtId="20" fontId="0" fillId="0" borderId="16" xfId="0" applyNumberFormat="1" applyBorder="1" applyAlignment="1">
      <alignment horizontal="center" vertical="center"/>
    </xf>
    <xf numFmtId="0" fontId="0" fillId="0" borderId="0" xfId="0" applyAlignment="1">
      <alignment horizontal="center" vertical="center"/>
    </xf>
    <xf numFmtId="0" fontId="0" fillId="0" borderId="16" xfId="0" applyBorder="1" applyAlignment="1"/>
    <xf numFmtId="14" fontId="0" fillId="4" borderId="16" xfId="0" applyNumberFormat="1" applyFill="1" applyBorder="1" applyAlignment="1"/>
    <xf numFmtId="0" fontId="8" fillId="0" borderId="20" xfId="0" applyFont="1" applyBorder="1" applyAlignment="1">
      <alignment horizontal="center"/>
    </xf>
    <xf numFmtId="0" fontId="0" fillId="0" borderId="19" xfId="0" applyBorder="1" applyAlignment="1"/>
    <xf numFmtId="0" fontId="0" fillId="0" borderId="16" xfId="0" applyBorder="1" applyAlignment="1" applyProtection="1">
      <protection locked="0"/>
    </xf>
    <xf numFmtId="20" fontId="0" fillId="4" borderId="16" xfId="0" applyNumberFormat="1" applyFill="1" applyBorder="1" applyAlignment="1"/>
    <xf numFmtId="0" fontId="0" fillId="4" borderId="16" xfId="0" applyFill="1" applyBorder="1" applyAlignment="1"/>
    <xf numFmtId="0" fontId="7" fillId="0" borderId="0" xfId="0" applyFont="1" applyAlignment="1" applyProtection="1">
      <alignment horizontal="center" vertical="center"/>
      <protection locked="0"/>
    </xf>
    <xf numFmtId="177" fontId="0" fillId="4" borderId="17" xfId="0" applyNumberFormat="1" applyFill="1" applyBorder="1" applyAlignment="1">
      <alignment horizontal="center" vertical="center"/>
    </xf>
    <xf numFmtId="177" fontId="0" fillId="0" borderId="0" xfId="0" applyNumberFormat="1" applyAlignment="1">
      <alignment horizontal="center" vertical="center"/>
    </xf>
    <xf numFmtId="0" fontId="7" fillId="0" borderId="0" xfId="0" applyFont="1" applyProtection="1">
      <alignment vertical="center"/>
      <protection locked="0"/>
    </xf>
    <xf numFmtId="0" fontId="9" fillId="0" borderId="17" xfId="0" applyFont="1" applyBorder="1" applyAlignment="1">
      <alignment horizontal="center"/>
    </xf>
    <xf numFmtId="20" fontId="0" fillId="4" borderId="19" xfId="0" applyNumberFormat="1" applyFill="1" applyBorder="1" applyAlignment="1"/>
    <xf numFmtId="0" fontId="0" fillId="3" borderId="22" xfId="0" applyFill="1" applyBorder="1" applyAlignment="1">
      <alignment horizontal="center" vertical="center"/>
    </xf>
    <xf numFmtId="20" fontId="0" fillId="3" borderId="22" xfId="0" applyNumberFormat="1" applyFill="1" applyBorder="1" applyAlignment="1">
      <alignment horizontal="center" vertical="center"/>
    </xf>
    <xf numFmtId="177" fontId="0" fillId="0" borderId="24" xfId="0" applyNumberFormat="1" applyBorder="1" applyAlignment="1">
      <alignment horizontal="center" vertical="center"/>
    </xf>
    <xf numFmtId="0" fontId="7" fillId="0" borderId="23" xfId="0" applyFont="1" applyBorder="1" applyAlignment="1" applyProtection="1">
      <alignment horizontal="center" vertical="center"/>
      <protection locked="0"/>
    </xf>
    <xf numFmtId="0" fontId="11" fillId="0" borderId="0" xfId="0" applyFont="1" applyAlignment="1">
      <alignment horizontal="center"/>
    </xf>
    <xf numFmtId="0" fontId="0" fillId="0" borderId="25" xfId="0" applyBorder="1" applyAlignment="1" applyProtection="1">
      <protection locked="0"/>
    </xf>
    <xf numFmtId="0" fontId="0" fillId="0" borderId="27" xfId="0" applyBorder="1" applyAlignment="1" applyProtection="1">
      <protection locked="0"/>
    </xf>
    <xf numFmtId="0" fontId="0" fillId="0" borderId="28" xfId="0" applyBorder="1" applyAlignment="1" applyProtection="1">
      <protection locked="0"/>
    </xf>
    <xf numFmtId="0" fontId="0" fillId="0" borderId="29" xfId="0" applyBorder="1" applyAlignment="1" applyProtection="1">
      <protection locked="0"/>
    </xf>
    <xf numFmtId="0" fontId="0" fillId="0" borderId="30" xfId="0" applyBorder="1" applyAlignment="1" applyProtection="1">
      <protection locked="0"/>
    </xf>
    <xf numFmtId="0" fontId="0" fillId="0" borderId="31" xfId="0" applyBorder="1" applyAlignment="1">
      <alignment horizontal="center" vertical="center"/>
    </xf>
    <xf numFmtId="0" fontId="0" fillId="0" borderId="32" xfId="0" applyBorder="1" applyAlignment="1">
      <alignment horizontal="center" vertical="center"/>
    </xf>
    <xf numFmtId="178" fontId="0" fillId="0" borderId="0" xfId="0" applyNumberFormat="1">
      <alignment vertical="center"/>
    </xf>
    <xf numFmtId="0" fontId="4" fillId="0" borderId="8" xfId="0" applyFont="1" applyBorder="1" applyAlignment="1" applyProtection="1">
      <alignment horizontal="center" vertical="center" shrinkToFit="1"/>
      <protection locked="0"/>
    </xf>
    <xf numFmtId="0" fontId="4" fillId="0" borderId="6" xfId="0" applyFont="1" applyBorder="1" applyAlignment="1" applyProtection="1">
      <alignment horizontal="center" vertical="center" shrinkToFit="1"/>
      <protection locked="0"/>
    </xf>
    <xf numFmtId="0" fontId="4" fillId="0" borderId="7" xfId="0" applyFont="1" applyBorder="1" applyAlignment="1" applyProtection="1">
      <alignment horizontal="center" vertical="center" shrinkToFit="1"/>
      <protection locked="0"/>
    </xf>
    <xf numFmtId="0" fontId="4" fillId="0" borderId="38" xfId="0" applyFont="1" applyBorder="1" applyAlignment="1">
      <alignment horizontal="center" vertical="center" shrinkToFit="1"/>
    </xf>
    <xf numFmtId="0" fontId="4" fillId="0" borderId="39" xfId="0" applyFont="1" applyBorder="1" applyAlignment="1">
      <alignment horizontal="center" vertical="center" shrinkToFit="1"/>
    </xf>
    <xf numFmtId="0" fontId="4" fillId="0" borderId="37" xfId="0" applyFont="1" applyBorder="1" applyAlignment="1">
      <alignment horizontal="center" vertical="center" shrinkToFit="1"/>
    </xf>
    <xf numFmtId="0" fontId="13" fillId="0" borderId="26" xfId="0" applyFont="1" applyBorder="1" applyAlignment="1" applyProtection="1">
      <protection locked="0"/>
    </xf>
    <xf numFmtId="0" fontId="4" fillId="0" borderId="0" xfId="0" applyFont="1" applyAlignment="1">
      <alignment vertical="center" shrinkToFit="1"/>
    </xf>
    <xf numFmtId="0" fontId="4" fillId="0" borderId="0" xfId="0" applyFont="1" applyAlignment="1">
      <alignment horizontal="left" vertical="center" shrinkToFit="1"/>
    </xf>
    <xf numFmtId="0" fontId="4" fillId="0" borderId="9" xfId="0" applyFont="1" applyBorder="1" applyAlignment="1">
      <alignment horizontal="left" vertical="center" shrinkToFit="1"/>
    </xf>
    <xf numFmtId="0" fontId="4" fillId="0" borderId="11" xfId="0" applyFont="1" applyBorder="1" applyAlignment="1">
      <alignment horizontal="left" vertical="center" shrinkToFit="1"/>
    </xf>
    <xf numFmtId="0" fontId="4" fillId="0" borderId="14" xfId="0" applyFont="1" applyBorder="1" applyAlignment="1">
      <alignment horizontal="left" vertical="center" shrinkToFit="1"/>
    </xf>
    <xf numFmtId="0" fontId="4" fillId="0" borderId="7" xfId="0" applyFont="1" applyBorder="1" applyAlignment="1">
      <alignment horizontal="left" vertical="center" shrinkToFit="1"/>
    </xf>
    <xf numFmtId="176" fontId="4" fillId="0" borderId="1" xfId="0" applyNumberFormat="1" applyFont="1" applyBorder="1" applyAlignment="1">
      <alignment horizontal="center" vertical="center" shrinkToFit="1"/>
    </xf>
    <xf numFmtId="177" fontId="4" fillId="0" borderId="5" xfId="0" applyNumberFormat="1" applyFont="1" applyBorder="1" applyAlignment="1">
      <alignment horizontal="center" vertical="center" shrinkToFit="1"/>
    </xf>
    <xf numFmtId="0" fontId="0" fillId="4" borderId="25" xfId="0" applyFill="1" applyBorder="1" applyAlignment="1" applyProtection="1">
      <protection locked="0"/>
    </xf>
    <xf numFmtId="20" fontId="0" fillId="4" borderId="25" xfId="0" applyNumberFormat="1" applyFill="1" applyBorder="1" applyAlignment="1" applyProtection="1">
      <protection locked="0"/>
    </xf>
    <xf numFmtId="0" fontId="0" fillId="4" borderId="16" xfId="0" applyFill="1" applyBorder="1" applyAlignment="1" applyProtection="1">
      <protection locked="0"/>
    </xf>
    <xf numFmtId="20" fontId="0" fillId="4" borderId="16" xfId="0" applyNumberFormat="1" applyFill="1" applyBorder="1" applyAlignment="1" applyProtection="1">
      <protection locked="0"/>
    </xf>
    <xf numFmtId="0" fontId="0" fillId="4" borderId="29" xfId="0" applyFill="1" applyBorder="1" applyAlignment="1" applyProtection="1">
      <protection locked="0"/>
    </xf>
    <xf numFmtId="0" fontId="3" fillId="0" borderId="36" xfId="0" applyFont="1" applyBorder="1" applyAlignment="1">
      <alignment horizontal="center" vertical="center" shrinkToFit="1"/>
    </xf>
    <xf numFmtId="0" fontId="3" fillId="0" borderId="37" xfId="0" applyFont="1" applyBorder="1" applyAlignment="1">
      <alignment horizontal="center" vertical="center" shrinkToFit="1"/>
    </xf>
    <xf numFmtId="0" fontId="5" fillId="0" borderId="15" xfId="0" applyFont="1" applyBorder="1" applyAlignment="1">
      <alignment horizontal="center" vertical="center" wrapText="1"/>
    </xf>
    <xf numFmtId="0" fontId="5" fillId="0" borderId="15" xfId="0" applyFont="1" applyBorder="1" applyAlignment="1">
      <alignment horizontal="center" vertical="center"/>
    </xf>
    <xf numFmtId="0" fontId="2" fillId="0" borderId="1" xfId="0" applyFont="1" applyBorder="1" applyAlignment="1">
      <alignment horizontal="center" vertical="center" shrinkToFit="1"/>
    </xf>
    <xf numFmtId="0" fontId="2" fillId="0" borderId="2" xfId="0" applyFont="1" applyBorder="1" applyAlignment="1">
      <alignment horizontal="center" vertical="center" shrinkToFit="1"/>
    </xf>
    <xf numFmtId="0" fontId="2" fillId="0" borderId="5" xfId="0" applyFont="1" applyBorder="1" applyAlignment="1">
      <alignment horizontal="center" vertical="center" shrinkToFit="1"/>
    </xf>
    <xf numFmtId="0" fontId="2" fillId="0" borderId="6" xfId="0" applyFont="1" applyBorder="1" applyAlignment="1">
      <alignment horizontal="center" vertical="center" shrinkToFit="1"/>
    </xf>
    <xf numFmtId="0" fontId="3" fillId="0" borderId="3" xfId="0" applyFont="1" applyBorder="1" applyAlignment="1" applyProtection="1">
      <alignment horizontal="center" vertical="center" shrinkToFit="1"/>
      <protection locked="0"/>
    </xf>
    <xf numFmtId="0" fontId="3" fillId="0" borderId="7" xfId="0" applyFont="1" applyBorder="1" applyAlignment="1" applyProtection="1">
      <alignment horizontal="center" vertical="center" shrinkToFit="1"/>
      <protection locked="0"/>
    </xf>
    <xf numFmtId="0" fontId="12" fillId="2" borderId="21" xfId="0" applyFont="1" applyFill="1" applyBorder="1" applyAlignment="1">
      <alignment horizontal="center" vertical="center"/>
    </xf>
    <xf numFmtId="0" fontId="10" fillId="0" borderId="33" xfId="0" applyFont="1" applyBorder="1" applyAlignment="1">
      <alignment horizontal="center" vertical="center"/>
    </xf>
    <xf numFmtId="0" fontId="10" fillId="0" borderId="34" xfId="0" applyFont="1" applyBorder="1" applyAlignment="1">
      <alignment horizontal="center" vertical="center"/>
    </xf>
    <xf numFmtId="0" fontId="10" fillId="0" borderId="35" xfId="0" applyFont="1" applyBorder="1" applyAlignment="1">
      <alignment horizontal="center" vertical="center"/>
    </xf>
    <xf numFmtId="0" fontId="15" fillId="5" borderId="21" xfId="1" applyFont="1" applyFill="1" applyBorder="1" applyAlignment="1" applyProtection="1">
      <alignment horizontal="center" vertical="center"/>
      <protection locked="0"/>
    </xf>
    <xf numFmtId="0" fontId="17" fillId="5" borderId="21" xfId="1" applyFont="1" applyFill="1" applyBorder="1" applyAlignment="1" applyProtection="1">
      <alignment horizontal="center" vertical="center"/>
      <protection locked="0"/>
    </xf>
  </cellXfs>
  <cellStyles count="2">
    <cellStyle name="ハイパーリンク" xfId="1" builtinId="8"/>
    <cellStyle name="標準" xfId="0" builtinId="0"/>
  </cellStyles>
  <dxfs count="22">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
      <fill>
        <patternFill>
          <bgColor rgb="FFFF0000"/>
        </patternFill>
      </fill>
    </dxf>
    <dxf>
      <fill>
        <patternFill>
          <bgColor rgb="FFFF99CC"/>
        </patternFill>
      </fill>
    </dxf>
    <dxf>
      <fill>
        <patternFill>
          <bgColor rgb="FFFF0000"/>
        </patternFill>
      </fill>
    </dxf>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
      <fill>
        <patternFill>
          <bgColor rgb="FFFF99CC"/>
        </patternFill>
      </fill>
    </dxf>
    <dxf>
      <fill>
        <patternFill>
          <bgColor rgb="FFFF0000"/>
        </patternFill>
      </fill>
    </dxf>
    <dxf>
      <fill>
        <patternFill>
          <bgColor rgb="FFFF99CC"/>
        </patternFill>
      </fill>
    </dxf>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
      <fill>
        <patternFill>
          <bgColor rgb="FFFF0000"/>
        </patternFill>
      </fill>
    </dxf>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s>
  <tableStyles count="0" defaultTableStyle="TableStyleMedium2" defaultPivotStyle="PivotStyleLight16"/>
  <colors>
    <mruColors>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sharedStrings" Target="sharedStrings.xml"/><Relationship Id="rId5" Type="http://schemas.openxmlformats.org/officeDocument/2006/relationships/externalLink" Target="externalLinks/externalLink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34</xdr:col>
      <xdr:colOff>22860</xdr:colOff>
      <xdr:row>0</xdr:row>
      <xdr:rowOff>579120</xdr:rowOff>
    </xdr:from>
    <xdr:to>
      <xdr:col>38</xdr:col>
      <xdr:colOff>0</xdr:colOff>
      <xdr:row>2</xdr:row>
      <xdr:rowOff>129540</xdr:rowOff>
    </xdr:to>
    <xdr:sp macro="" textlink="">
      <xdr:nvSpPr>
        <xdr:cNvPr id="28" name="テキスト ボックス 27">
          <a:extLst>
            <a:ext uri="{FF2B5EF4-FFF2-40B4-BE49-F238E27FC236}">
              <a16:creationId xmlns:a16="http://schemas.microsoft.com/office/drawing/2014/main" id="{00000000-0008-0000-0000-00001C000000}"/>
            </a:ext>
          </a:extLst>
        </xdr:cNvPr>
        <xdr:cNvSpPr txBox="1"/>
      </xdr:nvSpPr>
      <xdr:spPr>
        <a:xfrm>
          <a:off x="9304020" y="579120"/>
          <a:ext cx="525780" cy="388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ja-JP" altLang="en-US" sz="800" b="0" i="0" u="none" strike="noStrike">
              <a:solidFill>
                <a:schemeClr val="dk1"/>
              </a:solidFill>
              <a:effectLst/>
              <a:latin typeface="+mn-lt"/>
              <a:ea typeface="+mn-ea"/>
              <a:cs typeface="+mn-cs"/>
            </a:rPr>
            <a:t>本人</a:t>
          </a:r>
          <a:br>
            <a:rPr lang="ja-JP" altLang="en-US" sz="800" b="0" i="0" u="none" strike="noStrike">
              <a:solidFill>
                <a:schemeClr val="dk1"/>
              </a:solidFill>
              <a:effectLst/>
              <a:latin typeface="+mn-lt"/>
              <a:ea typeface="+mn-ea"/>
              <a:cs typeface="+mn-cs"/>
            </a:rPr>
          </a:br>
          <a:r>
            <a:rPr lang="ja-JP" altLang="en-US" sz="800" b="0" i="0" u="none" strike="noStrike">
              <a:solidFill>
                <a:schemeClr val="dk1"/>
              </a:solidFill>
              <a:effectLst/>
              <a:latin typeface="+mn-lt"/>
              <a:ea typeface="+mn-ea"/>
              <a:cs typeface="+mn-cs"/>
            </a:rPr>
            <a:t>確認印</a:t>
          </a:r>
          <a:r>
            <a:rPr lang="ja-JP" altLang="en-US" sz="800"/>
            <a:t> </a:t>
          </a:r>
          <a:endParaRPr kumimoji="1" lang="ja-JP" altLang="en-US" sz="800"/>
        </a:p>
      </xdr:txBody>
    </xdr:sp>
    <xdr:clientData/>
  </xdr:twoCellAnchor>
  <xdr:twoCellAnchor>
    <xdr:from>
      <xdr:col>2</xdr:col>
      <xdr:colOff>320040</xdr:colOff>
      <xdr:row>0</xdr:row>
      <xdr:rowOff>144780</xdr:rowOff>
    </xdr:from>
    <xdr:to>
      <xdr:col>33</xdr:col>
      <xdr:colOff>167640</xdr:colOff>
      <xdr:row>0</xdr:row>
      <xdr:rowOff>662940</xdr:rowOff>
    </xdr:to>
    <xdr:grpSp>
      <xdr:nvGrpSpPr>
        <xdr:cNvPr id="32" name="グループ化 31">
          <a:extLst>
            <a:ext uri="{FF2B5EF4-FFF2-40B4-BE49-F238E27FC236}">
              <a16:creationId xmlns:a16="http://schemas.microsoft.com/office/drawing/2014/main" id="{00000000-0008-0000-0000-000020000000}"/>
            </a:ext>
          </a:extLst>
        </xdr:cNvPr>
        <xdr:cNvGrpSpPr/>
      </xdr:nvGrpSpPr>
      <xdr:grpSpPr>
        <a:xfrm>
          <a:off x="510540" y="144780"/>
          <a:ext cx="8877300" cy="518160"/>
          <a:chOff x="510540" y="144780"/>
          <a:chExt cx="8671560" cy="518160"/>
        </a:xfrm>
      </xdr:grpSpPr>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510540" y="167640"/>
            <a:ext cx="102108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部門長承認印</a:t>
            </a:r>
            <a:endParaRPr kumimoji="1" lang="en-US" altLang="ja-JP" sz="1100"/>
          </a:p>
          <a:p>
            <a:endParaRPr kumimoji="1" lang="ja-JP" altLang="en-US" sz="1100"/>
          </a:p>
        </xdr:txBody>
      </xdr:sp>
      <xdr:grpSp>
        <xdr:nvGrpSpPr>
          <xdr:cNvPr id="5" name="グループ化 4">
            <a:extLst>
              <a:ext uri="{FF2B5EF4-FFF2-40B4-BE49-F238E27FC236}">
                <a16:creationId xmlns:a16="http://schemas.microsoft.com/office/drawing/2014/main" id="{00000000-0008-0000-0000-000005000000}"/>
              </a:ext>
            </a:extLst>
          </xdr:cNvPr>
          <xdr:cNvGrpSpPr/>
        </xdr:nvGrpSpPr>
        <xdr:grpSpPr>
          <a:xfrm>
            <a:off x="1714500" y="152400"/>
            <a:ext cx="891540" cy="320040"/>
            <a:chOff x="2552700" y="53340"/>
            <a:chExt cx="891540" cy="320040"/>
          </a:xfrm>
        </xdr:grpSpPr>
        <xdr:sp macro="" textlink="">
          <xdr:nvSpPr>
            <xdr:cNvPr id="3" name="正方形/長方形 2">
              <a:extLst>
                <a:ext uri="{FF2B5EF4-FFF2-40B4-BE49-F238E27FC236}">
                  <a16:creationId xmlns:a16="http://schemas.microsoft.com/office/drawing/2014/main" id="{00000000-0008-0000-0000-000003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 name="テキスト ボックス 3">
              <a:extLst>
                <a:ext uri="{FF2B5EF4-FFF2-40B4-BE49-F238E27FC236}">
                  <a16:creationId xmlns:a16="http://schemas.microsoft.com/office/drawing/2014/main" id="{00000000-0008-0000-0000-000004000000}"/>
                </a:ext>
              </a:extLst>
            </xdr:cNvPr>
            <xdr:cNvSpPr txBox="1"/>
          </xdr:nvSpPr>
          <xdr:spPr>
            <a:xfrm>
              <a:off x="2552700" y="53340"/>
              <a:ext cx="8915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800"/>
                <a:t>一般撮影</a:t>
              </a:r>
              <a:endParaRPr kumimoji="1" lang="en-US" altLang="ja-JP" sz="800"/>
            </a:p>
            <a:p>
              <a:endParaRPr kumimoji="1" lang="ja-JP" altLang="en-US" sz="1100"/>
            </a:p>
          </xdr:txBody>
        </xdr:sp>
      </xdr:grpSp>
      <xdr:grpSp>
        <xdr:nvGrpSpPr>
          <xdr:cNvPr id="6" name="グループ化 5">
            <a:extLst>
              <a:ext uri="{FF2B5EF4-FFF2-40B4-BE49-F238E27FC236}">
                <a16:creationId xmlns:a16="http://schemas.microsoft.com/office/drawing/2014/main" id="{00000000-0008-0000-0000-000006000000}"/>
              </a:ext>
            </a:extLst>
          </xdr:cNvPr>
          <xdr:cNvGrpSpPr/>
        </xdr:nvGrpSpPr>
        <xdr:grpSpPr>
          <a:xfrm>
            <a:off x="2758440" y="144780"/>
            <a:ext cx="1066800" cy="320040"/>
            <a:chOff x="2842260" y="45720"/>
            <a:chExt cx="1066800" cy="320040"/>
          </a:xfrm>
        </xdr:grpSpPr>
        <xdr:sp macro="" textlink="">
          <xdr:nvSpPr>
            <xdr:cNvPr id="7" name="正方形/長方形 6">
              <a:extLst>
                <a:ext uri="{FF2B5EF4-FFF2-40B4-BE49-F238E27FC236}">
                  <a16:creationId xmlns:a16="http://schemas.microsoft.com/office/drawing/2014/main" id="{00000000-0008-0000-0000-000007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テキスト ボックス 7">
              <a:extLst>
                <a:ext uri="{FF2B5EF4-FFF2-40B4-BE49-F238E27FC236}">
                  <a16:creationId xmlns:a16="http://schemas.microsoft.com/office/drawing/2014/main" id="{00000000-0008-0000-0000-000008000000}"/>
                </a:ext>
              </a:extLst>
            </xdr:cNvPr>
            <xdr:cNvSpPr txBox="1"/>
          </xdr:nvSpPr>
          <xdr:spPr>
            <a:xfrm>
              <a:off x="2842260" y="45720"/>
              <a:ext cx="10668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CT</a:t>
              </a:r>
              <a:endParaRPr kumimoji="1" lang="ja-JP" altLang="en-US" sz="1100"/>
            </a:p>
          </xdr:txBody>
        </xdr:sp>
      </xdr:grpSp>
      <xdr:grpSp>
        <xdr:nvGrpSpPr>
          <xdr:cNvPr id="9" name="グループ化 8">
            <a:extLst>
              <a:ext uri="{FF2B5EF4-FFF2-40B4-BE49-F238E27FC236}">
                <a16:creationId xmlns:a16="http://schemas.microsoft.com/office/drawing/2014/main" id="{00000000-0008-0000-0000-000009000000}"/>
              </a:ext>
            </a:extLst>
          </xdr:cNvPr>
          <xdr:cNvGrpSpPr/>
        </xdr:nvGrpSpPr>
        <xdr:grpSpPr>
          <a:xfrm>
            <a:off x="3520440" y="152400"/>
            <a:ext cx="670560" cy="320040"/>
            <a:chOff x="2773680" y="53340"/>
            <a:chExt cx="670560" cy="320040"/>
          </a:xfrm>
        </xdr:grpSpPr>
        <xdr:sp macro="" textlink="">
          <xdr:nvSpPr>
            <xdr:cNvPr id="10" name="正方形/長方形 9">
              <a:extLst>
                <a:ext uri="{FF2B5EF4-FFF2-40B4-BE49-F238E27FC236}">
                  <a16:creationId xmlns:a16="http://schemas.microsoft.com/office/drawing/2014/main" id="{00000000-0008-0000-0000-00000A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000-00000B000000}"/>
                </a:ext>
              </a:extLst>
            </xdr:cNvPr>
            <xdr:cNvSpPr txBox="1"/>
          </xdr:nvSpPr>
          <xdr:spPr>
            <a:xfrm>
              <a:off x="2773680" y="53340"/>
              <a:ext cx="6705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US</a:t>
              </a:r>
              <a:endParaRPr kumimoji="1" lang="ja-JP" altLang="en-US" sz="1100"/>
            </a:p>
          </xdr:txBody>
        </xdr:sp>
      </xdr:grpSp>
      <xdr:grpSp>
        <xdr:nvGrpSpPr>
          <xdr:cNvPr id="12" name="グループ化 11">
            <a:extLst>
              <a:ext uri="{FF2B5EF4-FFF2-40B4-BE49-F238E27FC236}">
                <a16:creationId xmlns:a16="http://schemas.microsoft.com/office/drawing/2014/main" id="{00000000-0008-0000-0000-00000C000000}"/>
              </a:ext>
            </a:extLst>
          </xdr:cNvPr>
          <xdr:cNvGrpSpPr/>
        </xdr:nvGrpSpPr>
        <xdr:grpSpPr>
          <a:xfrm>
            <a:off x="4381500" y="160020"/>
            <a:ext cx="640080" cy="320040"/>
            <a:chOff x="2804160" y="53340"/>
            <a:chExt cx="640080" cy="320040"/>
          </a:xfrm>
        </xdr:grpSpPr>
        <xdr:sp macro="" textlink="">
          <xdr:nvSpPr>
            <xdr:cNvPr id="13" name="正方形/長方形 12">
              <a:extLst>
                <a:ext uri="{FF2B5EF4-FFF2-40B4-BE49-F238E27FC236}">
                  <a16:creationId xmlns:a16="http://schemas.microsoft.com/office/drawing/2014/main" id="{00000000-0008-0000-0000-00000D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2804160" y="53340"/>
              <a:ext cx="6400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MR</a:t>
              </a:r>
              <a:endParaRPr kumimoji="1" lang="ja-JP" altLang="en-US" sz="1100"/>
            </a:p>
          </xdr:txBody>
        </xdr:sp>
      </xdr:grpSp>
      <xdr:grpSp>
        <xdr:nvGrpSpPr>
          <xdr:cNvPr id="15" name="グループ化 14">
            <a:extLst>
              <a:ext uri="{FF2B5EF4-FFF2-40B4-BE49-F238E27FC236}">
                <a16:creationId xmlns:a16="http://schemas.microsoft.com/office/drawing/2014/main" id="{00000000-0008-0000-0000-00000F000000}"/>
              </a:ext>
            </a:extLst>
          </xdr:cNvPr>
          <xdr:cNvGrpSpPr/>
        </xdr:nvGrpSpPr>
        <xdr:grpSpPr>
          <a:xfrm>
            <a:off x="5128260" y="160020"/>
            <a:ext cx="762000" cy="320040"/>
            <a:chOff x="2682240" y="53340"/>
            <a:chExt cx="762000" cy="320040"/>
          </a:xfrm>
        </xdr:grpSpPr>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00000000-0008-0000-0000-000011000000}"/>
                </a:ext>
              </a:extLst>
            </xdr:cNvPr>
            <xdr:cNvSpPr txBox="1"/>
          </xdr:nvSpPr>
          <xdr:spPr>
            <a:xfrm>
              <a:off x="2682240" y="53340"/>
              <a:ext cx="7620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ANGIO</a:t>
              </a:r>
              <a:endParaRPr kumimoji="1" lang="ja-JP" altLang="en-US" sz="1100"/>
            </a:p>
          </xdr:txBody>
        </xdr:sp>
      </xdr:grpSp>
      <xdr:grpSp>
        <xdr:nvGrpSpPr>
          <xdr:cNvPr id="18" name="グループ化 17">
            <a:extLst>
              <a:ext uri="{FF2B5EF4-FFF2-40B4-BE49-F238E27FC236}">
                <a16:creationId xmlns:a16="http://schemas.microsoft.com/office/drawing/2014/main" id="{00000000-0008-0000-0000-000012000000}"/>
              </a:ext>
            </a:extLst>
          </xdr:cNvPr>
          <xdr:cNvGrpSpPr/>
        </xdr:nvGrpSpPr>
        <xdr:grpSpPr>
          <a:xfrm>
            <a:off x="6195060" y="160020"/>
            <a:ext cx="563880" cy="320040"/>
            <a:chOff x="2880360" y="53340"/>
            <a:chExt cx="563880" cy="320040"/>
          </a:xfrm>
        </xdr:grpSpPr>
        <xdr:sp macro="" textlink="">
          <xdr:nvSpPr>
            <xdr:cNvPr id="19" name="正方形/長方形 18">
              <a:extLst>
                <a:ext uri="{FF2B5EF4-FFF2-40B4-BE49-F238E27FC236}">
                  <a16:creationId xmlns:a16="http://schemas.microsoft.com/office/drawing/2014/main" id="{00000000-0008-0000-0000-000013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テキスト ボックス 19">
              <a:extLst>
                <a:ext uri="{FF2B5EF4-FFF2-40B4-BE49-F238E27FC236}">
                  <a16:creationId xmlns:a16="http://schemas.microsoft.com/office/drawing/2014/main" id="{00000000-0008-0000-0000-000014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21" name="グループ化 20">
            <a:extLst>
              <a:ext uri="{FF2B5EF4-FFF2-40B4-BE49-F238E27FC236}">
                <a16:creationId xmlns:a16="http://schemas.microsoft.com/office/drawing/2014/main" id="{00000000-0008-0000-0000-000015000000}"/>
              </a:ext>
            </a:extLst>
          </xdr:cNvPr>
          <xdr:cNvGrpSpPr/>
        </xdr:nvGrpSpPr>
        <xdr:grpSpPr>
          <a:xfrm>
            <a:off x="7086600" y="167640"/>
            <a:ext cx="563880" cy="320040"/>
            <a:chOff x="2880360" y="53340"/>
            <a:chExt cx="563880" cy="320040"/>
          </a:xfrm>
        </xdr:grpSpPr>
        <xdr:sp macro="" textlink="">
          <xdr:nvSpPr>
            <xdr:cNvPr id="22" name="正方形/長方形 21">
              <a:extLst>
                <a:ext uri="{FF2B5EF4-FFF2-40B4-BE49-F238E27FC236}">
                  <a16:creationId xmlns:a16="http://schemas.microsoft.com/office/drawing/2014/main" id="{00000000-0008-0000-0000-000016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 name="テキスト ボックス 22">
              <a:extLst>
                <a:ext uri="{FF2B5EF4-FFF2-40B4-BE49-F238E27FC236}">
                  <a16:creationId xmlns:a16="http://schemas.microsoft.com/office/drawing/2014/main" id="{00000000-0008-0000-0000-000017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25" name="グループ化 24">
            <a:extLst>
              <a:ext uri="{FF2B5EF4-FFF2-40B4-BE49-F238E27FC236}">
                <a16:creationId xmlns:a16="http://schemas.microsoft.com/office/drawing/2014/main" id="{00000000-0008-0000-0000-000019000000}"/>
              </a:ext>
            </a:extLst>
          </xdr:cNvPr>
          <xdr:cNvGrpSpPr/>
        </xdr:nvGrpSpPr>
        <xdr:grpSpPr>
          <a:xfrm>
            <a:off x="7871460" y="167640"/>
            <a:ext cx="899160" cy="320040"/>
            <a:chOff x="2545080" y="53340"/>
            <a:chExt cx="899160" cy="320040"/>
          </a:xfrm>
        </xdr:grpSpPr>
        <xdr:sp macro="" textlink="">
          <xdr:nvSpPr>
            <xdr:cNvPr id="26" name="正方形/長方形 25">
              <a:extLst>
                <a:ext uri="{FF2B5EF4-FFF2-40B4-BE49-F238E27FC236}">
                  <a16:creationId xmlns:a16="http://schemas.microsoft.com/office/drawing/2014/main" id="{00000000-0008-0000-0000-00001A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 name="テキスト ボックス 26">
              <a:extLst>
                <a:ext uri="{FF2B5EF4-FFF2-40B4-BE49-F238E27FC236}">
                  <a16:creationId xmlns:a16="http://schemas.microsoft.com/office/drawing/2014/main" id="{00000000-0008-0000-0000-00001B000000}"/>
                </a:ext>
              </a:extLst>
            </xdr:cNvPr>
            <xdr:cNvSpPr txBox="1"/>
          </xdr:nvSpPr>
          <xdr:spPr>
            <a:xfrm>
              <a:off x="2545080" y="53340"/>
              <a:ext cx="8991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900" b="1"/>
                <a:t>技師長</a:t>
              </a:r>
              <a:endParaRPr kumimoji="1" lang="ja-JP" altLang="en-US" sz="1200" b="1"/>
            </a:p>
          </xdr:txBody>
        </xdr:sp>
      </xdr:grpSp>
      <xdr:sp macro="" textlink="$AO$5">
        <xdr:nvSpPr>
          <xdr:cNvPr id="29" name="テキスト ボックス 28">
            <a:extLst>
              <a:ext uri="{FF2B5EF4-FFF2-40B4-BE49-F238E27FC236}">
                <a16:creationId xmlns:a16="http://schemas.microsoft.com/office/drawing/2014/main" id="{00000000-0008-0000-0000-00001D000000}"/>
              </a:ext>
            </a:extLst>
          </xdr:cNvPr>
          <xdr:cNvSpPr txBox="1"/>
        </xdr:nvSpPr>
        <xdr:spPr>
          <a:xfrm>
            <a:off x="7635240" y="502920"/>
            <a:ext cx="154686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866010-F485-4622-843B-0B473650F60C}" type="TxLink">
              <a:rPr kumimoji="1" lang="en-US" altLang="en-US" sz="800" b="0" i="0" u="none" strike="noStrike">
                <a:solidFill>
                  <a:schemeClr val="bg1">
                    <a:lumMod val="50000"/>
                  </a:schemeClr>
                </a:solidFill>
                <a:latin typeface="ＭＳ Ｐゴシック"/>
                <a:ea typeface="ＭＳ Ｐゴシック"/>
              </a:rPr>
              <a:pPr algn="ctr"/>
              <a:t>2025/3/4 4:25 PM</a:t>
            </a:fld>
            <a:endParaRPr kumimoji="1" lang="ja-JP" altLang="en-US" sz="800">
              <a:solidFill>
                <a:schemeClr val="bg1">
                  <a:lumMod val="50000"/>
                </a:schemeClr>
              </a:solidFill>
            </a:endParaRPr>
          </a:p>
        </xdr:txBody>
      </xdr:sp>
    </xdr:grpSp>
    <xdr:clientData/>
  </xdr:twoCellAnchor>
  <xdr:twoCellAnchor>
    <xdr:from>
      <xdr:col>7</xdr:col>
      <xdr:colOff>198120</xdr:colOff>
      <xdr:row>0</xdr:row>
      <xdr:rowOff>22860</xdr:rowOff>
    </xdr:from>
    <xdr:to>
      <xdr:col>35</xdr:col>
      <xdr:colOff>190500</xdr:colOff>
      <xdr:row>0</xdr:row>
      <xdr:rowOff>662940</xdr:rowOff>
    </xdr:to>
    <xdr:sp macro="" textlink="">
      <xdr:nvSpPr>
        <xdr:cNvPr id="30" name="テキスト ボックス 29">
          <a:extLst>
            <a:ext uri="{FF2B5EF4-FFF2-40B4-BE49-F238E27FC236}">
              <a16:creationId xmlns:a16="http://schemas.microsoft.com/office/drawing/2014/main" id="{00000000-0008-0000-0000-00001E000000}"/>
            </a:ext>
          </a:extLst>
        </xdr:cNvPr>
        <xdr:cNvSpPr txBox="1"/>
      </xdr:nvSpPr>
      <xdr:spPr>
        <a:xfrm>
          <a:off x="2278380" y="22860"/>
          <a:ext cx="7284720" cy="640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600" b="1">
              <a:solidFill>
                <a:srgbClr val="FF0000"/>
              </a:solidFill>
            </a:rPr>
            <a:t>※</a:t>
          </a:r>
          <a:r>
            <a:rPr kumimoji="1" lang="ja-JP" altLang="en-US" sz="1600" b="1">
              <a:solidFill>
                <a:srgbClr val="FF0000"/>
              </a:solidFill>
            </a:rPr>
            <a:t>　厚生労働省の指導により、連続した当直は原則禁止されています。</a:t>
          </a:r>
          <a:endParaRPr kumimoji="1" lang="en-US" altLang="ja-JP" sz="1600" b="1">
            <a:solidFill>
              <a:srgbClr val="FF0000"/>
            </a:solidFill>
          </a:endParaRPr>
        </a:p>
        <a:p>
          <a:r>
            <a:rPr kumimoji="1" lang="ja-JP" altLang="en-US" sz="1600" b="1">
              <a:solidFill>
                <a:srgbClr val="FF0000"/>
              </a:solidFill>
            </a:rPr>
            <a:t>　　　特別な理由が無い限り、認められなくなりましたので注意してください。</a:t>
          </a:r>
        </a:p>
      </xdr:txBody>
    </xdr:sp>
    <xdr:clientData fPrintsWithSheet="0"/>
  </xdr:twoCellAnchor>
  <xdr:twoCellAnchor editAs="absolute">
    <xdr:from>
      <xdr:col>34</xdr:col>
      <xdr:colOff>30480</xdr:colOff>
      <xdr:row>0</xdr:row>
      <xdr:rowOff>441960</xdr:rowOff>
    </xdr:from>
    <xdr:to>
      <xdr:col>42</xdr:col>
      <xdr:colOff>579120</xdr:colOff>
      <xdr:row>43</xdr:row>
      <xdr:rowOff>160020</xdr:rowOff>
    </xdr:to>
    <xdr:sp macro="" textlink="">
      <xdr:nvSpPr>
        <xdr:cNvPr id="31" name="テキスト ボックス 30">
          <a:extLst>
            <a:ext uri="{FF2B5EF4-FFF2-40B4-BE49-F238E27FC236}">
              <a16:creationId xmlns:a16="http://schemas.microsoft.com/office/drawing/2014/main" id="{00000000-0008-0000-0000-00001F000000}"/>
            </a:ext>
          </a:extLst>
        </xdr:cNvPr>
        <xdr:cNvSpPr txBox="1"/>
      </xdr:nvSpPr>
      <xdr:spPr>
        <a:xfrm>
          <a:off x="9311640" y="441960"/>
          <a:ext cx="2926080" cy="7429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kumimoji="1" lang="en-US" altLang="ja-JP" sz="1100" b="1"/>
        </a:p>
        <a:p>
          <a:pPr algn="ctr"/>
          <a:r>
            <a:rPr kumimoji="1" lang="ja-JP" altLang="en-US" sz="1400" b="1"/>
            <a:t>勤務変更届のやり方</a:t>
          </a:r>
          <a:endParaRPr kumimoji="1" lang="en-US" altLang="ja-JP" sz="1400" b="1"/>
        </a:p>
        <a:p>
          <a:endParaRPr kumimoji="1" lang="en-US" altLang="ja-JP" sz="1100"/>
        </a:p>
        <a:p>
          <a:endParaRPr kumimoji="1" lang="en-US" altLang="ja-JP" sz="1100"/>
        </a:p>
        <a:p>
          <a:r>
            <a:rPr kumimoji="1" lang="ja-JP" altLang="en-US" sz="1100" b="1">
              <a:solidFill>
                <a:srgbClr val="FF0000"/>
              </a:solidFill>
            </a:rPr>
            <a:t>１．ファイルを開くと「更新しますか」と聞いてくるので、「はい」を選択して更新してください。</a:t>
          </a:r>
          <a:endParaRPr kumimoji="1" lang="en-US" altLang="ja-JP" sz="1100" b="1">
            <a:solidFill>
              <a:srgbClr val="FF0000"/>
            </a:solidFill>
          </a:endParaRPr>
        </a:p>
        <a:p>
          <a:r>
            <a:rPr kumimoji="1" lang="ja-JP" altLang="en-US" sz="1100"/>
            <a:t>もし、間違えて「いいえ」をクリックした場合、一旦ファイルを閉じてやり直してください。</a:t>
          </a:r>
          <a:endParaRPr kumimoji="1" lang="en-US" altLang="ja-JP" sz="1100"/>
        </a:p>
        <a:p>
          <a:endParaRPr kumimoji="1" lang="en-US" altLang="ja-JP" sz="1100"/>
        </a:p>
        <a:p>
          <a:r>
            <a:rPr kumimoji="1" lang="ja-JP" altLang="en-US" sz="1100"/>
            <a:t>２．勤務変更するセルをクリックしてプルダウンして変更後の勤務を選択してください。</a:t>
          </a:r>
          <a:endParaRPr kumimoji="1" lang="en-US" altLang="ja-JP" sz="1100"/>
        </a:p>
        <a:p>
          <a:r>
            <a:rPr kumimoji="1" lang="ja-JP" altLang="en-US" sz="1100"/>
            <a:t>（セルの色が変わります）</a:t>
          </a:r>
          <a:endParaRPr kumimoji="1" lang="en-US" altLang="ja-JP" sz="1100"/>
        </a:p>
        <a:p>
          <a:endParaRPr kumimoji="1" lang="en-US" altLang="ja-JP" sz="1100"/>
        </a:p>
        <a:p>
          <a:r>
            <a:rPr kumimoji="1" lang="ja-JP" altLang="en-US" sz="1100"/>
            <a:t>３．すべて入力を終えたらこのページを印刷して、当事者の関連するすべての部門長に承認印をもらい、技師長に提出してください。</a:t>
          </a:r>
          <a:endParaRPr kumimoji="1" lang="en-US" altLang="ja-JP" sz="1100"/>
        </a:p>
        <a:p>
          <a:endParaRPr kumimoji="1" lang="en-US" altLang="ja-JP" sz="1100"/>
        </a:p>
        <a:p>
          <a:r>
            <a:rPr kumimoji="1" lang="ja-JP" altLang="en-US" sz="1100" b="1">
              <a:solidFill>
                <a:srgbClr val="FF0000"/>
              </a:solidFill>
            </a:rPr>
            <a:t>４．必ず保存終了してください。</a:t>
          </a:r>
          <a:endParaRPr kumimoji="1" lang="en-US" altLang="ja-JP" sz="1100" b="1">
            <a:solidFill>
              <a:srgbClr val="FF0000"/>
            </a:solidFill>
          </a:endParaRPr>
        </a:p>
        <a:p>
          <a:endParaRPr kumimoji="1" lang="en-US" altLang="ja-JP" sz="1100"/>
        </a:p>
        <a:p>
          <a:endParaRPr kumimoji="1" lang="en-US" altLang="ja-JP" sz="1100"/>
        </a:p>
        <a:p>
          <a:endParaRPr kumimoji="1" lang="en-US" altLang="ja-JP" sz="1100"/>
        </a:p>
        <a:p>
          <a:endParaRPr kumimoji="1" lang="en-US" altLang="ja-JP" sz="1100"/>
        </a:p>
        <a:p>
          <a:endParaRPr kumimoji="1" lang="ja-JP" altLang="en-US" sz="1100"/>
        </a:p>
      </xdr:txBody>
    </xdr:sp>
    <xdr:clientData fPrintsWithSheet="0"/>
  </xdr:twoCellAnchor>
  <xdr:twoCellAnchor>
    <xdr:from>
      <xdr:col>2</xdr:col>
      <xdr:colOff>129540</xdr:colOff>
      <xdr:row>0</xdr:row>
      <xdr:rowOff>137160</xdr:rowOff>
    </xdr:from>
    <xdr:to>
      <xdr:col>7</xdr:col>
      <xdr:colOff>182880</xdr:colOff>
      <xdr:row>1</xdr:row>
      <xdr:rowOff>0</xdr:rowOff>
    </xdr:to>
    <xdr:sp macro="" textlink="">
      <xdr:nvSpPr>
        <xdr:cNvPr id="24" name="下矢印吹き出し 23">
          <a:extLst>
            <a:ext uri="{FF2B5EF4-FFF2-40B4-BE49-F238E27FC236}">
              <a16:creationId xmlns:a16="http://schemas.microsoft.com/office/drawing/2014/main" id="{00000000-0008-0000-0000-000018000000}"/>
            </a:ext>
          </a:extLst>
        </xdr:cNvPr>
        <xdr:cNvSpPr/>
      </xdr:nvSpPr>
      <xdr:spPr>
        <a:xfrm>
          <a:off x="320040" y="137160"/>
          <a:ext cx="1943100" cy="533400"/>
        </a:xfrm>
        <a:prstGeom prst="down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a:t>当直、明が</a:t>
          </a:r>
          <a:r>
            <a:rPr kumimoji="1" lang="en-US" altLang="ja-JP" sz="800"/>
            <a:t>2</a:t>
          </a:r>
          <a:r>
            <a:rPr kumimoji="1" lang="ja-JP" altLang="en-US" sz="800"/>
            <a:t>でないと日付が赤くなります</a:t>
          </a:r>
        </a:p>
      </xdr:txBody>
    </xdr:sp>
    <xdr:clientData fPrintsWithSheet="0"/>
  </xdr:twoCellAnchor>
  <xdr:twoCellAnchor>
    <xdr:from>
      <xdr:col>38</xdr:col>
      <xdr:colOff>15240</xdr:colOff>
      <xdr:row>22</xdr:row>
      <xdr:rowOff>144780</xdr:rowOff>
    </xdr:from>
    <xdr:to>
      <xdr:col>42</xdr:col>
      <xdr:colOff>15240</xdr:colOff>
      <xdr:row>36</xdr:row>
      <xdr:rowOff>7620</xdr:rowOff>
    </xdr:to>
    <xdr:sp macro="" textlink="">
      <xdr:nvSpPr>
        <xdr:cNvPr id="33" name="テキスト ボックス 32">
          <a:extLst>
            <a:ext uri="{FF2B5EF4-FFF2-40B4-BE49-F238E27FC236}">
              <a16:creationId xmlns:a16="http://schemas.microsoft.com/office/drawing/2014/main" id="{00000000-0008-0000-0000-000021000000}"/>
            </a:ext>
          </a:extLst>
        </xdr:cNvPr>
        <xdr:cNvSpPr txBox="1"/>
      </xdr:nvSpPr>
      <xdr:spPr>
        <a:xfrm>
          <a:off x="9845040" y="4335780"/>
          <a:ext cx="1828800"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管理者の方へ</a:t>
          </a:r>
          <a:endParaRPr kumimoji="1" lang="en-US" altLang="ja-JP" sz="1100"/>
        </a:p>
        <a:p>
          <a:r>
            <a:rPr kumimoji="1" lang="en-US" altLang="ja-JP" sz="1100"/>
            <a:t>Time Pro</a:t>
          </a:r>
          <a:r>
            <a:rPr kumimoji="1" lang="ja-JP" altLang="en-US" sz="1100"/>
            <a:t>の入力が終わり、</a:t>
          </a:r>
          <a:endParaRPr kumimoji="1" lang="en-US" altLang="ja-JP" sz="1100"/>
        </a:p>
        <a:p>
          <a:r>
            <a:rPr kumimoji="1" lang="ja-JP" altLang="en-US" sz="1100"/>
            <a:t>勤務表へのコピペが終了したら、変更がされたセルの</a:t>
          </a:r>
          <a:endParaRPr kumimoji="1" lang="en-US" altLang="ja-JP" sz="1100"/>
        </a:p>
        <a:p>
          <a:r>
            <a:rPr kumimoji="1" lang="ja-JP" altLang="en-US" sz="1100"/>
            <a:t>値を元の数式に戻してください。</a:t>
          </a:r>
          <a:endParaRPr kumimoji="1" lang="en-US" altLang="ja-JP" sz="1100"/>
        </a:p>
        <a:p>
          <a:r>
            <a:rPr kumimoji="1" lang="ja-JP" altLang="en-US" sz="1100"/>
            <a:t>例</a:t>
          </a:r>
          <a:endParaRPr kumimoji="1" lang="en-US" altLang="ja-JP" sz="1100"/>
        </a:p>
        <a:p>
          <a:r>
            <a:rPr kumimoji="1" lang="en-US" altLang="ja-JP" sz="1100"/>
            <a:t>='</a:t>
          </a:r>
          <a:r>
            <a:rPr kumimoji="1" lang="ja-JP" altLang="en-US" sz="1100"/>
            <a:t>勤務表（参照用）</a:t>
          </a:r>
          <a:r>
            <a:rPr kumimoji="1" lang="en-US" altLang="ja-JP" sz="1100"/>
            <a:t>'!U10</a:t>
          </a:r>
        </a:p>
        <a:p>
          <a:r>
            <a:rPr kumimoji="1" lang="ja-JP" altLang="en-US" sz="1100"/>
            <a:t>（周囲の変更されていないセルの数式のコピぺ）</a:t>
          </a:r>
        </a:p>
      </xdr:txBody>
    </xdr:sp>
    <xdr:clientData fPrintsWithSheet="0"/>
  </xdr:twoCellAnchor>
  <mc:AlternateContent xmlns:mc="http://schemas.openxmlformats.org/markup-compatibility/2006">
    <mc:Choice xmlns:a14="http://schemas.microsoft.com/office/drawing/2010/main" Requires="a14">
      <xdr:twoCellAnchor>
        <xdr:from>
          <xdr:col>38</xdr:col>
          <xdr:colOff>184150</xdr:colOff>
          <xdr:row>0</xdr:row>
          <xdr:rowOff>165100</xdr:rowOff>
        </xdr:from>
        <xdr:to>
          <xdr:col>39</xdr:col>
          <xdr:colOff>323850</xdr:colOff>
          <xdr:row>0</xdr:row>
          <xdr:rowOff>565150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34</xdr:col>
      <xdr:colOff>22860</xdr:colOff>
      <xdr:row>0</xdr:row>
      <xdr:rowOff>579120</xdr:rowOff>
    </xdr:from>
    <xdr:to>
      <xdr:col>38</xdr:col>
      <xdr:colOff>0</xdr:colOff>
      <xdr:row>2</xdr:row>
      <xdr:rowOff>129540</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0300335" y="579120"/>
          <a:ext cx="586740" cy="388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ja-JP" altLang="en-US" sz="800" b="0" i="0" u="none" strike="noStrike">
              <a:solidFill>
                <a:schemeClr val="dk1"/>
              </a:solidFill>
              <a:effectLst/>
              <a:latin typeface="+mn-lt"/>
              <a:ea typeface="+mn-ea"/>
              <a:cs typeface="+mn-cs"/>
            </a:rPr>
            <a:t>本人</a:t>
          </a:r>
          <a:br>
            <a:rPr lang="ja-JP" altLang="en-US" sz="800" b="0" i="0" u="none" strike="noStrike">
              <a:solidFill>
                <a:schemeClr val="dk1"/>
              </a:solidFill>
              <a:effectLst/>
              <a:latin typeface="+mn-lt"/>
              <a:ea typeface="+mn-ea"/>
              <a:cs typeface="+mn-cs"/>
            </a:rPr>
          </a:br>
          <a:r>
            <a:rPr lang="ja-JP" altLang="en-US" sz="800" b="0" i="0" u="none" strike="noStrike">
              <a:solidFill>
                <a:schemeClr val="dk1"/>
              </a:solidFill>
              <a:effectLst/>
              <a:latin typeface="+mn-lt"/>
              <a:ea typeface="+mn-ea"/>
              <a:cs typeface="+mn-cs"/>
            </a:rPr>
            <a:t>確認印</a:t>
          </a:r>
          <a:r>
            <a:rPr lang="ja-JP" altLang="en-US" sz="800"/>
            <a:t> </a:t>
          </a:r>
          <a:endParaRPr kumimoji="1" lang="ja-JP" altLang="en-US" sz="800"/>
        </a:p>
      </xdr:txBody>
    </xdr:sp>
    <xdr:clientData/>
  </xdr:twoCellAnchor>
  <xdr:twoCellAnchor>
    <xdr:from>
      <xdr:col>2</xdr:col>
      <xdr:colOff>320040</xdr:colOff>
      <xdr:row>0</xdr:row>
      <xdr:rowOff>144780</xdr:rowOff>
    </xdr:from>
    <xdr:to>
      <xdr:col>33</xdr:col>
      <xdr:colOff>167640</xdr:colOff>
      <xdr:row>0</xdr:row>
      <xdr:rowOff>662940</xdr:rowOff>
    </xdr:to>
    <xdr:grpSp>
      <xdr:nvGrpSpPr>
        <xdr:cNvPr id="3" name="グループ化 2">
          <a:extLst>
            <a:ext uri="{FF2B5EF4-FFF2-40B4-BE49-F238E27FC236}">
              <a16:creationId xmlns:a16="http://schemas.microsoft.com/office/drawing/2014/main" id="{00000000-0008-0000-0100-000003000000}"/>
            </a:ext>
          </a:extLst>
        </xdr:cNvPr>
        <xdr:cNvGrpSpPr/>
      </xdr:nvGrpSpPr>
      <xdr:grpSpPr>
        <a:xfrm>
          <a:off x="510540" y="144780"/>
          <a:ext cx="8877300" cy="518160"/>
          <a:chOff x="510540" y="144780"/>
          <a:chExt cx="8671560" cy="518160"/>
        </a:xfrm>
      </xdr:grpSpPr>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510540" y="167640"/>
            <a:ext cx="102108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部門長承認印</a:t>
            </a:r>
            <a:endParaRPr kumimoji="1" lang="en-US" altLang="ja-JP" sz="1100"/>
          </a:p>
          <a:p>
            <a:endParaRPr kumimoji="1" lang="ja-JP" altLang="en-US" sz="1100"/>
          </a:p>
        </xdr:txBody>
      </xdr:sp>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1714500" y="152400"/>
            <a:ext cx="891540" cy="320040"/>
            <a:chOff x="2552700" y="53340"/>
            <a:chExt cx="891540" cy="320040"/>
          </a:xfrm>
        </xdr:grpSpPr>
        <xdr:sp macro="" textlink="">
          <xdr:nvSpPr>
            <xdr:cNvPr id="28" name="正方形/長方形 27">
              <a:extLst>
                <a:ext uri="{FF2B5EF4-FFF2-40B4-BE49-F238E27FC236}">
                  <a16:creationId xmlns:a16="http://schemas.microsoft.com/office/drawing/2014/main" id="{00000000-0008-0000-0100-00001C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 name="テキスト ボックス 28">
              <a:extLst>
                <a:ext uri="{FF2B5EF4-FFF2-40B4-BE49-F238E27FC236}">
                  <a16:creationId xmlns:a16="http://schemas.microsoft.com/office/drawing/2014/main" id="{00000000-0008-0000-0100-00001D000000}"/>
                </a:ext>
              </a:extLst>
            </xdr:cNvPr>
            <xdr:cNvSpPr txBox="1"/>
          </xdr:nvSpPr>
          <xdr:spPr>
            <a:xfrm>
              <a:off x="2552700" y="53340"/>
              <a:ext cx="8915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800"/>
                <a:t>一般撮影</a:t>
              </a:r>
              <a:endParaRPr kumimoji="1" lang="en-US" altLang="ja-JP" sz="800"/>
            </a:p>
            <a:p>
              <a:endParaRPr kumimoji="1" lang="ja-JP" altLang="en-US" sz="1100"/>
            </a:p>
          </xdr:txBody>
        </xdr:sp>
      </xdr:grpSp>
      <xdr:grpSp>
        <xdr:nvGrpSpPr>
          <xdr:cNvPr id="6" name="グループ化 5">
            <a:extLst>
              <a:ext uri="{FF2B5EF4-FFF2-40B4-BE49-F238E27FC236}">
                <a16:creationId xmlns:a16="http://schemas.microsoft.com/office/drawing/2014/main" id="{00000000-0008-0000-0100-000006000000}"/>
              </a:ext>
            </a:extLst>
          </xdr:cNvPr>
          <xdr:cNvGrpSpPr/>
        </xdr:nvGrpSpPr>
        <xdr:grpSpPr>
          <a:xfrm>
            <a:off x="2758440" y="144780"/>
            <a:ext cx="1066800" cy="320040"/>
            <a:chOff x="2842260" y="45720"/>
            <a:chExt cx="1066800" cy="320040"/>
          </a:xfrm>
        </xdr:grpSpPr>
        <xdr:sp macro="" textlink="">
          <xdr:nvSpPr>
            <xdr:cNvPr id="26" name="正方形/長方形 25">
              <a:extLst>
                <a:ext uri="{FF2B5EF4-FFF2-40B4-BE49-F238E27FC236}">
                  <a16:creationId xmlns:a16="http://schemas.microsoft.com/office/drawing/2014/main" id="{00000000-0008-0000-0100-00001A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 name="テキスト ボックス 26">
              <a:extLst>
                <a:ext uri="{FF2B5EF4-FFF2-40B4-BE49-F238E27FC236}">
                  <a16:creationId xmlns:a16="http://schemas.microsoft.com/office/drawing/2014/main" id="{00000000-0008-0000-0100-00001B000000}"/>
                </a:ext>
              </a:extLst>
            </xdr:cNvPr>
            <xdr:cNvSpPr txBox="1"/>
          </xdr:nvSpPr>
          <xdr:spPr>
            <a:xfrm>
              <a:off x="2842260" y="45720"/>
              <a:ext cx="10668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CT</a:t>
              </a:r>
              <a:endParaRPr kumimoji="1" lang="ja-JP" altLang="en-US" sz="1100"/>
            </a:p>
          </xdr:txBody>
        </xdr:sp>
      </xdr:grpSp>
      <xdr:grpSp>
        <xdr:nvGrpSpPr>
          <xdr:cNvPr id="7" name="グループ化 6">
            <a:extLst>
              <a:ext uri="{FF2B5EF4-FFF2-40B4-BE49-F238E27FC236}">
                <a16:creationId xmlns:a16="http://schemas.microsoft.com/office/drawing/2014/main" id="{00000000-0008-0000-0100-000007000000}"/>
              </a:ext>
            </a:extLst>
          </xdr:cNvPr>
          <xdr:cNvGrpSpPr/>
        </xdr:nvGrpSpPr>
        <xdr:grpSpPr>
          <a:xfrm>
            <a:off x="3520440" y="152400"/>
            <a:ext cx="670560" cy="320040"/>
            <a:chOff x="2773680" y="53340"/>
            <a:chExt cx="670560" cy="320040"/>
          </a:xfrm>
        </xdr:grpSpPr>
        <xdr:sp macro="" textlink="">
          <xdr:nvSpPr>
            <xdr:cNvPr id="24" name="正方形/長方形 23">
              <a:extLst>
                <a:ext uri="{FF2B5EF4-FFF2-40B4-BE49-F238E27FC236}">
                  <a16:creationId xmlns:a16="http://schemas.microsoft.com/office/drawing/2014/main" id="{00000000-0008-0000-0100-000018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 name="テキスト ボックス 24">
              <a:extLst>
                <a:ext uri="{FF2B5EF4-FFF2-40B4-BE49-F238E27FC236}">
                  <a16:creationId xmlns:a16="http://schemas.microsoft.com/office/drawing/2014/main" id="{00000000-0008-0000-0100-000019000000}"/>
                </a:ext>
              </a:extLst>
            </xdr:cNvPr>
            <xdr:cNvSpPr txBox="1"/>
          </xdr:nvSpPr>
          <xdr:spPr>
            <a:xfrm>
              <a:off x="2773680" y="53340"/>
              <a:ext cx="6705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US</a:t>
              </a:r>
              <a:endParaRPr kumimoji="1" lang="ja-JP" altLang="en-US" sz="1100"/>
            </a:p>
          </xdr:txBody>
        </xdr:sp>
      </xdr:grpSp>
      <xdr:grpSp>
        <xdr:nvGrpSpPr>
          <xdr:cNvPr id="8" name="グループ化 7">
            <a:extLst>
              <a:ext uri="{FF2B5EF4-FFF2-40B4-BE49-F238E27FC236}">
                <a16:creationId xmlns:a16="http://schemas.microsoft.com/office/drawing/2014/main" id="{00000000-0008-0000-0100-000008000000}"/>
              </a:ext>
            </a:extLst>
          </xdr:cNvPr>
          <xdr:cNvGrpSpPr/>
        </xdr:nvGrpSpPr>
        <xdr:grpSpPr>
          <a:xfrm>
            <a:off x="4381500" y="160020"/>
            <a:ext cx="640080" cy="320040"/>
            <a:chOff x="2804160" y="53340"/>
            <a:chExt cx="640080" cy="320040"/>
          </a:xfrm>
        </xdr:grpSpPr>
        <xdr:sp macro="" textlink="">
          <xdr:nvSpPr>
            <xdr:cNvPr id="22" name="正方形/長方形 21">
              <a:extLst>
                <a:ext uri="{FF2B5EF4-FFF2-40B4-BE49-F238E27FC236}">
                  <a16:creationId xmlns:a16="http://schemas.microsoft.com/office/drawing/2014/main" id="{00000000-0008-0000-0100-000016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 name="テキスト ボックス 22">
              <a:extLst>
                <a:ext uri="{FF2B5EF4-FFF2-40B4-BE49-F238E27FC236}">
                  <a16:creationId xmlns:a16="http://schemas.microsoft.com/office/drawing/2014/main" id="{00000000-0008-0000-0100-000017000000}"/>
                </a:ext>
              </a:extLst>
            </xdr:cNvPr>
            <xdr:cNvSpPr txBox="1"/>
          </xdr:nvSpPr>
          <xdr:spPr>
            <a:xfrm>
              <a:off x="2804160" y="53340"/>
              <a:ext cx="6400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MR</a:t>
              </a:r>
              <a:endParaRPr kumimoji="1" lang="ja-JP" altLang="en-US" sz="1100"/>
            </a:p>
          </xdr:txBody>
        </xdr:sp>
      </xdr:grpSp>
      <xdr:grpSp>
        <xdr:nvGrpSpPr>
          <xdr:cNvPr id="9" name="グループ化 8">
            <a:extLst>
              <a:ext uri="{FF2B5EF4-FFF2-40B4-BE49-F238E27FC236}">
                <a16:creationId xmlns:a16="http://schemas.microsoft.com/office/drawing/2014/main" id="{00000000-0008-0000-0100-000009000000}"/>
              </a:ext>
            </a:extLst>
          </xdr:cNvPr>
          <xdr:cNvGrpSpPr/>
        </xdr:nvGrpSpPr>
        <xdr:grpSpPr>
          <a:xfrm>
            <a:off x="5128260" y="160020"/>
            <a:ext cx="762000" cy="320040"/>
            <a:chOff x="2682240" y="53340"/>
            <a:chExt cx="762000" cy="320040"/>
          </a:xfrm>
        </xdr:grpSpPr>
        <xdr:sp macro="" textlink="">
          <xdr:nvSpPr>
            <xdr:cNvPr id="20" name="正方形/長方形 19">
              <a:extLst>
                <a:ext uri="{FF2B5EF4-FFF2-40B4-BE49-F238E27FC236}">
                  <a16:creationId xmlns:a16="http://schemas.microsoft.com/office/drawing/2014/main" id="{00000000-0008-0000-0100-000014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テキスト ボックス 20">
              <a:extLst>
                <a:ext uri="{FF2B5EF4-FFF2-40B4-BE49-F238E27FC236}">
                  <a16:creationId xmlns:a16="http://schemas.microsoft.com/office/drawing/2014/main" id="{00000000-0008-0000-0100-000015000000}"/>
                </a:ext>
              </a:extLst>
            </xdr:cNvPr>
            <xdr:cNvSpPr txBox="1"/>
          </xdr:nvSpPr>
          <xdr:spPr>
            <a:xfrm>
              <a:off x="2682240" y="53340"/>
              <a:ext cx="7620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ANGIO</a:t>
              </a:r>
              <a:endParaRPr kumimoji="1" lang="ja-JP" altLang="en-US" sz="1100"/>
            </a:p>
          </xdr:txBody>
        </xdr:sp>
      </xdr:grpSp>
      <xdr:grpSp>
        <xdr:nvGrpSpPr>
          <xdr:cNvPr id="10" name="グループ化 9">
            <a:extLst>
              <a:ext uri="{FF2B5EF4-FFF2-40B4-BE49-F238E27FC236}">
                <a16:creationId xmlns:a16="http://schemas.microsoft.com/office/drawing/2014/main" id="{00000000-0008-0000-0100-00000A000000}"/>
              </a:ext>
            </a:extLst>
          </xdr:cNvPr>
          <xdr:cNvGrpSpPr/>
        </xdr:nvGrpSpPr>
        <xdr:grpSpPr>
          <a:xfrm>
            <a:off x="6195060" y="160020"/>
            <a:ext cx="563880" cy="320040"/>
            <a:chOff x="2880360" y="53340"/>
            <a:chExt cx="563880" cy="320040"/>
          </a:xfrm>
        </xdr:grpSpPr>
        <xdr:sp macro="" textlink="">
          <xdr:nvSpPr>
            <xdr:cNvPr id="18" name="正方形/長方形 17">
              <a:extLst>
                <a:ext uri="{FF2B5EF4-FFF2-40B4-BE49-F238E27FC236}">
                  <a16:creationId xmlns:a16="http://schemas.microsoft.com/office/drawing/2014/main" id="{00000000-0008-0000-0100-000012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 name="テキスト ボックス 18">
              <a:extLst>
                <a:ext uri="{FF2B5EF4-FFF2-40B4-BE49-F238E27FC236}">
                  <a16:creationId xmlns:a16="http://schemas.microsoft.com/office/drawing/2014/main" id="{00000000-0008-0000-0100-000013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11" name="グループ化 10">
            <a:extLst>
              <a:ext uri="{FF2B5EF4-FFF2-40B4-BE49-F238E27FC236}">
                <a16:creationId xmlns:a16="http://schemas.microsoft.com/office/drawing/2014/main" id="{00000000-0008-0000-0100-00000B000000}"/>
              </a:ext>
            </a:extLst>
          </xdr:cNvPr>
          <xdr:cNvGrpSpPr/>
        </xdr:nvGrpSpPr>
        <xdr:grpSpPr>
          <a:xfrm>
            <a:off x="7086600" y="167640"/>
            <a:ext cx="563880" cy="320040"/>
            <a:chOff x="2880360" y="53340"/>
            <a:chExt cx="563880" cy="320040"/>
          </a:xfrm>
        </xdr:grpSpPr>
        <xdr:sp macro="" textlink="">
          <xdr:nvSpPr>
            <xdr:cNvPr id="16" name="正方形/長方形 15">
              <a:extLst>
                <a:ext uri="{FF2B5EF4-FFF2-40B4-BE49-F238E27FC236}">
                  <a16:creationId xmlns:a16="http://schemas.microsoft.com/office/drawing/2014/main" id="{00000000-0008-0000-0100-000010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00000000-0008-0000-0100-000011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12" name="グループ化 11">
            <a:extLst>
              <a:ext uri="{FF2B5EF4-FFF2-40B4-BE49-F238E27FC236}">
                <a16:creationId xmlns:a16="http://schemas.microsoft.com/office/drawing/2014/main" id="{00000000-0008-0000-0100-00000C000000}"/>
              </a:ext>
            </a:extLst>
          </xdr:cNvPr>
          <xdr:cNvGrpSpPr/>
        </xdr:nvGrpSpPr>
        <xdr:grpSpPr>
          <a:xfrm>
            <a:off x="7871460" y="167640"/>
            <a:ext cx="899160" cy="320040"/>
            <a:chOff x="2545080" y="53340"/>
            <a:chExt cx="899160" cy="320040"/>
          </a:xfrm>
        </xdr:grpSpPr>
        <xdr:sp macro="" textlink="">
          <xdr:nvSpPr>
            <xdr:cNvPr id="14" name="正方形/長方形 13">
              <a:extLst>
                <a:ext uri="{FF2B5EF4-FFF2-40B4-BE49-F238E27FC236}">
                  <a16:creationId xmlns:a16="http://schemas.microsoft.com/office/drawing/2014/main" id="{00000000-0008-0000-0100-00000E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00000000-0008-0000-0100-00000F000000}"/>
                </a:ext>
              </a:extLst>
            </xdr:cNvPr>
            <xdr:cNvSpPr txBox="1"/>
          </xdr:nvSpPr>
          <xdr:spPr>
            <a:xfrm>
              <a:off x="2545080" y="53340"/>
              <a:ext cx="8991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900" b="1"/>
                <a:t>技師長</a:t>
              </a:r>
              <a:endParaRPr kumimoji="1" lang="ja-JP" altLang="en-US" sz="1200" b="1"/>
            </a:p>
          </xdr:txBody>
        </xdr:sp>
      </xdr:grpSp>
      <xdr:sp macro="" textlink="$AO$5">
        <xdr:nvSpPr>
          <xdr:cNvPr id="13" name="テキスト ボックス 12">
            <a:extLst>
              <a:ext uri="{FF2B5EF4-FFF2-40B4-BE49-F238E27FC236}">
                <a16:creationId xmlns:a16="http://schemas.microsoft.com/office/drawing/2014/main" id="{00000000-0008-0000-0100-00000D000000}"/>
              </a:ext>
            </a:extLst>
          </xdr:cNvPr>
          <xdr:cNvSpPr txBox="1"/>
        </xdr:nvSpPr>
        <xdr:spPr>
          <a:xfrm>
            <a:off x="7635240" y="502920"/>
            <a:ext cx="154686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866010-F485-4622-843B-0B473650F60C}" type="TxLink">
              <a:rPr kumimoji="1" lang="en-US" altLang="en-US" sz="800" b="0" i="0" u="none" strike="noStrike">
                <a:solidFill>
                  <a:schemeClr val="bg1">
                    <a:lumMod val="50000"/>
                  </a:schemeClr>
                </a:solidFill>
                <a:latin typeface="ＭＳ Ｐゴシック"/>
                <a:ea typeface="ＭＳ Ｐゴシック"/>
              </a:rPr>
              <a:pPr algn="ctr"/>
              <a:t>2025/3/4 4:25 PM</a:t>
            </a:fld>
            <a:endParaRPr kumimoji="1" lang="ja-JP" altLang="en-US" sz="800">
              <a:solidFill>
                <a:schemeClr val="bg1">
                  <a:lumMod val="50000"/>
                </a:schemeClr>
              </a:solidFill>
            </a:endParaRPr>
          </a:p>
        </xdr:txBody>
      </xdr:sp>
    </xdr:grpSp>
    <xdr:clientData/>
  </xdr:twoCellAnchor>
  <xdr:twoCellAnchor>
    <xdr:from>
      <xdr:col>7</xdr:col>
      <xdr:colOff>198120</xdr:colOff>
      <xdr:row>0</xdr:row>
      <xdr:rowOff>22860</xdr:rowOff>
    </xdr:from>
    <xdr:to>
      <xdr:col>35</xdr:col>
      <xdr:colOff>190500</xdr:colOff>
      <xdr:row>0</xdr:row>
      <xdr:rowOff>662940</xdr:rowOff>
    </xdr:to>
    <xdr:sp macro="" textlink="">
      <xdr:nvSpPr>
        <xdr:cNvPr id="30" name="テキスト ボックス 29">
          <a:extLst>
            <a:ext uri="{FF2B5EF4-FFF2-40B4-BE49-F238E27FC236}">
              <a16:creationId xmlns:a16="http://schemas.microsoft.com/office/drawing/2014/main" id="{00000000-0008-0000-0100-00001E000000}"/>
            </a:ext>
          </a:extLst>
        </xdr:cNvPr>
        <xdr:cNvSpPr txBox="1"/>
      </xdr:nvSpPr>
      <xdr:spPr>
        <a:xfrm>
          <a:off x="2503170" y="22860"/>
          <a:ext cx="8069580" cy="640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600" b="1">
              <a:solidFill>
                <a:srgbClr val="FF0000"/>
              </a:solidFill>
            </a:rPr>
            <a:t>※</a:t>
          </a:r>
          <a:r>
            <a:rPr kumimoji="1" lang="ja-JP" altLang="en-US" sz="1600" b="1">
              <a:solidFill>
                <a:srgbClr val="FF0000"/>
              </a:solidFill>
            </a:rPr>
            <a:t>　厚生労働省の指導により、連続した当直は原則禁止されています。</a:t>
          </a:r>
          <a:endParaRPr kumimoji="1" lang="en-US" altLang="ja-JP" sz="1600" b="1">
            <a:solidFill>
              <a:srgbClr val="FF0000"/>
            </a:solidFill>
          </a:endParaRPr>
        </a:p>
        <a:p>
          <a:r>
            <a:rPr kumimoji="1" lang="ja-JP" altLang="en-US" sz="1600" b="1">
              <a:solidFill>
                <a:srgbClr val="FF0000"/>
              </a:solidFill>
            </a:rPr>
            <a:t>　　　特別な理由が無い限り、認められなくなりましたので注意してください。</a:t>
          </a:r>
        </a:p>
      </xdr:txBody>
    </xdr:sp>
    <xdr:clientData fPrintsWithSheet="0"/>
  </xdr:twoCellAnchor>
  <xdr:twoCellAnchor>
    <xdr:from>
      <xdr:col>2</xdr:col>
      <xdr:colOff>129540</xdr:colOff>
      <xdr:row>0</xdr:row>
      <xdr:rowOff>137160</xdr:rowOff>
    </xdr:from>
    <xdr:to>
      <xdr:col>7</xdr:col>
      <xdr:colOff>182880</xdr:colOff>
      <xdr:row>1</xdr:row>
      <xdr:rowOff>0</xdr:rowOff>
    </xdr:to>
    <xdr:sp macro="" textlink="">
      <xdr:nvSpPr>
        <xdr:cNvPr id="32" name="下矢印吹き出し 23">
          <a:extLst>
            <a:ext uri="{FF2B5EF4-FFF2-40B4-BE49-F238E27FC236}">
              <a16:creationId xmlns:a16="http://schemas.microsoft.com/office/drawing/2014/main" id="{00000000-0008-0000-0100-000020000000}"/>
            </a:ext>
          </a:extLst>
        </xdr:cNvPr>
        <xdr:cNvSpPr/>
      </xdr:nvSpPr>
      <xdr:spPr>
        <a:xfrm>
          <a:off x="339090" y="137160"/>
          <a:ext cx="2148840" cy="529590"/>
        </a:xfrm>
        <a:prstGeom prst="down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a:t>当直、明が</a:t>
          </a:r>
          <a:r>
            <a:rPr kumimoji="1" lang="en-US" altLang="ja-JP" sz="800"/>
            <a:t>2</a:t>
          </a:r>
          <a:r>
            <a:rPr kumimoji="1" lang="ja-JP" altLang="en-US" sz="800"/>
            <a:t>でないと日付が赤くなります</a:t>
          </a:r>
        </a:p>
      </xdr:txBody>
    </xdr:sp>
    <xdr:clientData fPrintsWithSheet="0"/>
  </xdr:twoCellAnchor>
  <xdr:twoCellAnchor>
    <xdr:from>
      <xdr:col>38</xdr:col>
      <xdr:colOff>15240</xdr:colOff>
      <xdr:row>22</xdr:row>
      <xdr:rowOff>144780</xdr:rowOff>
    </xdr:from>
    <xdr:to>
      <xdr:col>42</xdr:col>
      <xdr:colOff>15240</xdr:colOff>
      <xdr:row>36</xdr:row>
      <xdr:rowOff>7620</xdr:rowOff>
    </xdr:to>
    <xdr:sp macro="" textlink="">
      <xdr:nvSpPr>
        <xdr:cNvPr id="33" name="テキスト ボックス 32">
          <a:extLst>
            <a:ext uri="{FF2B5EF4-FFF2-40B4-BE49-F238E27FC236}">
              <a16:creationId xmlns:a16="http://schemas.microsoft.com/office/drawing/2014/main" id="{00000000-0008-0000-0100-000021000000}"/>
            </a:ext>
          </a:extLst>
        </xdr:cNvPr>
        <xdr:cNvSpPr txBox="1"/>
      </xdr:nvSpPr>
      <xdr:spPr>
        <a:xfrm>
          <a:off x="10902315" y="4411980"/>
          <a:ext cx="2057400" cy="22631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管理者の方へ</a:t>
          </a:r>
          <a:endParaRPr kumimoji="1" lang="en-US" altLang="ja-JP" sz="1100"/>
        </a:p>
        <a:p>
          <a:r>
            <a:rPr kumimoji="1" lang="en-US" altLang="ja-JP" sz="1100"/>
            <a:t>Time Pro</a:t>
          </a:r>
          <a:r>
            <a:rPr kumimoji="1" lang="ja-JP" altLang="en-US" sz="1100"/>
            <a:t>の入力が終わり、</a:t>
          </a:r>
          <a:endParaRPr kumimoji="1" lang="en-US" altLang="ja-JP" sz="1100"/>
        </a:p>
        <a:p>
          <a:r>
            <a:rPr kumimoji="1" lang="ja-JP" altLang="en-US" sz="1100"/>
            <a:t>勤務表へのコピペが終了したら、変更がされたセルの</a:t>
          </a:r>
          <a:endParaRPr kumimoji="1" lang="en-US" altLang="ja-JP" sz="1100"/>
        </a:p>
        <a:p>
          <a:r>
            <a:rPr kumimoji="1" lang="ja-JP" altLang="en-US" sz="1100"/>
            <a:t>値を元の数式に戻してください。</a:t>
          </a:r>
          <a:endParaRPr kumimoji="1" lang="en-US" altLang="ja-JP" sz="1100"/>
        </a:p>
        <a:p>
          <a:r>
            <a:rPr kumimoji="1" lang="ja-JP" altLang="en-US" sz="1100"/>
            <a:t>例</a:t>
          </a:r>
          <a:endParaRPr kumimoji="1" lang="en-US" altLang="ja-JP" sz="1100"/>
        </a:p>
        <a:p>
          <a:r>
            <a:rPr kumimoji="1" lang="en-US" altLang="ja-JP" sz="1100"/>
            <a:t>='</a:t>
          </a:r>
          <a:r>
            <a:rPr kumimoji="1" lang="ja-JP" altLang="en-US" sz="1100"/>
            <a:t>勤務表（参照用）</a:t>
          </a:r>
          <a:r>
            <a:rPr kumimoji="1" lang="en-US" altLang="ja-JP" sz="1100"/>
            <a:t>'!U10</a:t>
          </a:r>
        </a:p>
        <a:p>
          <a:r>
            <a:rPr kumimoji="1" lang="ja-JP" altLang="en-US" sz="1100"/>
            <a:t>（周囲の変更されていないセルの数式のコピぺ）</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2</xdr:col>
      <xdr:colOff>864870</xdr:colOff>
      <xdr:row>12</xdr:row>
      <xdr:rowOff>102870</xdr:rowOff>
    </xdr:from>
    <xdr:to>
      <xdr:col>33</xdr:col>
      <xdr:colOff>140970</xdr:colOff>
      <xdr:row>24</xdr:row>
      <xdr:rowOff>95250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579245" y="1884045"/>
          <a:ext cx="9048750" cy="1935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800">
              <a:solidFill>
                <a:srgbClr val="FF0000">
                  <a:alpha val="45000"/>
                </a:srgbClr>
              </a:solidFill>
            </a:rPr>
            <a:t>これは現在、</a:t>
          </a:r>
          <a:r>
            <a:rPr kumimoji="1" lang="en-US" altLang="ja-JP" sz="2800">
              <a:solidFill>
                <a:srgbClr val="FF0000">
                  <a:alpha val="45000"/>
                </a:srgbClr>
              </a:solidFill>
            </a:rPr>
            <a:t>Time</a:t>
          </a:r>
          <a:r>
            <a:rPr kumimoji="1" lang="ja-JP" altLang="en-US" sz="2800">
              <a:solidFill>
                <a:srgbClr val="FF0000">
                  <a:alpha val="45000"/>
                </a:srgbClr>
              </a:solidFill>
            </a:rPr>
            <a:t> </a:t>
          </a:r>
          <a:r>
            <a:rPr kumimoji="1" lang="en-US" altLang="ja-JP" sz="2800">
              <a:solidFill>
                <a:srgbClr val="FF0000">
                  <a:alpha val="45000"/>
                </a:srgbClr>
              </a:solidFill>
            </a:rPr>
            <a:t>Pro</a:t>
          </a:r>
          <a:r>
            <a:rPr kumimoji="1" lang="ja-JP" altLang="en-US" sz="2800">
              <a:solidFill>
                <a:srgbClr val="FF0000">
                  <a:alpha val="45000"/>
                </a:srgbClr>
              </a:solidFill>
            </a:rPr>
            <a:t>　に入力されている勤務表です。</a:t>
          </a:r>
          <a:endParaRPr kumimoji="1" lang="en-US" altLang="ja-JP" sz="2800">
            <a:solidFill>
              <a:srgbClr val="FF0000">
                <a:alpha val="45000"/>
              </a:srgbClr>
            </a:solidFill>
          </a:endParaRPr>
        </a:p>
        <a:p>
          <a:r>
            <a:rPr kumimoji="1" lang="ja-JP" altLang="en-US" sz="2800">
              <a:solidFill>
                <a:srgbClr val="FF0000">
                  <a:alpha val="45000"/>
                </a:srgbClr>
              </a:solidFill>
            </a:rPr>
            <a:t>ここを変更することは出来ません。</a:t>
          </a:r>
          <a:endParaRPr kumimoji="1" lang="en-US" altLang="ja-JP" sz="2800">
            <a:solidFill>
              <a:srgbClr val="FF0000">
                <a:alpha val="45000"/>
              </a:srgbClr>
            </a:solidFill>
          </a:endParaRPr>
        </a:p>
        <a:p>
          <a:endParaRPr kumimoji="1" lang="en-US" altLang="ja-JP" sz="2800">
            <a:solidFill>
              <a:srgbClr val="FF0000">
                <a:alpha val="45000"/>
              </a:srgbClr>
            </a:solidFill>
          </a:endParaRPr>
        </a:p>
        <a:p>
          <a:r>
            <a:rPr kumimoji="1" lang="ja-JP" altLang="en-US" sz="2800">
              <a:solidFill>
                <a:srgbClr val="FF0000">
                  <a:alpha val="45000"/>
                </a:srgbClr>
              </a:solidFill>
            </a:rPr>
            <a:t>変更申請は勤務変更のタブを開いて行って下さい。</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281940</xdr:colOff>
      <xdr:row>0</xdr:row>
      <xdr:rowOff>60960</xdr:rowOff>
    </xdr:from>
    <xdr:to>
      <xdr:col>4</xdr:col>
      <xdr:colOff>251460</xdr:colOff>
      <xdr:row>0</xdr:row>
      <xdr:rowOff>60960</xdr:rowOff>
    </xdr:to>
    <xdr:cxnSp macro="">
      <xdr:nvCxnSpPr>
        <xdr:cNvPr id="3" name="直線矢印コネクタ 2">
          <a:extLst>
            <a:ext uri="{FF2B5EF4-FFF2-40B4-BE49-F238E27FC236}">
              <a16:creationId xmlns:a16="http://schemas.microsoft.com/office/drawing/2014/main" id="{00000000-0008-0000-0300-000003000000}"/>
            </a:ext>
          </a:extLst>
        </xdr:cNvPr>
        <xdr:cNvCxnSpPr/>
      </xdr:nvCxnSpPr>
      <xdr:spPr>
        <a:xfrm flipH="1">
          <a:off x="1798320" y="60960"/>
          <a:ext cx="9829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312420</xdr:colOff>
      <xdr:row>6</xdr:row>
      <xdr:rowOff>15240</xdr:rowOff>
    </xdr:from>
    <xdr:to>
      <xdr:col>20</xdr:col>
      <xdr:colOff>388620</xdr:colOff>
      <xdr:row>14</xdr:row>
      <xdr:rowOff>38100</xdr:rowOff>
    </xdr:to>
    <xdr:sp macro="" textlink="">
      <xdr:nvSpPr>
        <xdr:cNvPr id="2" name="角丸四角形吹き出し 1">
          <a:extLst>
            <a:ext uri="{FF2B5EF4-FFF2-40B4-BE49-F238E27FC236}">
              <a16:creationId xmlns:a16="http://schemas.microsoft.com/office/drawing/2014/main" id="{00000000-0008-0000-0300-000002000000}"/>
            </a:ext>
          </a:extLst>
        </xdr:cNvPr>
        <xdr:cNvSpPr/>
      </xdr:nvSpPr>
      <xdr:spPr>
        <a:xfrm>
          <a:off x="10149840" y="1196340"/>
          <a:ext cx="1905000" cy="1363980"/>
        </a:xfrm>
        <a:prstGeom prst="wedgeRoundRectCallout">
          <a:avLst>
            <a:gd name="adj1" fmla="val -65479"/>
            <a:gd name="adj2" fmla="val 238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chemeClr val="bg1"/>
              </a:solidFill>
            </a:rPr>
            <a:t>勤怠区分、出勤例外は既に</a:t>
          </a:r>
          <a:r>
            <a:rPr kumimoji="1" lang="en-US" altLang="ja-JP" sz="1100" b="1">
              <a:solidFill>
                <a:schemeClr val="bg1"/>
              </a:solidFill>
            </a:rPr>
            <a:t>Time</a:t>
          </a:r>
          <a:r>
            <a:rPr kumimoji="1" lang="ja-JP" altLang="en-US" sz="1100" b="1">
              <a:solidFill>
                <a:schemeClr val="bg1"/>
              </a:solidFill>
            </a:rPr>
            <a:t> </a:t>
          </a:r>
          <a:r>
            <a:rPr kumimoji="1" lang="en-US" altLang="ja-JP" sz="1100" b="1">
              <a:solidFill>
                <a:schemeClr val="bg1"/>
              </a:solidFill>
            </a:rPr>
            <a:t>Pro</a:t>
          </a:r>
          <a:r>
            <a:rPr kumimoji="1" lang="ja-JP" altLang="en-US" sz="1100" b="1">
              <a:solidFill>
                <a:schemeClr val="bg1"/>
              </a:solidFill>
            </a:rPr>
            <a:t>に入力されているものが表示されますが、土曜日が明の場合退勤例外が指定</a:t>
          </a:r>
          <a:r>
            <a:rPr kumimoji="1" lang="en-US" altLang="ja-JP" sz="1100" b="1">
              <a:solidFill>
                <a:schemeClr val="bg1"/>
              </a:solidFill>
            </a:rPr>
            <a:t>PM</a:t>
          </a:r>
          <a:r>
            <a:rPr kumimoji="1" lang="ja-JP" altLang="en-US" sz="1100" b="1">
              <a:solidFill>
                <a:schemeClr val="bg1"/>
              </a:solidFill>
            </a:rPr>
            <a:t>に置き換わります。注意してください。</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20013;&#22830;&#25918;&#23556;&#32218;&#37096;3/Documents/oku/&#21220;&#21209;&#34920;/&#21220;&#21209;&#34920;(2021-0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20013;&#22830;&#25918;&#23556;&#32218;&#37096;3/Documents/oku/&#21220;&#21209;&#34920;/&#21220;&#21209;&#34920;(2019-11).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user\Desktop\shift_app\shift_manager\&#21220;&#21209;&#34920;(&#23455;&#39443;&#65289;.xlsx" TargetMode="External"/><Relationship Id="rId1" Type="http://schemas.openxmlformats.org/officeDocument/2006/relationships/externalLinkPath" Target="&#21220;&#21209;&#34920;(&#23455;&#39443;&#65289;.xlsx"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21220;&#21209;&#34920;%20(&#21442;&#29031;&#29992;)"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デイリーデータ"/>
      <sheetName val="宅直データ "/>
      <sheetName val="デイリーデータ (2)"/>
      <sheetName val="宅直データ (２)"/>
      <sheetName val="拘束担当依頼表"/>
      <sheetName val="スタッフ"/>
      <sheetName val="勤務表"/>
      <sheetName val="当"/>
      <sheetName val="明"/>
      <sheetName val="●"/>
      <sheetName val="午前半"/>
      <sheetName val="日勤"/>
      <sheetName val="例外"/>
      <sheetName val="勤務表 (2)"/>
      <sheetName val="拘"/>
      <sheetName val="月表示"/>
      <sheetName val="拘束者"/>
      <sheetName val="管理課提出用データ"/>
      <sheetName val="らいふクリニック"/>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デイリーデータ"/>
      <sheetName val="宅直データ "/>
      <sheetName val="デイリーデータ (2)"/>
      <sheetName val="宅直データ (２)"/>
      <sheetName val="スタッフ"/>
      <sheetName val="勤務表"/>
      <sheetName val="当"/>
      <sheetName val="明"/>
      <sheetName val="●"/>
      <sheetName val="午前半"/>
      <sheetName val="日勤"/>
      <sheetName val="例外"/>
      <sheetName val="勤務表 (2)"/>
      <sheetName val="拘"/>
      <sheetName val="月表示"/>
      <sheetName val="拘束者"/>
      <sheetName val="管理課提出用データ"/>
      <sheetName val="らいふクリニック"/>
    </sheetNames>
    <sheetDataSet>
      <sheetData sheetId="0"/>
      <sheetData sheetId="1"/>
      <sheetData sheetId="2">
        <row r="1">
          <cell r="A1" t="str">
            <v>個人ｺｰﾄﾞ処理日</v>
          </cell>
          <cell r="B1" t="str">
            <v>個人ｺｰﾄﾞ</v>
          </cell>
          <cell r="C1" t="str">
            <v>個人ｺｰﾄﾞ</v>
          </cell>
          <cell r="D1" t="str">
            <v>勤務日</v>
          </cell>
          <cell r="E1" t="str">
            <v>記号</v>
          </cell>
          <cell r="F1" t="str">
            <v>その他</v>
          </cell>
          <cell r="G1" t="str">
            <v>スタッフ</v>
          </cell>
        </row>
        <row r="2">
          <cell r="A2" t="str">
            <v>2470743770</v>
          </cell>
          <cell r="B2" t="str">
            <v>24707</v>
          </cell>
          <cell r="C2" t="str">
            <v>宮崎 滋夫</v>
          </cell>
          <cell r="D2">
            <v>43770</v>
          </cell>
          <cell r="E2" t="str">
            <v/>
          </cell>
          <cell r="F2" t="str">
            <v>夏季</v>
          </cell>
          <cell r="G2">
            <v>1</v>
          </cell>
        </row>
        <row r="3">
          <cell r="A3" t="str">
            <v>2470743771</v>
          </cell>
          <cell r="B3" t="str">
            <v>24707</v>
          </cell>
          <cell r="C3" t="str">
            <v>宮崎 滋夫</v>
          </cell>
          <cell r="D3">
            <v>43771</v>
          </cell>
          <cell r="E3" t="str">
            <v>○</v>
          </cell>
          <cell r="F3" t="str">
            <v/>
          </cell>
          <cell r="G3" t="str">
            <v/>
          </cell>
        </row>
        <row r="4">
          <cell r="A4" t="str">
            <v>2470743772</v>
          </cell>
          <cell r="B4" t="str">
            <v>24707</v>
          </cell>
          <cell r="C4" t="str">
            <v>宮崎 滋夫</v>
          </cell>
          <cell r="D4">
            <v>43772</v>
          </cell>
          <cell r="E4" t="str">
            <v>●</v>
          </cell>
          <cell r="F4" t="str">
            <v/>
          </cell>
          <cell r="G4" t="str">
            <v/>
          </cell>
        </row>
        <row r="5">
          <cell r="A5" t="str">
            <v>2470743773</v>
          </cell>
          <cell r="B5" t="str">
            <v>24707</v>
          </cell>
          <cell r="C5" t="str">
            <v>宮崎 滋夫</v>
          </cell>
          <cell r="D5">
            <v>43773</v>
          </cell>
          <cell r="E5" t="str">
            <v>●</v>
          </cell>
          <cell r="F5" t="str">
            <v/>
          </cell>
          <cell r="G5" t="str">
            <v/>
          </cell>
        </row>
        <row r="6">
          <cell r="A6" t="str">
            <v>2470743774</v>
          </cell>
          <cell r="B6" t="str">
            <v>24707</v>
          </cell>
          <cell r="C6" t="str">
            <v>宮崎 滋夫</v>
          </cell>
          <cell r="D6">
            <v>43774</v>
          </cell>
          <cell r="E6" t="str">
            <v/>
          </cell>
          <cell r="F6" t="str">
            <v/>
          </cell>
          <cell r="G6" t="str">
            <v/>
          </cell>
        </row>
        <row r="7">
          <cell r="A7" t="str">
            <v>2470743775</v>
          </cell>
          <cell r="B7" t="str">
            <v>24707</v>
          </cell>
          <cell r="C7" t="str">
            <v>宮崎 滋夫</v>
          </cell>
          <cell r="D7">
            <v>43775</v>
          </cell>
          <cell r="E7" t="str">
            <v/>
          </cell>
          <cell r="F7" t="str">
            <v/>
          </cell>
          <cell r="G7" t="str">
            <v/>
          </cell>
        </row>
        <row r="8">
          <cell r="A8" t="str">
            <v>2470743776</v>
          </cell>
          <cell r="B8" t="str">
            <v>24707</v>
          </cell>
          <cell r="C8" t="str">
            <v>宮崎 滋夫</v>
          </cell>
          <cell r="D8">
            <v>43776</v>
          </cell>
          <cell r="E8" t="str">
            <v/>
          </cell>
          <cell r="F8" t="str">
            <v/>
          </cell>
          <cell r="G8" t="str">
            <v/>
          </cell>
        </row>
        <row r="9">
          <cell r="A9" t="str">
            <v>2470743777</v>
          </cell>
          <cell r="B9" t="str">
            <v>24707</v>
          </cell>
          <cell r="C9" t="str">
            <v>宮崎 滋夫</v>
          </cell>
          <cell r="D9">
            <v>43777</v>
          </cell>
          <cell r="E9" t="str">
            <v/>
          </cell>
          <cell r="F9" t="str">
            <v/>
          </cell>
          <cell r="G9" t="str">
            <v/>
          </cell>
        </row>
        <row r="10">
          <cell r="A10" t="str">
            <v>2470743778</v>
          </cell>
          <cell r="B10" t="str">
            <v>24707</v>
          </cell>
          <cell r="C10" t="str">
            <v>宮崎 滋夫</v>
          </cell>
          <cell r="D10">
            <v>43778</v>
          </cell>
          <cell r="E10" t="str">
            <v>／</v>
          </cell>
          <cell r="F10" t="str">
            <v/>
          </cell>
          <cell r="G10" t="str">
            <v/>
          </cell>
        </row>
        <row r="11">
          <cell r="A11" t="str">
            <v>2470743779</v>
          </cell>
          <cell r="B11" t="str">
            <v>24707</v>
          </cell>
          <cell r="C11" t="str">
            <v>宮崎 滋夫</v>
          </cell>
          <cell r="D11">
            <v>43779</v>
          </cell>
          <cell r="E11" t="str">
            <v>●</v>
          </cell>
          <cell r="F11" t="str">
            <v/>
          </cell>
          <cell r="G11" t="str">
            <v/>
          </cell>
        </row>
        <row r="12">
          <cell r="A12" t="str">
            <v>2470743780</v>
          </cell>
          <cell r="B12" t="str">
            <v>24707</v>
          </cell>
          <cell r="C12" t="str">
            <v>宮崎 滋夫</v>
          </cell>
          <cell r="D12">
            <v>43780</v>
          </cell>
          <cell r="E12" t="str">
            <v/>
          </cell>
          <cell r="F12" t="str">
            <v/>
          </cell>
          <cell r="G12" t="str">
            <v/>
          </cell>
        </row>
        <row r="13">
          <cell r="A13" t="str">
            <v>2470743781</v>
          </cell>
          <cell r="B13" t="str">
            <v>24707</v>
          </cell>
          <cell r="C13" t="str">
            <v>宮崎 滋夫</v>
          </cell>
          <cell r="D13">
            <v>43781</v>
          </cell>
          <cell r="E13" t="str">
            <v/>
          </cell>
          <cell r="F13" t="str">
            <v/>
          </cell>
          <cell r="G13" t="str">
            <v/>
          </cell>
        </row>
        <row r="14">
          <cell r="A14" t="str">
            <v>2470743782</v>
          </cell>
          <cell r="B14" t="str">
            <v>24707</v>
          </cell>
          <cell r="C14" t="str">
            <v>宮崎 滋夫</v>
          </cell>
          <cell r="D14">
            <v>43782</v>
          </cell>
          <cell r="E14" t="str">
            <v/>
          </cell>
          <cell r="F14" t="str">
            <v/>
          </cell>
          <cell r="G14" t="str">
            <v/>
          </cell>
        </row>
        <row r="15">
          <cell r="A15" t="str">
            <v>2470743783</v>
          </cell>
          <cell r="B15" t="str">
            <v>24707</v>
          </cell>
          <cell r="C15" t="str">
            <v>宮崎 滋夫</v>
          </cell>
          <cell r="D15">
            <v>43783</v>
          </cell>
          <cell r="E15" t="str">
            <v/>
          </cell>
          <cell r="F15" t="str">
            <v/>
          </cell>
          <cell r="G15" t="str">
            <v/>
          </cell>
        </row>
        <row r="16">
          <cell r="A16" t="str">
            <v>2470743784</v>
          </cell>
          <cell r="B16" t="str">
            <v>24707</v>
          </cell>
          <cell r="C16" t="str">
            <v>宮崎 滋夫</v>
          </cell>
          <cell r="D16">
            <v>43784</v>
          </cell>
          <cell r="E16" t="str">
            <v/>
          </cell>
          <cell r="F16" t="str">
            <v/>
          </cell>
          <cell r="G16" t="str">
            <v/>
          </cell>
        </row>
        <row r="17">
          <cell r="A17" t="str">
            <v>2470743785</v>
          </cell>
          <cell r="B17" t="str">
            <v>24707</v>
          </cell>
          <cell r="C17" t="str">
            <v>宮崎 滋夫</v>
          </cell>
          <cell r="D17">
            <v>43785</v>
          </cell>
          <cell r="E17" t="str">
            <v>○</v>
          </cell>
          <cell r="F17" t="str">
            <v/>
          </cell>
          <cell r="G17" t="str">
            <v/>
          </cell>
        </row>
        <row r="18">
          <cell r="A18" t="str">
            <v>2470743786</v>
          </cell>
          <cell r="B18" t="str">
            <v>24707</v>
          </cell>
          <cell r="C18" t="str">
            <v>宮崎 滋夫</v>
          </cell>
          <cell r="D18">
            <v>43786</v>
          </cell>
          <cell r="E18" t="str">
            <v>●</v>
          </cell>
          <cell r="F18" t="str">
            <v/>
          </cell>
          <cell r="G18" t="str">
            <v/>
          </cell>
        </row>
        <row r="19">
          <cell r="A19" t="str">
            <v>2470743787</v>
          </cell>
          <cell r="B19" t="str">
            <v>24707</v>
          </cell>
          <cell r="C19" t="str">
            <v>宮崎 滋夫</v>
          </cell>
          <cell r="D19">
            <v>43787</v>
          </cell>
          <cell r="E19" t="str">
            <v/>
          </cell>
          <cell r="F19" t="str">
            <v/>
          </cell>
          <cell r="G19" t="str">
            <v/>
          </cell>
        </row>
        <row r="20">
          <cell r="A20" t="str">
            <v>2470743788</v>
          </cell>
          <cell r="B20" t="str">
            <v>24707</v>
          </cell>
          <cell r="C20" t="str">
            <v>宮崎 滋夫</v>
          </cell>
          <cell r="D20">
            <v>43788</v>
          </cell>
          <cell r="E20" t="str">
            <v/>
          </cell>
          <cell r="F20" t="str">
            <v/>
          </cell>
          <cell r="G20" t="str">
            <v/>
          </cell>
        </row>
        <row r="21">
          <cell r="A21" t="str">
            <v>2470743789</v>
          </cell>
          <cell r="B21" t="str">
            <v>24707</v>
          </cell>
          <cell r="C21" t="str">
            <v>宮崎 滋夫</v>
          </cell>
          <cell r="D21">
            <v>43789</v>
          </cell>
          <cell r="E21" t="str">
            <v/>
          </cell>
          <cell r="F21" t="str">
            <v/>
          </cell>
          <cell r="G21" t="str">
            <v/>
          </cell>
        </row>
        <row r="22">
          <cell r="A22" t="str">
            <v>2470743790</v>
          </cell>
          <cell r="B22" t="str">
            <v>24707</v>
          </cell>
          <cell r="C22" t="str">
            <v>宮崎 滋夫</v>
          </cell>
          <cell r="D22">
            <v>43790</v>
          </cell>
          <cell r="E22" t="str">
            <v/>
          </cell>
          <cell r="F22" t="str">
            <v/>
          </cell>
          <cell r="G22" t="str">
            <v/>
          </cell>
        </row>
        <row r="23">
          <cell r="A23" t="str">
            <v>2470743791</v>
          </cell>
          <cell r="B23" t="str">
            <v>24707</v>
          </cell>
          <cell r="C23" t="str">
            <v>宮崎 滋夫</v>
          </cell>
          <cell r="D23">
            <v>43791</v>
          </cell>
          <cell r="E23" t="str">
            <v/>
          </cell>
          <cell r="F23" t="str">
            <v/>
          </cell>
          <cell r="G23" t="str">
            <v/>
          </cell>
        </row>
        <row r="24">
          <cell r="A24" t="str">
            <v>2470743792</v>
          </cell>
          <cell r="B24" t="str">
            <v>24707</v>
          </cell>
          <cell r="C24" t="str">
            <v>宮崎 滋夫</v>
          </cell>
          <cell r="D24">
            <v>43792</v>
          </cell>
          <cell r="E24" t="str">
            <v>●</v>
          </cell>
          <cell r="F24" t="str">
            <v/>
          </cell>
          <cell r="G24" t="str">
            <v/>
          </cell>
        </row>
        <row r="25">
          <cell r="A25" t="str">
            <v>2470743793</v>
          </cell>
          <cell r="B25" t="str">
            <v>24707</v>
          </cell>
          <cell r="C25" t="str">
            <v>宮崎 滋夫</v>
          </cell>
          <cell r="D25">
            <v>43793</v>
          </cell>
          <cell r="E25" t="str">
            <v>●</v>
          </cell>
          <cell r="F25" t="str">
            <v/>
          </cell>
          <cell r="G25" t="str">
            <v/>
          </cell>
        </row>
        <row r="26">
          <cell r="A26" t="str">
            <v>2470743794</v>
          </cell>
          <cell r="B26" t="str">
            <v>24707</v>
          </cell>
          <cell r="C26" t="str">
            <v>宮崎 滋夫</v>
          </cell>
          <cell r="D26">
            <v>43794</v>
          </cell>
          <cell r="E26" t="str">
            <v/>
          </cell>
          <cell r="F26" t="str">
            <v/>
          </cell>
          <cell r="G26" t="str">
            <v/>
          </cell>
        </row>
        <row r="27">
          <cell r="A27" t="str">
            <v>2470743795</v>
          </cell>
          <cell r="B27" t="str">
            <v>24707</v>
          </cell>
          <cell r="C27" t="str">
            <v>宮崎 滋夫</v>
          </cell>
          <cell r="D27">
            <v>43795</v>
          </cell>
          <cell r="E27" t="str">
            <v/>
          </cell>
          <cell r="F27" t="str">
            <v/>
          </cell>
          <cell r="G27" t="str">
            <v/>
          </cell>
        </row>
        <row r="28">
          <cell r="A28" t="str">
            <v>2470743796</v>
          </cell>
          <cell r="B28" t="str">
            <v>24707</v>
          </cell>
          <cell r="C28" t="str">
            <v>宮崎 滋夫</v>
          </cell>
          <cell r="D28">
            <v>43796</v>
          </cell>
          <cell r="E28" t="str">
            <v/>
          </cell>
          <cell r="F28" t="str">
            <v/>
          </cell>
          <cell r="G28" t="str">
            <v/>
          </cell>
        </row>
        <row r="29">
          <cell r="A29" t="str">
            <v>2470743797</v>
          </cell>
          <cell r="B29" t="str">
            <v>24707</v>
          </cell>
          <cell r="C29" t="str">
            <v>宮崎 滋夫</v>
          </cell>
          <cell r="D29">
            <v>43797</v>
          </cell>
          <cell r="E29" t="str">
            <v/>
          </cell>
          <cell r="F29" t="str">
            <v/>
          </cell>
          <cell r="G29" t="str">
            <v/>
          </cell>
        </row>
        <row r="30">
          <cell r="A30" t="str">
            <v>2470743798</v>
          </cell>
          <cell r="B30" t="str">
            <v>24707</v>
          </cell>
          <cell r="C30" t="str">
            <v>宮崎 滋夫</v>
          </cell>
          <cell r="D30">
            <v>43798</v>
          </cell>
          <cell r="E30" t="str">
            <v/>
          </cell>
          <cell r="F30" t="str">
            <v/>
          </cell>
          <cell r="G30" t="str">
            <v/>
          </cell>
        </row>
        <row r="31">
          <cell r="A31" t="str">
            <v>2470743799</v>
          </cell>
          <cell r="B31" t="str">
            <v>24707</v>
          </cell>
          <cell r="C31" t="str">
            <v>宮崎 滋夫</v>
          </cell>
          <cell r="D31">
            <v>43799</v>
          </cell>
          <cell r="E31" t="str">
            <v>○</v>
          </cell>
          <cell r="F31" t="str">
            <v/>
          </cell>
          <cell r="G31" t="str">
            <v/>
          </cell>
        </row>
        <row r="32">
          <cell r="A32" t="str">
            <v>2798143770</v>
          </cell>
          <cell r="B32" t="str">
            <v>27981</v>
          </cell>
          <cell r="C32" t="str">
            <v>奥 朋和</v>
          </cell>
          <cell r="D32">
            <v>43770</v>
          </cell>
          <cell r="E32" t="str">
            <v/>
          </cell>
          <cell r="F32" t="str">
            <v/>
          </cell>
          <cell r="G32">
            <v>2</v>
          </cell>
        </row>
        <row r="33">
          <cell r="A33" t="str">
            <v>2798143771</v>
          </cell>
          <cell r="B33" t="str">
            <v>27981</v>
          </cell>
          <cell r="C33" t="str">
            <v>奥 朋和</v>
          </cell>
          <cell r="D33">
            <v>43771</v>
          </cell>
          <cell r="E33" t="str">
            <v>／</v>
          </cell>
          <cell r="F33" t="str">
            <v/>
          </cell>
          <cell r="G33" t="str">
            <v/>
          </cell>
        </row>
        <row r="34">
          <cell r="A34" t="str">
            <v>2798143772</v>
          </cell>
          <cell r="B34" t="str">
            <v>27981</v>
          </cell>
          <cell r="C34" t="str">
            <v>奥 朋和</v>
          </cell>
          <cell r="D34">
            <v>43772</v>
          </cell>
          <cell r="E34" t="str">
            <v>●</v>
          </cell>
          <cell r="F34" t="str">
            <v/>
          </cell>
          <cell r="G34" t="str">
            <v/>
          </cell>
        </row>
        <row r="35">
          <cell r="A35" t="str">
            <v>2798143773</v>
          </cell>
          <cell r="B35" t="str">
            <v>27981</v>
          </cell>
          <cell r="C35" t="str">
            <v>奥 朋和</v>
          </cell>
          <cell r="D35">
            <v>43773</v>
          </cell>
          <cell r="E35" t="str">
            <v>●</v>
          </cell>
          <cell r="F35" t="str">
            <v/>
          </cell>
          <cell r="G35" t="str">
            <v/>
          </cell>
        </row>
        <row r="36">
          <cell r="A36" t="str">
            <v>2798143774</v>
          </cell>
          <cell r="B36" t="str">
            <v>27981</v>
          </cell>
          <cell r="C36" t="str">
            <v>奥 朋和</v>
          </cell>
          <cell r="D36">
            <v>43774</v>
          </cell>
          <cell r="E36" t="str">
            <v/>
          </cell>
          <cell r="F36" t="str">
            <v/>
          </cell>
          <cell r="G36" t="str">
            <v/>
          </cell>
        </row>
        <row r="37">
          <cell r="A37" t="str">
            <v>2798143775</v>
          </cell>
          <cell r="B37" t="str">
            <v>27981</v>
          </cell>
          <cell r="C37" t="str">
            <v>奥 朋和</v>
          </cell>
          <cell r="D37">
            <v>43775</v>
          </cell>
          <cell r="E37" t="str">
            <v/>
          </cell>
          <cell r="F37" t="str">
            <v/>
          </cell>
          <cell r="G37" t="str">
            <v/>
          </cell>
        </row>
        <row r="38">
          <cell r="A38" t="str">
            <v>2798143776</v>
          </cell>
          <cell r="B38" t="str">
            <v>27981</v>
          </cell>
          <cell r="C38" t="str">
            <v>奥 朋和</v>
          </cell>
          <cell r="D38">
            <v>43776</v>
          </cell>
          <cell r="E38" t="str">
            <v/>
          </cell>
          <cell r="F38" t="str">
            <v/>
          </cell>
          <cell r="G38" t="str">
            <v/>
          </cell>
        </row>
        <row r="39">
          <cell r="A39" t="str">
            <v>2798143777</v>
          </cell>
          <cell r="B39" t="str">
            <v>27981</v>
          </cell>
          <cell r="C39" t="str">
            <v>奥 朋和</v>
          </cell>
          <cell r="D39">
            <v>43777</v>
          </cell>
          <cell r="E39" t="str">
            <v/>
          </cell>
          <cell r="F39" t="str">
            <v>年AM指PM</v>
          </cell>
          <cell r="G39" t="str">
            <v/>
          </cell>
        </row>
        <row r="40">
          <cell r="A40" t="str">
            <v>2798143778</v>
          </cell>
          <cell r="B40" t="str">
            <v>27981</v>
          </cell>
          <cell r="C40" t="str">
            <v>奥 朋和</v>
          </cell>
          <cell r="D40">
            <v>43778</v>
          </cell>
          <cell r="E40" t="str">
            <v>○</v>
          </cell>
          <cell r="F40" t="str">
            <v/>
          </cell>
          <cell r="G40" t="str">
            <v/>
          </cell>
        </row>
        <row r="41">
          <cell r="A41" t="str">
            <v>2798143779</v>
          </cell>
          <cell r="B41" t="str">
            <v>27981</v>
          </cell>
          <cell r="C41" t="str">
            <v>奥 朋和</v>
          </cell>
          <cell r="D41">
            <v>43779</v>
          </cell>
          <cell r="E41" t="str">
            <v>●</v>
          </cell>
          <cell r="F41" t="str">
            <v/>
          </cell>
          <cell r="G41" t="str">
            <v/>
          </cell>
        </row>
        <row r="42">
          <cell r="A42" t="str">
            <v>2798143780</v>
          </cell>
          <cell r="B42" t="str">
            <v>27981</v>
          </cell>
          <cell r="C42" t="str">
            <v>奥 朋和</v>
          </cell>
          <cell r="D42">
            <v>43780</v>
          </cell>
          <cell r="E42" t="str">
            <v/>
          </cell>
          <cell r="F42" t="str">
            <v/>
          </cell>
          <cell r="G42" t="str">
            <v/>
          </cell>
        </row>
        <row r="43">
          <cell r="A43" t="str">
            <v>2798143781</v>
          </cell>
          <cell r="B43" t="str">
            <v>27981</v>
          </cell>
          <cell r="C43" t="str">
            <v>奥 朋和</v>
          </cell>
          <cell r="D43">
            <v>43781</v>
          </cell>
          <cell r="E43" t="str">
            <v/>
          </cell>
          <cell r="F43" t="str">
            <v/>
          </cell>
          <cell r="G43" t="str">
            <v/>
          </cell>
        </row>
        <row r="44">
          <cell r="A44" t="str">
            <v>2798143782</v>
          </cell>
          <cell r="B44" t="str">
            <v>27981</v>
          </cell>
          <cell r="C44" t="str">
            <v>奥 朋和</v>
          </cell>
          <cell r="D44">
            <v>43782</v>
          </cell>
          <cell r="E44" t="str">
            <v/>
          </cell>
          <cell r="F44" t="str">
            <v/>
          </cell>
          <cell r="G44" t="str">
            <v/>
          </cell>
        </row>
        <row r="45">
          <cell r="A45" t="str">
            <v>2798143783</v>
          </cell>
          <cell r="B45" t="str">
            <v>27981</v>
          </cell>
          <cell r="C45" t="str">
            <v>奥 朋和</v>
          </cell>
          <cell r="D45">
            <v>43783</v>
          </cell>
          <cell r="E45" t="str">
            <v/>
          </cell>
          <cell r="F45" t="str">
            <v/>
          </cell>
          <cell r="G45" t="str">
            <v/>
          </cell>
        </row>
        <row r="46">
          <cell r="A46" t="str">
            <v>2798143784</v>
          </cell>
          <cell r="B46" t="str">
            <v>27981</v>
          </cell>
          <cell r="C46" t="str">
            <v>奥 朋和</v>
          </cell>
          <cell r="D46">
            <v>43784</v>
          </cell>
          <cell r="E46" t="str">
            <v/>
          </cell>
          <cell r="F46" t="str">
            <v/>
          </cell>
          <cell r="G46" t="str">
            <v/>
          </cell>
        </row>
        <row r="47">
          <cell r="A47" t="str">
            <v>2798143785</v>
          </cell>
          <cell r="B47" t="str">
            <v>27981</v>
          </cell>
          <cell r="C47" t="str">
            <v>奥 朋和</v>
          </cell>
          <cell r="D47">
            <v>43785</v>
          </cell>
          <cell r="E47" t="str">
            <v>／</v>
          </cell>
          <cell r="F47" t="str">
            <v/>
          </cell>
          <cell r="G47" t="str">
            <v/>
          </cell>
        </row>
        <row r="48">
          <cell r="A48" t="str">
            <v>2798143786</v>
          </cell>
          <cell r="B48" t="str">
            <v>27981</v>
          </cell>
          <cell r="C48" t="str">
            <v>奥 朋和</v>
          </cell>
          <cell r="D48">
            <v>43786</v>
          </cell>
          <cell r="E48" t="str">
            <v>●</v>
          </cell>
          <cell r="F48" t="str">
            <v/>
          </cell>
          <cell r="G48" t="str">
            <v/>
          </cell>
        </row>
        <row r="49">
          <cell r="A49" t="str">
            <v>2798143787</v>
          </cell>
          <cell r="B49" t="str">
            <v>27981</v>
          </cell>
          <cell r="C49" t="str">
            <v>奥 朋和</v>
          </cell>
          <cell r="D49">
            <v>43787</v>
          </cell>
          <cell r="E49" t="str">
            <v/>
          </cell>
          <cell r="F49" t="str">
            <v/>
          </cell>
          <cell r="G49" t="str">
            <v/>
          </cell>
        </row>
        <row r="50">
          <cell r="A50" t="str">
            <v>2798143788</v>
          </cell>
          <cell r="B50" t="str">
            <v>27981</v>
          </cell>
          <cell r="C50" t="str">
            <v>奥 朋和</v>
          </cell>
          <cell r="D50">
            <v>43788</v>
          </cell>
          <cell r="E50" t="str">
            <v/>
          </cell>
          <cell r="F50" t="str">
            <v/>
          </cell>
          <cell r="G50" t="str">
            <v/>
          </cell>
        </row>
        <row r="51">
          <cell r="A51" t="str">
            <v>2798143789</v>
          </cell>
          <cell r="B51" t="str">
            <v>27981</v>
          </cell>
          <cell r="C51" t="str">
            <v>奥 朋和</v>
          </cell>
          <cell r="D51">
            <v>43789</v>
          </cell>
          <cell r="E51" t="str">
            <v/>
          </cell>
          <cell r="F51" t="str">
            <v/>
          </cell>
          <cell r="G51" t="str">
            <v/>
          </cell>
        </row>
        <row r="52">
          <cell r="A52" t="str">
            <v>2798143790</v>
          </cell>
          <cell r="B52" t="str">
            <v>27981</v>
          </cell>
          <cell r="C52" t="str">
            <v>奥 朋和</v>
          </cell>
          <cell r="D52">
            <v>43790</v>
          </cell>
          <cell r="E52" t="str">
            <v/>
          </cell>
          <cell r="F52" t="str">
            <v/>
          </cell>
          <cell r="G52" t="str">
            <v/>
          </cell>
        </row>
        <row r="53">
          <cell r="A53" t="str">
            <v>2798143791</v>
          </cell>
          <cell r="B53" t="str">
            <v>27981</v>
          </cell>
          <cell r="C53" t="str">
            <v>奥 朋和</v>
          </cell>
          <cell r="D53">
            <v>43791</v>
          </cell>
          <cell r="E53" t="str">
            <v/>
          </cell>
          <cell r="F53" t="str">
            <v/>
          </cell>
          <cell r="G53" t="str">
            <v/>
          </cell>
        </row>
        <row r="54">
          <cell r="A54" t="str">
            <v>2798143792</v>
          </cell>
          <cell r="B54" t="str">
            <v>27981</v>
          </cell>
          <cell r="C54" t="str">
            <v>奥 朋和</v>
          </cell>
          <cell r="D54">
            <v>43792</v>
          </cell>
          <cell r="E54" t="str">
            <v>●</v>
          </cell>
          <cell r="F54" t="str">
            <v/>
          </cell>
          <cell r="G54" t="str">
            <v/>
          </cell>
        </row>
        <row r="55">
          <cell r="A55" t="str">
            <v>2798143793</v>
          </cell>
          <cell r="B55" t="str">
            <v>27981</v>
          </cell>
          <cell r="C55" t="str">
            <v>奥 朋和</v>
          </cell>
          <cell r="D55">
            <v>43793</v>
          </cell>
          <cell r="E55" t="str">
            <v>●</v>
          </cell>
          <cell r="F55" t="str">
            <v/>
          </cell>
          <cell r="G55" t="str">
            <v/>
          </cell>
        </row>
        <row r="56">
          <cell r="A56" t="str">
            <v>2798143794</v>
          </cell>
          <cell r="B56" t="str">
            <v>27981</v>
          </cell>
          <cell r="C56" t="str">
            <v>奥 朋和</v>
          </cell>
          <cell r="D56">
            <v>43794</v>
          </cell>
          <cell r="E56" t="str">
            <v/>
          </cell>
          <cell r="F56" t="str">
            <v/>
          </cell>
          <cell r="G56" t="str">
            <v/>
          </cell>
        </row>
        <row r="57">
          <cell r="A57" t="str">
            <v>2798143795</v>
          </cell>
          <cell r="B57" t="str">
            <v>27981</v>
          </cell>
          <cell r="C57" t="str">
            <v>奥 朋和</v>
          </cell>
          <cell r="D57">
            <v>43795</v>
          </cell>
          <cell r="E57" t="str">
            <v/>
          </cell>
          <cell r="F57" t="str">
            <v/>
          </cell>
          <cell r="G57" t="str">
            <v/>
          </cell>
        </row>
        <row r="58">
          <cell r="A58" t="str">
            <v>2798143796</v>
          </cell>
          <cell r="B58" t="str">
            <v>27981</v>
          </cell>
          <cell r="C58" t="str">
            <v>奥 朋和</v>
          </cell>
          <cell r="D58">
            <v>43796</v>
          </cell>
          <cell r="E58" t="str">
            <v/>
          </cell>
          <cell r="F58" t="str">
            <v/>
          </cell>
          <cell r="G58" t="str">
            <v/>
          </cell>
        </row>
        <row r="59">
          <cell r="A59" t="str">
            <v>2798143797</v>
          </cell>
          <cell r="B59" t="str">
            <v>27981</v>
          </cell>
          <cell r="C59" t="str">
            <v>奥 朋和</v>
          </cell>
          <cell r="D59">
            <v>43797</v>
          </cell>
          <cell r="E59" t="str">
            <v/>
          </cell>
          <cell r="F59" t="str">
            <v/>
          </cell>
          <cell r="G59" t="str">
            <v/>
          </cell>
        </row>
        <row r="60">
          <cell r="A60" t="str">
            <v>2798143798</v>
          </cell>
          <cell r="B60" t="str">
            <v>27981</v>
          </cell>
          <cell r="C60" t="str">
            <v>奥 朋和</v>
          </cell>
          <cell r="D60">
            <v>43798</v>
          </cell>
          <cell r="E60" t="str">
            <v/>
          </cell>
          <cell r="F60" t="str">
            <v/>
          </cell>
          <cell r="G60" t="str">
            <v/>
          </cell>
        </row>
        <row r="61">
          <cell r="A61" t="str">
            <v>2798143799</v>
          </cell>
          <cell r="B61" t="str">
            <v>27981</v>
          </cell>
          <cell r="C61" t="str">
            <v>奥 朋和</v>
          </cell>
          <cell r="D61">
            <v>43799</v>
          </cell>
          <cell r="E61" t="str">
            <v>／</v>
          </cell>
          <cell r="F61" t="str">
            <v/>
          </cell>
          <cell r="G61" t="str">
            <v/>
          </cell>
        </row>
        <row r="62">
          <cell r="A62" t="str">
            <v>3566543770</v>
          </cell>
          <cell r="B62" t="str">
            <v>35665</v>
          </cell>
          <cell r="C62" t="str">
            <v>山下 修</v>
          </cell>
          <cell r="D62">
            <v>43770</v>
          </cell>
          <cell r="E62" t="str">
            <v/>
          </cell>
          <cell r="F62" t="str">
            <v>夏季</v>
          </cell>
          <cell r="G62">
            <v>3</v>
          </cell>
        </row>
        <row r="63">
          <cell r="A63" t="str">
            <v>3566543771</v>
          </cell>
          <cell r="B63" t="str">
            <v>35665</v>
          </cell>
          <cell r="C63" t="str">
            <v>山下 修</v>
          </cell>
          <cell r="D63">
            <v>43771</v>
          </cell>
          <cell r="E63" t="str">
            <v>○</v>
          </cell>
          <cell r="F63" t="str">
            <v/>
          </cell>
          <cell r="G63" t="str">
            <v/>
          </cell>
        </row>
        <row r="64">
          <cell r="A64" t="str">
            <v>3566543772</v>
          </cell>
          <cell r="B64" t="str">
            <v>35665</v>
          </cell>
          <cell r="C64" t="str">
            <v>山下 修</v>
          </cell>
          <cell r="D64">
            <v>43772</v>
          </cell>
          <cell r="E64" t="str">
            <v>当</v>
          </cell>
          <cell r="F64" t="str">
            <v/>
          </cell>
          <cell r="G64" t="str">
            <v/>
          </cell>
        </row>
        <row r="65">
          <cell r="A65" t="str">
            <v>3566543773</v>
          </cell>
          <cell r="B65" t="str">
            <v>35665</v>
          </cell>
          <cell r="C65" t="str">
            <v>山下 修</v>
          </cell>
          <cell r="D65">
            <v>43773</v>
          </cell>
          <cell r="E65" t="str">
            <v>明</v>
          </cell>
          <cell r="F65" t="str">
            <v/>
          </cell>
          <cell r="G65" t="str">
            <v/>
          </cell>
        </row>
        <row r="66">
          <cell r="A66" t="str">
            <v>3566543774</v>
          </cell>
          <cell r="B66" t="str">
            <v>35665</v>
          </cell>
          <cell r="C66" t="str">
            <v>山下 修</v>
          </cell>
          <cell r="D66">
            <v>43774</v>
          </cell>
          <cell r="E66" t="str">
            <v/>
          </cell>
          <cell r="F66" t="str">
            <v/>
          </cell>
          <cell r="G66" t="str">
            <v/>
          </cell>
        </row>
        <row r="67">
          <cell r="A67" t="str">
            <v>3566543775</v>
          </cell>
          <cell r="B67" t="str">
            <v>35665</v>
          </cell>
          <cell r="C67" t="str">
            <v>山下 修</v>
          </cell>
          <cell r="D67">
            <v>43775</v>
          </cell>
          <cell r="E67" t="str">
            <v/>
          </cell>
          <cell r="F67" t="str">
            <v/>
          </cell>
          <cell r="G67" t="str">
            <v/>
          </cell>
        </row>
        <row r="68">
          <cell r="A68" t="str">
            <v>3566543776</v>
          </cell>
          <cell r="B68" t="str">
            <v>35665</v>
          </cell>
          <cell r="C68" t="str">
            <v>山下 修</v>
          </cell>
          <cell r="D68">
            <v>43776</v>
          </cell>
          <cell r="E68" t="str">
            <v>●</v>
          </cell>
          <cell r="F68" t="str">
            <v/>
          </cell>
          <cell r="G68" t="str">
            <v/>
          </cell>
        </row>
        <row r="69">
          <cell r="A69" t="str">
            <v>3566543777</v>
          </cell>
          <cell r="B69" t="str">
            <v>35665</v>
          </cell>
          <cell r="C69" t="str">
            <v>山下 修</v>
          </cell>
          <cell r="D69">
            <v>43777</v>
          </cell>
          <cell r="E69" t="str">
            <v>●</v>
          </cell>
          <cell r="F69" t="str">
            <v/>
          </cell>
          <cell r="G69" t="str">
            <v/>
          </cell>
        </row>
        <row r="70">
          <cell r="A70" t="str">
            <v>3566543778</v>
          </cell>
          <cell r="B70" t="str">
            <v>35665</v>
          </cell>
          <cell r="C70" t="str">
            <v>山下 修</v>
          </cell>
          <cell r="D70">
            <v>43778</v>
          </cell>
          <cell r="E70" t="str">
            <v>／</v>
          </cell>
          <cell r="F70" t="str">
            <v/>
          </cell>
          <cell r="G70" t="str">
            <v/>
          </cell>
        </row>
        <row r="71">
          <cell r="A71" t="str">
            <v>3566543779</v>
          </cell>
          <cell r="B71" t="str">
            <v>35665</v>
          </cell>
          <cell r="C71" t="str">
            <v>山下 修</v>
          </cell>
          <cell r="D71">
            <v>43779</v>
          </cell>
          <cell r="E71" t="str">
            <v>●</v>
          </cell>
          <cell r="F71" t="str">
            <v/>
          </cell>
          <cell r="G71" t="str">
            <v/>
          </cell>
        </row>
        <row r="72">
          <cell r="A72" t="str">
            <v>3566543780</v>
          </cell>
          <cell r="B72" t="str">
            <v>35665</v>
          </cell>
          <cell r="C72" t="str">
            <v>山下 修</v>
          </cell>
          <cell r="D72">
            <v>43780</v>
          </cell>
          <cell r="E72" t="str">
            <v/>
          </cell>
          <cell r="F72" t="str">
            <v/>
          </cell>
          <cell r="G72" t="str">
            <v/>
          </cell>
        </row>
        <row r="73">
          <cell r="A73" t="str">
            <v>3566543781</v>
          </cell>
          <cell r="B73" t="str">
            <v>35665</v>
          </cell>
          <cell r="C73" t="str">
            <v>山下 修</v>
          </cell>
          <cell r="D73">
            <v>43781</v>
          </cell>
          <cell r="E73" t="str">
            <v/>
          </cell>
          <cell r="F73" t="str">
            <v/>
          </cell>
          <cell r="G73" t="str">
            <v/>
          </cell>
        </row>
        <row r="74">
          <cell r="A74" t="str">
            <v>3566543782</v>
          </cell>
          <cell r="B74" t="str">
            <v>35665</v>
          </cell>
          <cell r="C74" t="str">
            <v>山下 修</v>
          </cell>
          <cell r="D74">
            <v>43782</v>
          </cell>
          <cell r="E74" t="str">
            <v>当</v>
          </cell>
          <cell r="F74" t="str">
            <v/>
          </cell>
          <cell r="G74" t="str">
            <v/>
          </cell>
        </row>
        <row r="75">
          <cell r="A75" t="str">
            <v>3566543783</v>
          </cell>
          <cell r="B75" t="str">
            <v>35665</v>
          </cell>
          <cell r="C75" t="str">
            <v>山下 修</v>
          </cell>
          <cell r="D75">
            <v>43783</v>
          </cell>
          <cell r="E75" t="str">
            <v>明</v>
          </cell>
          <cell r="F75" t="str">
            <v/>
          </cell>
          <cell r="G75" t="str">
            <v/>
          </cell>
        </row>
        <row r="76">
          <cell r="A76" t="str">
            <v>3566543784</v>
          </cell>
          <cell r="B76" t="str">
            <v>35665</v>
          </cell>
          <cell r="C76" t="str">
            <v>山下 修</v>
          </cell>
          <cell r="D76">
            <v>43784</v>
          </cell>
          <cell r="E76" t="str">
            <v/>
          </cell>
          <cell r="F76" t="str">
            <v/>
          </cell>
          <cell r="G76" t="str">
            <v/>
          </cell>
        </row>
        <row r="77">
          <cell r="A77" t="str">
            <v>3566543785</v>
          </cell>
          <cell r="B77" t="str">
            <v>35665</v>
          </cell>
          <cell r="C77" t="str">
            <v>山下 修</v>
          </cell>
          <cell r="D77">
            <v>43785</v>
          </cell>
          <cell r="E77" t="str">
            <v>○</v>
          </cell>
          <cell r="F77" t="str">
            <v/>
          </cell>
          <cell r="G77" t="str">
            <v/>
          </cell>
        </row>
        <row r="78">
          <cell r="A78" t="str">
            <v>3566543786</v>
          </cell>
          <cell r="B78" t="str">
            <v>35665</v>
          </cell>
          <cell r="C78" t="str">
            <v>山下 修</v>
          </cell>
          <cell r="D78">
            <v>43786</v>
          </cell>
          <cell r="E78" t="str">
            <v/>
          </cell>
          <cell r="F78" t="str">
            <v/>
          </cell>
          <cell r="G78" t="str">
            <v/>
          </cell>
        </row>
        <row r="79">
          <cell r="A79" t="str">
            <v>3566543787</v>
          </cell>
          <cell r="B79" t="str">
            <v>35665</v>
          </cell>
          <cell r="C79" t="str">
            <v>山下 修</v>
          </cell>
          <cell r="D79">
            <v>43787</v>
          </cell>
          <cell r="E79" t="str">
            <v>●</v>
          </cell>
          <cell r="F79" t="str">
            <v/>
          </cell>
          <cell r="G79" t="str">
            <v/>
          </cell>
        </row>
        <row r="80">
          <cell r="A80" t="str">
            <v>3566543788</v>
          </cell>
          <cell r="B80" t="str">
            <v>35665</v>
          </cell>
          <cell r="C80" t="str">
            <v>山下 修</v>
          </cell>
          <cell r="D80">
            <v>43788</v>
          </cell>
          <cell r="E80" t="str">
            <v/>
          </cell>
          <cell r="F80" t="str">
            <v/>
          </cell>
          <cell r="G80" t="str">
            <v/>
          </cell>
        </row>
        <row r="81">
          <cell r="A81" t="str">
            <v>3566543789</v>
          </cell>
          <cell r="B81" t="str">
            <v>35665</v>
          </cell>
          <cell r="C81" t="str">
            <v>山下 修</v>
          </cell>
          <cell r="D81">
            <v>43789</v>
          </cell>
          <cell r="E81" t="str">
            <v/>
          </cell>
          <cell r="F81" t="str">
            <v/>
          </cell>
          <cell r="G81" t="str">
            <v/>
          </cell>
        </row>
        <row r="82">
          <cell r="A82" t="str">
            <v>3566543790</v>
          </cell>
          <cell r="B82" t="str">
            <v>35665</v>
          </cell>
          <cell r="C82" t="str">
            <v>山下 修</v>
          </cell>
          <cell r="D82">
            <v>43790</v>
          </cell>
          <cell r="E82" t="str">
            <v/>
          </cell>
          <cell r="F82" t="str">
            <v/>
          </cell>
          <cell r="G82" t="str">
            <v/>
          </cell>
        </row>
        <row r="83">
          <cell r="A83" t="str">
            <v>3566543791</v>
          </cell>
          <cell r="B83" t="str">
            <v>35665</v>
          </cell>
          <cell r="C83" t="str">
            <v>山下 修</v>
          </cell>
          <cell r="D83">
            <v>43791</v>
          </cell>
          <cell r="E83" t="str">
            <v/>
          </cell>
          <cell r="F83" t="str">
            <v/>
          </cell>
          <cell r="G83" t="str">
            <v/>
          </cell>
        </row>
        <row r="84">
          <cell r="A84" t="str">
            <v>3566543792</v>
          </cell>
          <cell r="B84" t="str">
            <v>35665</v>
          </cell>
          <cell r="C84" t="str">
            <v>山下 修</v>
          </cell>
          <cell r="D84">
            <v>43792</v>
          </cell>
          <cell r="E84" t="str">
            <v>●</v>
          </cell>
          <cell r="F84" t="str">
            <v/>
          </cell>
          <cell r="G84" t="str">
            <v/>
          </cell>
        </row>
        <row r="85">
          <cell r="A85" t="str">
            <v>3566543793</v>
          </cell>
          <cell r="B85" t="str">
            <v>35665</v>
          </cell>
          <cell r="C85" t="str">
            <v>山下 修</v>
          </cell>
          <cell r="D85">
            <v>43793</v>
          </cell>
          <cell r="E85" t="str">
            <v>●</v>
          </cell>
          <cell r="F85" t="str">
            <v/>
          </cell>
          <cell r="G85" t="str">
            <v/>
          </cell>
        </row>
        <row r="86">
          <cell r="A86" t="str">
            <v>3566543794</v>
          </cell>
          <cell r="B86" t="str">
            <v>35665</v>
          </cell>
          <cell r="C86" t="str">
            <v>山下 修</v>
          </cell>
          <cell r="D86">
            <v>43794</v>
          </cell>
          <cell r="E86" t="str">
            <v/>
          </cell>
          <cell r="F86" t="str">
            <v/>
          </cell>
          <cell r="G86" t="str">
            <v/>
          </cell>
        </row>
        <row r="87">
          <cell r="A87" t="str">
            <v>3566543795</v>
          </cell>
          <cell r="B87" t="str">
            <v>35665</v>
          </cell>
          <cell r="C87" t="str">
            <v>山下 修</v>
          </cell>
          <cell r="D87">
            <v>43795</v>
          </cell>
          <cell r="E87" t="str">
            <v>当</v>
          </cell>
          <cell r="F87" t="str">
            <v/>
          </cell>
          <cell r="G87" t="str">
            <v/>
          </cell>
        </row>
        <row r="88">
          <cell r="A88" t="str">
            <v>3566543796</v>
          </cell>
          <cell r="B88" t="str">
            <v>35665</v>
          </cell>
          <cell r="C88" t="str">
            <v>山下 修</v>
          </cell>
          <cell r="D88">
            <v>43796</v>
          </cell>
          <cell r="E88" t="str">
            <v>明</v>
          </cell>
          <cell r="F88" t="str">
            <v/>
          </cell>
          <cell r="G88" t="str">
            <v/>
          </cell>
        </row>
        <row r="89">
          <cell r="A89" t="str">
            <v>3566543797</v>
          </cell>
          <cell r="B89" t="str">
            <v>35665</v>
          </cell>
          <cell r="C89" t="str">
            <v>山下 修</v>
          </cell>
          <cell r="D89">
            <v>43797</v>
          </cell>
          <cell r="E89" t="str">
            <v/>
          </cell>
          <cell r="F89" t="str">
            <v/>
          </cell>
          <cell r="G89" t="str">
            <v/>
          </cell>
        </row>
        <row r="90">
          <cell r="A90" t="str">
            <v>3566543798</v>
          </cell>
          <cell r="B90" t="str">
            <v>35665</v>
          </cell>
          <cell r="C90" t="str">
            <v>山下 修</v>
          </cell>
          <cell r="D90">
            <v>43798</v>
          </cell>
          <cell r="E90" t="str">
            <v/>
          </cell>
          <cell r="F90" t="str">
            <v/>
          </cell>
          <cell r="G90" t="str">
            <v/>
          </cell>
        </row>
        <row r="91">
          <cell r="A91" t="str">
            <v>3566543799</v>
          </cell>
          <cell r="B91" t="str">
            <v>35665</v>
          </cell>
          <cell r="C91" t="str">
            <v>山下 修</v>
          </cell>
          <cell r="D91">
            <v>43799</v>
          </cell>
          <cell r="E91" t="str">
            <v>○</v>
          </cell>
          <cell r="F91" t="str">
            <v/>
          </cell>
          <cell r="G91" t="str">
            <v/>
          </cell>
        </row>
        <row r="92">
          <cell r="A92" t="str">
            <v>5177443770</v>
          </cell>
          <cell r="B92" t="str">
            <v>51774</v>
          </cell>
          <cell r="C92" t="str">
            <v>山村 博</v>
          </cell>
          <cell r="D92">
            <v>43770</v>
          </cell>
          <cell r="E92" t="str">
            <v/>
          </cell>
          <cell r="F92" t="str">
            <v/>
          </cell>
          <cell r="G92">
            <v>4</v>
          </cell>
        </row>
        <row r="93">
          <cell r="A93" t="str">
            <v>5177443771</v>
          </cell>
          <cell r="B93" t="str">
            <v>51774</v>
          </cell>
          <cell r="C93" t="str">
            <v>山村 博</v>
          </cell>
          <cell r="D93">
            <v>43771</v>
          </cell>
          <cell r="E93" t="str">
            <v>／</v>
          </cell>
          <cell r="F93" t="str">
            <v/>
          </cell>
          <cell r="G93" t="str">
            <v/>
          </cell>
        </row>
        <row r="94">
          <cell r="A94" t="str">
            <v>5177443772</v>
          </cell>
          <cell r="B94" t="str">
            <v>51774</v>
          </cell>
          <cell r="C94" t="str">
            <v>山村 博</v>
          </cell>
          <cell r="D94">
            <v>43772</v>
          </cell>
          <cell r="E94" t="str">
            <v>●</v>
          </cell>
          <cell r="F94" t="str">
            <v/>
          </cell>
          <cell r="G94" t="str">
            <v/>
          </cell>
        </row>
        <row r="95">
          <cell r="A95" t="str">
            <v>5177443773</v>
          </cell>
          <cell r="B95" t="str">
            <v>51774</v>
          </cell>
          <cell r="C95" t="str">
            <v>山村 博</v>
          </cell>
          <cell r="D95">
            <v>43773</v>
          </cell>
          <cell r="E95" t="str">
            <v>●</v>
          </cell>
          <cell r="F95" t="str">
            <v/>
          </cell>
          <cell r="G95" t="str">
            <v/>
          </cell>
        </row>
        <row r="96">
          <cell r="A96" t="str">
            <v>5177443774</v>
          </cell>
          <cell r="B96" t="str">
            <v>51774</v>
          </cell>
          <cell r="C96" t="str">
            <v>山村 博</v>
          </cell>
          <cell r="D96">
            <v>43774</v>
          </cell>
          <cell r="E96" t="str">
            <v/>
          </cell>
          <cell r="F96" t="str">
            <v/>
          </cell>
          <cell r="G96" t="str">
            <v/>
          </cell>
        </row>
        <row r="97">
          <cell r="A97" t="str">
            <v>5177443775</v>
          </cell>
          <cell r="B97" t="str">
            <v>51774</v>
          </cell>
          <cell r="C97" t="str">
            <v>山村 博</v>
          </cell>
          <cell r="D97">
            <v>43775</v>
          </cell>
          <cell r="E97" t="str">
            <v>当</v>
          </cell>
          <cell r="F97" t="str">
            <v/>
          </cell>
          <cell r="G97" t="str">
            <v/>
          </cell>
        </row>
        <row r="98">
          <cell r="A98" t="str">
            <v>5177443776</v>
          </cell>
          <cell r="B98" t="str">
            <v>51774</v>
          </cell>
          <cell r="C98" t="str">
            <v>山村 博</v>
          </cell>
          <cell r="D98">
            <v>43776</v>
          </cell>
          <cell r="E98" t="str">
            <v>明</v>
          </cell>
          <cell r="F98" t="str">
            <v/>
          </cell>
          <cell r="G98" t="str">
            <v/>
          </cell>
        </row>
        <row r="99">
          <cell r="A99" t="str">
            <v>5177443777</v>
          </cell>
          <cell r="B99" t="str">
            <v>51774</v>
          </cell>
          <cell r="C99" t="str">
            <v>山村 博</v>
          </cell>
          <cell r="D99">
            <v>43777</v>
          </cell>
          <cell r="E99" t="str">
            <v/>
          </cell>
          <cell r="F99" t="str">
            <v/>
          </cell>
          <cell r="G99" t="str">
            <v/>
          </cell>
        </row>
        <row r="100">
          <cell r="A100" t="str">
            <v>5177443778</v>
          </cell>
          <cell r="B100" t="str">
            <v>51774</v>
          </cell>
          <cell r="C100" t="str">
            <v>山村 博</v>
          </cell>
          <cell r="D100">
            <v>43778</v>
          </cell>
          <cell r="E100" t="str">
            <v>○</v>
          </cell>
          <cell r="F100" t="str">
            <v/>
          </cell>
          <cell r="G100" t="str">
            <v/>
          </cell>
        </row>
        <row r="101">
          <cell r="A101" t="str">
            <v>5177443779</v>
          </cell>
          <cell r="B101" t="str">
            <v>51774</v>
          </cell>
          <cell r="C101" t="str">
            <v>山村 博</v>
          </cell>
          <cell r="D101">
            <v>43779</v>
          </cell>
          <cell r="E101" t="str">
            <v>●</v>
          </cell>
          <cell r="F101" t="str">
            <v/>
          </cell>
          <cell r="G101" t="str">
            <v/>
          </cell>
        </row>
        <row r="102">
          <cell r="A102" t="str">
            <v>5177443780</v>
          </cell>
          <cell r="B102" t="str">
            <v>51774</v>
          </cell>
          <cell r="C102" t="str">
            <v>山村 博</v>
          </cell>
          <cell r="D102">
            <v>43780</v>
          </cell>
          <cell r="E102" t="str">
            <v/>
          </cell>
          <cell r="F102" t="str">
            <v>年AM指PM</v>
          </cell>
          <cell r="G102" t="str">
            <v/>
          </cell>
        </row>
        <row r="103">
          <cell r="A103" t="str">
            <v>5177443781</v>
          </cell>
          <cell r="B103" t="str">
            <v>51774</v>
          </cell>
          <cell r="C103" t="str">
            <v>山村 博</v>
          </cell>
          <cell r="D103">
            <v>43781</v>
          </cell>
          <cell r="E103" t="str">
            <v/>
          </cell>
          <cell r="F103" t="str">
            <v/>
          </cell>
          <cell r="G103" t="str">
            <v/>
          </cell>
        </row>
        <row r="104">
          <cell r="A104" t="str">
            <v>5177443782</v>
          </cell>
          <cell r="B104" t="str">
            <v>51774</v>
          </cell>
          <cell r="C104" t="str">
            <v>山村 博</v>
          </cell>
          <cell r="D104">
            <v>43782</v>
          </cell>
          <cell r="E104" t="str">
            <v/>
          </cell>
          <cell r="F104" t="str">
            <v/>
          </cell>
          <cell r="G104" t="str">
            <v/>
          </cell>
        </row>
        <row r="105">
          <cell r="A105" t="str">
            <v>5177443783</v>
          </cell>
          <cell r="B105" t="str">
            <v>51774</v>
          </cell>
          <cell r="C105" t="str">
            <v>山村 博</v>
          </cell>
          <cell r="D105">
            <v>43783</v>
          </cell>
          <cell r="E105" t="str">
            <v/>
          </cell>
          <cell r="F105" t="str">
            <v/>
          </cell>
          <cell r="G105" t="str">
            <v/>
          </cell>
        </row>
        <row r="106">
          <cell r="A106" t="str">
            <v>5177443784</v>
          </cell>
          <cell r="B106" t="str">
            <v>51774</v>
          </cell>
          <cell r="C106" t="str">
            <v>山村 博</v>
          </cell>
          <cell r="D106">
            <v>43784</v>
          </cell>
          <cell r="E106" t="str">
            <v/>
          </cell>
          <cell r="F106" t="str">
            <v/>
          </cell>
          <cell r="G106" t="str">
            <v/>
          </cell>
        </row>
        <row r="107">
          <cell r="A107" t="str">
            <v>5177443785</v>
          </cell>
          <cell r="B107" t="str">
            <v>51774</v>
          </cell>
          <cell r="C107" t="str">
            <v>山村 博</v>
          </cell>
          <cell r="D107">
            <v>43785</v>
          </cell>
          <cell r="E107" t="str">
            <v>／</v>
          </cell>
          <cell r="F107" t="str">
            <v/>
          </cell>
          <cell r="G107" t="str">
            <v/>
          </cell>
        </row>
        <row r="108">
          <cell r="A108" t="str">
            <v>5177443786</v>
          </cell>
          <cell r="B108" t="str">
            <v>51774</v>
          </cell>
          <cell r="C108" t="str">
            <v>山村 博</v>
          </cell>
          <cell r="D108">
            <v>43786</v>
          </cell>
          <cell r="E108" t="str">
            <v>●</v>
          </cell>
          <cell r="F108" t="str">
            <v/>
          </cell>
          <cell r="G108" t="str">
            <v/>
          </cell>
        </row>
        <row r="109">
          <cell r="A109" t="str">
            <v>5177443787</v>
          </cell>
          <cell r="B109" t="str">
            <v>51774</v>
          </cell>
          <cell r="C109" t="str">
            <v>山村 博</v>
          </cell>
          <cell r="D109">
            <v>43787</v>
          </cell>
          <cell r="E109" t="str">
            <v/>
          </cell>
          <cell r="F109" t="str">
            <v/>
          </cell>
          <cell r="G109" t="str">
            <v/>
          </cell>
        </row>
        <row r="110">
          <cell r="A110" t="str">
            <v>5177443788</v>
          </cell>
          <cell r="B110" t="str">
            <v>51774</v>
          </cell>
          <cell r="C110" t="str">
            <v>山村 博</v>
          </cell>
          <cell r="D110">
            <v>43788</v>
          </cell>
          <cell r="E110" t="str">
            <v/>
          </cell>
          <cell r="F110" t="str">
            <v/>
          </cell>
          <cell r="G110" t="str">
            <v/>
          </cell>
        </row>
        <row r="111">
          <cell r="A111" t="str">
            <v>5177443789</v>
          </cell>
          <cell r="B111" t="str">
            <v>51774</v>
          </cell>
          <cell r="C111" t="str">
            <v>山村 博</v>
          </cell>
          <cell r="D111">
            <v>43789</v>
          </cell>
          <cell r="E111" t="str">
            <v/>
          </cell>
          <cell r="F111" t="str">
            <v/>
          </cell>
          <cell r="G111" t="str">
            <v/>
          </cell>
        </row>
        <row r="112">
          <cell r="A112" t="str">
            <v>5177443790</v>
          </cell>
          <cell r="B112" t="str">
            <v>51774</v>
          </cell>
          <cell r="C112" t="str">
            <v>山村 博</v>
          </cell>
          <cell r="D112">
            <v>43790</v>
          </cell>
          <cell r="E112" t="str">
            <v/>
          </cell>
          <cell r="F112" t="str">
            <v/>
          </cell>
          <cell r="G112" t="str">
            <v/>
          </cell>
        </row>
        <row r="113">
          <cell r="A113" t="str">
            <v>5177443791</v>
          </cell>
          <cell r="B113" t="str">
            <v>51774</v>
          </cell>
          <cell r="C113" t="str">
            <v>山村 博</v>
          </cell>
          <cell r="D113">
            <v>43791</v>
          </cell>
          <cell r="E113" t="str">
            <v>当</v>
          </cell>
          <cell r="F113" t="str">
            <v/>
          </cell>
          <cell r="G113" t="str">
            <v/>
          </cell>
        </row>
        <row r="114">
          <cell r="A114" t="str">
            <v>5177443792</v>
          </cell>
          <cell r="B114" t="str">
            <v>51774</v>
          </cell>
          <cell r="C114" t="str">
            <v>山村 博</v>
          </cell>
          <cell r="D114">
            <v>43792</v>
          </cell>
          <cell r="E114" t="str">
            <v>明</v>
          </cell>
          <cell r="F114" t="str">
            <v>指PM</v>
          </cell>
          <cell r="G114" t="str">
            <v/>
          </cell>
        </row>
        <row r="115">
          <cell r="A115" t="str">
            <v>5177443793</v>
          </cell>
          <cell r="B115" t="str">
            <v>51774</v>
          </cell>
          <cell r="C115" t="str">
            <v>山村 博</v>
          </cell>
          <cell r="D115">
            <v>43793</v>
          </cell>
          <cell r="E115" t="str">
            <v>●</v>
          </cell>
          <cell r="F115" t="str">
            <v/>
          </cell>
          <cell r="G115" t="str">
            <v/>
          </cell>
        </row>
        <row r="116">
          <cell r="A116" t="str">
            <v>5177443794</v>
          </cell>
          <cell r="B116" t="str">
            <v>51774</v>
          </cell>
          <cell r="C116" t="str">
            <v>山村 博</v>
          </cell>
          <cell r="D116">
            <v>43794</v>
          </cell>
          <cell r="E116" t="str">
            <v/>
          </cell>
          <cell r="F116" t="str">
            <v/>
          </cell>
          <cell r="G116" t="str">
            <v/>
          </cell>
        </row>
        <row r="117">
          <cell r="A117" t="str">
            <v>5177443795</v>
          </cell>
          <cell r="B117" t="str">
            <v>51774</v>
          </cell>
          <cell r="C117" t="str">
            <v>山村 博</v>
          </cell>
          <cell r="D117">
            <v>43795</v>
          </cell>
          <cell r="E117" t="str">
            <v>●</v>
          </cell>
          <cell r="F117" t="str">
            <v/>
          </cell>
          <cell r="G117" t="str">
            <v/>
          </cell>
        </row>
        <row r="118">
          <cell r="A118" t="str">
            <v>5177443796</v>
          </cell>
          <cell r="B118" t="str">
            <v>51774</v>
          </cell>
          <cell r="C118" t="str">
            <v>山村 博</v>
          </cell>
          <cell r="D118">
            <v>43796</v>
          </cell>
          <cell r="E118" t="str">
            <v/>
          </cell>
          <cell r="F118" t="str">
            <v/>
          </cell>
          <cell r="G118" t="str">
            <v/>
          </cell>
        </row>
        <row r="119">
          <cell r="A119" t="str">
            <v>5177443797</v>
          </cell>
          <cell r="B119" t="str">
            <v>51774</v>
          </cell>
          <cell r="C119" t="str">
            <v>山村 博</v>
          </cell>
          <cell r="D119">
            <v>43797</v>
          </cell>
          <cell r="E119" t="str">
            <v/>
          </cell>
          <cell r="F119" t="str">
            <v/>
          </cell>
          <cell r="G119" t="str">
            <v/>
          </cell>
        </row>
        <row r="120">
          <cell r="A120" t="str">
            <v>5177443798</v>
          </cell>
          <cell r="B120" t="str">
            <v>51774</v>
          </cell>
          <cell r="C120" t="str">
            <v>山村 博</v>
          </cell>
          <cell r="D120">
            <v>43798</v>
          </cell>
          <cell r="E120" t="str">
            <v/>
          </cell>
          <cell r="F120" t="str">
            <v/>
          </cell>
          <cell r="G120" t="str">
            <v/>
          </cell>
        </row>
        <row r="121">
          <cell r="A121" t="str">
            <v>5177443799</v>
          </cell>
          <cell r="B121" t="str">
            <v>51774</v>
          </cell>
          <cell r="C121" t="str">
            <v>山村 博</v>
          </cell>
          <cell r="D121">
            <v>43799</v>
          </cell>
          <cell r="E121" t="str">
            <v>／</v>
          </cell>
          <cell r="F121" t="str">
            <v/>
          </cell>
          <cell r="G121" t="str">
            <v/>
          </cell>
        </row>
        <row r="122">
          <cell r="A122" t="str">
            <v>2191343770</v>
          </cell>
          <cell r="B122" t="str">
            <v>21913</v>
          </cell>
          <cell r="C122" t="str">
            <v>殿田 伸一郎</v>
          </cell>
          <cell r="D122">
            <v>43770</v>
          </cell>
          <cell r="E122" t="str">
            <v/>
          </cell>
          <cell r="F122" t="str">
            <v>年休</v>
          </cell>
          <cell r="G122">
            <v>5</v>
          </cell>
        </row>
        <row r="123">
          <cell r="A123" t="str">
            <v>2191343771</v>
          </cell>
          <cell r="B123" t="str">
            <v>21913</v>
          </cell>
          <cell r="C123" t="str">
            <v>殿田 伸一郎</v>
          </cell>
          <cell r="D123">
            <v>43771</v>
          </cell>
          <cell r="E123" t="str">
            <v>○</v>
          </cell>
          <cell r="F123" t="str">
            <v/>
          </cell>
          <cell r="G123" t="str">
            <v/>
          </cell>
        </row>
        <row r="124">
          <cell r="A124" t="str">
            <v>2191343772</v>
          </cell>
          <cell r="B124" t="str">
            <v>21913</v>
          </cell>
          <cell r="C124" t="str">
            <v>殿田 伸一郎</v>
          </cell>
          <cell r="D124">
            <v>43772</v>
          </cell>
          <cell r="E124" t="str">
            <v>●</v>
          </cell>
          <cell r="F124" t="str">
            <v/>
          </cell>
          <cell r="G124" t="str">
            <v/>
          </cell>
        </row>
        <row r="125">
          <cell r="A125" t="str">
            <v>2191343773</v>
          </cell>
          <cell r="B125" t="str">
            <v>21913</v>
          </cell>
          <cell r="C125" t="str">
            <v>殿田 伸一郎</v>
          </cell>
          <cell r="D125">
            <v>43773</v>
          </cell>
          <cell r="E125" t="str">
            <v>●</v>
          </cell>
          <cell r="F125" t="str">
            <v/>
          </cell>
          <cell r="G125" t="str">
            <v/>
          </cell>
        </row>
        <row r="126">
          <cell r="A126" t="str">
            <v>2191343774</v>
          </cell>
          <cell r="B126" t="str">
            <v>21913</v>
          </cell>
          <cell r="C126" t="str">
            <v>殿田 伸一郎</v>
          </cell>
          <cell r="D126">
            <v>43774</v>
          </cell>
          <cell r="E126" t="str">
            <v/>
          </cell>
          <cell r="F126" t="str">
            <v/>
          </cell>
          <cell r="G126" t="str">
            <v/>
          </cell>
        </row>
        <row r="127">
          <cell r="A127" t="str">
            <v>2191343775</v>
          </cell>
          <cell r="B127" t="str">
            <v>21913</v>
          </cell>
          <cell r="C127" t="str">
            <v>殿田 伸一郎</v>
          </cell>
          <cell r="D127">
            <v>43775</v>
          </cell>
          <cell r="E127" t="str">
            <v/>
          </cell>
          <cell r="F127" t="str">
            <v/>
          </cell>
          <cell r="G127" t="str">
            <v/>
          </cell>
        </row>
        <row r="128">
          <cell r="A128" t="str">
            <v>2191343776</v>
          </cell>
          <cell r="B128" t="str">
            <v>21913</v>
          </cell>
          <cell r="C128" t="str">
            <v>殿田 伸一郎</v>
          </cell>
          <cell r="D128">
            <v>43776</v>
          </cell>
          <cell r="E128" t="str">
            <v/>
          </cell>
          <cell r="F128" t="str">
            <v/>
          </cell>
          <cell r="G128" t="str">
            <v/>
          </cell>
        </row>
        <row r="129">
          <cell r="A129" t="str">
            <v>2191343777</v>
          </cell>
          <cell r="B129" t="str">
            <v>21913</v>
          </cell>
          <cell r="C129" t="str">
            <v>殿田 伸一郎</v>
          </cell>
          <cell r="D129">
            <v>43777</v>
          </cell>
          <cell r="E129" t="str">
            <v/>
          </cell>
          <cell r="F129" t="str">
            <v/>
          </cell>
          <cell r="G129" t="str">
            <v/>
          </cell>
        </row>
        <row r="130">
          <cell r="A130" t="str">
            <v>2191343778</v>
          </cell>
          <cell r="B130" t="str">
            <v>21913</v>
          </cell>
          <cell r="C130" t="str">
            <v>殿田 伸一郎</v>
          </cell>
          <cell r="D130">
            <v>43778</v>
          </cell>
          <cell r="E130" t="str">
            <v>／</v>
          </cell>
          <cell r="F130" t="str">
            <v/>
          </cell>
          <cell r="G130" t="str">
            <v/>
          </cell>
        </row>
        <row r="131">
          <cell r="A131" t="str">
            <v>2191343779</v>
          </cell>
          <cell r="B131" t="str">
            <v>21913</v>
          </cell>
          <cell r="C131" t="str">
            <v>殿田 伸一郎</v>
          </cell>
          <cell r="D131">
            <v>43779</v>
          </cell>
          <cell r="E131" t="str">
            <v>●</v>
          </cell>
          <cell r="F131" t="str">
            <v/>
          </cell>
          <cell r="G131" t="str">
            <v/>
          </cell>
        </row>
        <row r="132">
          <cell r="A132" t="str">
            <v>2191343780</v>
          </cell>
          <cell r="B132" t="str">
            <v>21913</v>
          </cell>
          <cell r="C132" t="str">
            <v>殿田 伸一郎</v>
          </cell>
          <cell r="D132">
            <v>43780</v>
          </cell>
          <cell r="E132" t="str">
            <v/>
          </cell>
          <cell r="F132" t="str">
            <v/>
          </cell>
          <cell r="G132" t="str">
            <v/>
          </cell>
        </row>
        <row r="133">
          <cell r="A133" t="str">
            <v>2191343781</v>
          </cell>
          <cell r="B133" t="str">
            <v>21913</v>
          </cell>
          <cell r="C133" t="str">
            <v>殿田 伸一郎</v>
          </cell>
          <cell r="D133">
            <v>43781</v>
          </cell>
          <cell r="E133" t="str">
            <v/>
          </cell>
          <cell r="F133" t="str">
            <v/>
          </cell>
          <cell r="G133" t="str">
            <v/>
          </cell>
        </row>
        <row r="134">
          <cell r="A134" t="str">
            <v>2191343782</v>
          </cell>
          <cell r="B134" t="str">
            <v>21913</v>
          </cell>
          <cell r="C134" t="str">
            <v>殿田 伸一郎</v>
          </cell>
          <cell r="D134">
            <v>43782</v>
          </cell>
          <cell r="E134" t="str">
            <v/>
          </cell>
          <cell r="F134" t="str">
            <v/>
          </cell>
          <cell r="G134" t="str">
            <v/>
          </cell>
        </row>
        <row r="135">
          <cell r="A135" t="str">
            <v>2191343783</v>
          </cell>
          <cell r="B135" t="str">
            <v>21913</v>
          </cell>
          <cell r="C135" t="str">
            <v>殿田 伸一郎</v>
          </cell>
          <cell r="D135">
            <v>43783</v>
          </cell>
          <cell r="E135" t="str">
            <v/>
          </cell>
          <cell r="F135" t="str">
            <v/>
          </cell>
          <cell r="G135" t="str">
            <v/>
          </cell>
        </row>
        <row r="136">
          <cell r="A136" t="str">
            <v>2191343784</v>
          </cell>
          <cell r="B136" t="str">
            <v>21913</v>
          </cell>
          <cell r="C136" t="str">
            <v>殿田 伸一郎</v>
          </cell>
          <cell r="D136">
            <v>43784</v>
          </cell>
          <cell r="E136" t="str">
            <v/>
          </cell>
          <cell r="F136" t="str">
            <v/>
          </cell>
          <cell r="G136" t="str">
            <v/>
          </cell>
        </row>
        <row r="137">
          <cell r="A137" t="str">
            <v>2191343785</v>
          </cell>
          <cell r="B137" t="str">
            <v>21913</v>
          </cell>
          <cell r="C137" t="str">
            <v>殿田 伸一郎</v>
          </cell>
          <cell r="D137">
            <v>43785</v>
          </cell>
          <cell r="E137" t="str">
            <v>○</v>
          </cell>
          <cell r="F137" t="str">
            <v/>
          </cell>
          <cell r="G137" t="str">
            <v/>
          </cell>
        </row>
        <row r="138">
          <cell r="A138" t="str">
            <v>2191343786</v>
          </cell>
          <cell r="B138" t="str">
            <v>21913</v>
          </cell>
          <cell r="C138" t="str">
            <v>殿田 伸一郎</v>
          </cell>
          <cell r="D138">
            <v>43786</v>
          </cell>
          <cell r="E138" t="str">
            <v>●</v>
          </cell>
          <cell r="F138" t="str">
            <v/>
          </cell>
          <cell r="G138" t="str">
            <v/>
          </cell>
        </row>
        <row r="139">
          <cell r="A139" t="str">
            <v>2191343787</v>
          </cell>
          <cell r="B139" t="str">
            <v>21913</v>
          </cell>
          <cell r="C139" t="str">
            <v>殿田 伸一郎</v>
          </cell>
          <cell r="D139">
            <v>43787</v>
          </cell>
          <cell r="E139" t="str">
            <v/>
          </cell>
          <cell r="F139" t="str">
            <v/>
          </cell>
          <cell r="G139" t="str">
            <v/>
          </cell>
        </row>
        <row r="140">
          <cell r="A140" t="str">
            <v>2191343788</v>
          </cell>
          <cell r="B140" t="str">
            <v>21913</v>
          </cell>
          <cell r="C140" t="str">
            <v>殿田 伸一郎</v>
          </cell>
          <cell r="D140">
            <v>43788</v>
          </cell>
          <cell r="E140" t="str">
            <v/>
          </cell>
          <cell r="F140" t="str">
            <v>年休</v>
          </cell>
          <cell r="G140" t="str">
            <v/>
          </cell>
        </row>
        <row r="141">
          <cell r="A141" t="str">
            <v>2191343789</v>
          </cell>
          <cell r="B141" t="str">
            <v>21913</v>
          </cell>
          <cell r="C141" t="str">
            <v>殿田 伸一郎</v>
          </cell>
          <cell r="D141">
            <v>43789</v>
          </cell>
          <cell r="E141" t="str">
            <v/>
          </cell>
          <cell r="F141" t="str">
            <v/>
          </cell>
          <cell r="G141" t="str">
            <v/>
          </cell>
        </row>
        <row r="142">
          <cell r="A142" t="str">
            <v>2191343790</v>
          </cell>
          <cell r="B142" t="str">
            <v>21913</v>
          </cell>
          <cell r="C142" t="str">
            <v>殿田 伸一郎</v>
          </cell>
          <cell r="D142">
            <v>43790</v>
          </cell>
          <cell r="E142" t="str">
            <v/>
          </cell>
          <cell r="F142" t="str">
            <v/>
          </cell>
          <cell r="G142" t="str">
            <v/>
          </cell>
        </row>
        <row r="143">
          <cell r="A143" t="str">
            <v>2191343791</v>
          </cell>
          <cell r="B143" t="str">
            <v>21913</v>
          </cell>
          <cell r="C143" t="str">
            <v>殿田 伸一郎</v>
          </cell>
          <cell r="D143">
            <v>43791</v>
          </cell>
          <cell r="E143" t="str">
            <v/>
          </cell>
          <cell r="F143" t="str">
            <v/>
          </cell>
          <cell r="G143" t="str">
            <v/>
          </cell>
        </row>
        <row r="144">
          <cell r="A144" t="str">
            <v>2191343792</v>
          </cell>
          <cell r="B144" t="str">
            <v>21913</v>
          </cell>
          <cell r="C144" t="str">
            <v>殿田 伸一郎</v>
          </cell>
          <cell r="D144">
            <v>43792</v>
          </cell>
          <cell r="E144" t="str">
            <v>●</v>
          </cell>
          <cell r="F144" t="str">
            <v/>
          </cell>
          <cell r="G144" t="str">
            <v/>
          </cell>
        </row>
        <row r="145">
          <cell r="A145" t="str">
            <v>2191343793</v>
          </cell>
          <cell r="B145" t="str">
            <v>21913</v>
          </cell>
          <cell r="C145" t="str">
            <v>殿田 伸一郎</v>
          </cell>
          <cell r="D145">
            <v>43793</v>
          </cell>
          <cell r="E145" t="str">
            <v>●</v>
          </cell>
          <cell r="F145" t="str">
            <v/>
          </cell>
          <cell r="G145" t="str">
            <v/>
          </cell>
        </row>
        <row r="146">
          <cell r="A146" t="str">
            <v>2191343794</v>
          </cell>
          <cell r="B146" t="str">
            <v>21913</v>
          </cell>
          <cell r="C146" t="str">
            <v>殿田 伸一郎</v>
          </cell>
          <cell r="D146">
            <v>43794</v>
          </cell>
          <cell r="E146" t="str">
            <v/>
          </cell>
          <cell r="F146" t="str">
            <v/>
          </cell>
          <cell r="G146" t="str">
            <v/>
          </cell>
        </row>
        <row r="147">
          <cell r="A147" t="str">
            <v>2191343795</v>
          </cell>
          <cell r="B147" t="str">
            <v>21913</v>
          </cell>
          <cell r="C147" t="str">
            <v>殿田 伸一郎</v>
          </cell>
          <cell r="D147">
            <v>43795</v>
          </cell>
          <cell r="E147" t="str">
            <v/>
          </cell>
          <cell r="F147" t="str">
            <v/>
          </cell>
          <cell r="G147" t="str">
            <v/>
          </cell>
        </row>
        <row r="148">
          <cell r="A148" t="str">
            <v>2191343796</v>
          </cell>
          <cell r="B148" t="str">
            <v>21913</v>
          </cell>
          <cell r="C148" t="str">
            <v>殿田 伸一郎</v>
          </cell>
          <cell r="D148">
            <v>43796</v>
          </cell>
          <cell r="E148" t="str">
            <v/>
          </cell>
          <cell r="F148" t="str">
            <v/>
          </cell>
          <cell r="G148" t="str">
            <v/>
          </cell>
        </row>
        <row r="149">
          <cell r="A149" t="str">
            <v>2191343797</v>
          </cell>
          <cell r="B149" t="str">
            <v>21913</v>
          </cell>
          <cell r="C149" t="str">
            <v>殿田 伸一郎</v>
          </cell>
          <cell r="D149">
            <v>43797</v>
          </cell>
          <cell r="E149" t="str">
            <v/>
          </cell>
          <cell r="F149" t="str">
            <v/>
          </cell>
          <cell r="G149" t="str">
            <v/>
          </cell>
        </row>
        <row r="150">
          <cell r="A150" t="str">
            <v>2191343798</v>
          </cell>
          <cell r="B150" t="str">
            <v>21913</v>
          </cell>
          <cell r="C150" t="str">
            <v>殿田 伸一郎</v>
          </cell>
          <cell r="D150">
            <v>43798</v>
          </cell>
          <cell r="E150" t="str">
            <v/>
          </cell>
          <cell r="F150" t="str">
            <v/>
          </cell>
          <cell r="G150" t="str">
            <v/>
          </cell>
        </row>
        <row r="151">
          <cell r="A151" t="str">
            <v>2191343799</v>
          </cell>
          <cell r="B151" t="str">
            <v>21913</v>
          </cell>
          <cell r="C151" t="str">
            <v>殿田 伸一郎</v>
          </cell>
          <cell r="D151">
            <v>43799</v>
          </cell>
          <cell r="E151" t="str">
            <v>○</v>
          </cell>
          <cell r="F151" t="str">
            <v/>
          </cell>
          <cell r="G151" t="str">
            <v/>
          </cell>
        </row>
        <row r="152">
          <cell r="A152" t="str">
            <v>2192543770</v>
          </cell>
          <cell r="B152" t="str">
            <v>21925</v>
          </cell>
          <cell r="C152" t="str">
            <v>森本 政幸</v>
          </cell>
          <cell r="D152">
            <v>43770</v>
          </cell>
          <cell r="E152" t="str">
            <v/>
          </cell>
          <cell r="F152" t="str">
            <v/>
          </cell>
          <cell r="G152">
            <v>6</v>
          </cell>
        </row>
        <row r="153">
          <cell r="A153" t="str">
            <v>2192543771</v>
          </cell>
          <cell r="B153" t="str">
            <v>21925</v>
          </cell>
          <cell r="C153" t="str">
            <v>森本 政幸</v>
          </cell>
          <cell r="D153">
            <v>43771</v>
          </cell>
          <cell r="E153" t="str">
            <v>○</v>
          </cell>
          <cell r="F153" t="str">
            <v/>
          </cell>
          <cell r="G153" t="str">
            <v/>
          </cell>
        </row>
        <row r="154">
          <cell r="A154" t="str">
            <v>2192543772</v>
          </cell>
          <cell r="B154" t="str">
            <v>21925</v>
          </cell>
          <cell r="C154" t="str">
            <v>森本 政幸</v>
          </cell>
          <cell r="D154">
            <v>43772</v>
          </cell>
          <cell r="E154" t="str">
            <v>●</v>
          </cell>
          <cell r="F154" t="str">
            <v/>
          </cell>
          <cell r="G154" t="str">
            <v/>
          </cell>
        </row>
        <row r="155">
          <cell r="A155" t="str">
            <v>2192543773</v>
          </cell>
          <cell r="B155" t="str">
            <v>21925</v>
          </cell>
          <cell r="C155" t="str">
            <v>森本 政幸</v>
          </cell>
          <cell r="D155">
            <v>43773</v>
          </cell>
          <cell r="E155" t="str">
            <v>●</v>
          </cell>
          <cell r="F155" t="str">
            <v/>
          </cell>
          <cell r="G155" t="str">
            <v/>
          </cell>
        </row>
        <row r="156">
          <cell r="A156" t="str">
            <v>2192543774</v>
          </cell>
          <cell r="B156" t="str">
            <v>21925</v>
          </cell>
          <cell r="C156" t="str">
            <v>森本 政幸</v>
          </cell>
          <cell r="D156">
            <v>43774</v>
          </cell>
          <cell r="E156" t="str">
            <v/>
          </cell>
          <cell r="F156" t="str">
            <v/>
          </cell>
          <cell r="G156" t="str">
            <v/>
          </cell>
        </row>
        <row r="157">
          <cell r="A157" t="str">
            <v>2192543775</v>
          </cell>
          <cell r="B157" t="str">
            <v>21925</v>
          </cell>
          <cell r="C157" t="str">
            <v>森本 政幸</v>
          </cell>
          <cell r="D157">
            <v>43775</v>
          </cell>
          <cell r="E157" t="str">
            <v/>
          </cell>
          <cell r="F157" t="str">
            <v/>
          </cell>
          <cell r="G157" t="str">
            <v/>
          </cell>
        </row>
        <row r="158">
          <cell r="A158" t="str">
            <v>2192543776</v>
          </cell>
          <cell r="B158" t="str">
            <v>21925</v>
          </cell>
          <cell r="C158" t="str">
            <v>森本 政幸</v>
          </cell>
          <cell r="D158">
            <v>43776</v>
          </cell>
          <cell r="E158" t="str">
            <v/>
          </cell>
          <cell r="F158" t="str">
            <v/>
          </cell>
          <cell r="G158" t="str">
            <v/>
          </cell>
        </row>
        <row r="159">
          <cell r="A159" t="str">
            <v>2192543777</v>
          </cell>
          <cell r="B159" t="str">
            <v>21925</v>
          </cell>
          <cell r="C159" t="str">
            <v>森本 政幸</v>
          </cell>
          <cell r="D159">
            <v>43777</v>
          </cell>
          <cell r="E159" t="str">
            <v/>
          </cell>
          <cell r="F159" t="str">
            <v/>
          </cell>
          <cell r="G159" t="str">
            <v/>
          </cell>
        </row>
        <row r="160">
          <cell r="A160" t="str">
            <v>2192543778</v>
          </cell>
          <cell r="B160" t="str">
            <v>21925</v>
          </cell>
          <cell r="C160" t="str">
            <v>森本 政幸</v>
          </cell>
          <cell r="D160">
            <v>43778</v>
          </cell>
          <cell r="E160" t="str">
            <v>／</v>
          </cell>
          <cell r="F160" t="str">
            <v/>
          </cell>
          <cell r="G160" t="str">
            <v/>
          </cell>
        </row>
        <row r="161">
          <cell r="A161" t="str">
            <v>2192543779</v>
          </cell>
          <cell r="B161" t="str">
            <v>21925</v>
          </cell>
          <cell r="C161" t="str">
            <v>森本 政幸</v>
          </cell>
          <cell r="D161">
            <v>43779</v>
          </cell>
          <cell r="E161" t="str">
            <v>●</v>
          </cell>
          <cell r="F161" t="str">
            <v/>
          </cell>
          <cell r="G161" t="str">
            <v/>
          </cell>
        </row>
        <row r="162">
          <cell r="A162" t="str">
            <v>2192543780</v>
          </cell>
          <cell r="B162" t="str">
            <v>21925</v>
          </cell>
          <cell r="C162" t="str">
            <v>森本 政幸</v>
          </cell>
          <cell r="D162">
            <v>43780</v>
          </cell>
          <cell r="E162" t="str">
            <v/>
          </cell>
          <cell r="F162" t="str">
            <v>年休</v>
          </cell>
          <cell r="G162" t="str">
            <v/>
          </cell>
        </row>
        <row r="163">
          <cell r="A163" t="str">
            <v>2192543781</v>
          </cell>
          <cell r="B163" t="str">
            <v>21925</v>
          </cell>
          <cell r="C163" t="str">
            <v>森本 政幸</v>
          </cell>
          <cell r="D163">
            <v>43781</v>
          </cell>
          <cell r="E163" t="str">
            <v/>
          </cell>
          <cell r="F163" t="str">
            <v/>
          </cell>
          <cell r="G163" t="str">
            <v/>
          </cell>
        </row>
        <row r="164">
          <cell r="A164" t="str">
            <v>2192543782</v>
          </cell>
          <cell r="B164" t="str">
            <v>21925</v>
          </cell>
          <cell r="C164" t="str">
            <v>森本 政幸</v>
          </cell>
          <cell r="D164">
            <v>43782</v>
          </cell>
          <cell r="E164" t="str">
            <v/>
          </cell>
          <cell r="F164" t="str">
            <v/>
          </cell>
          <cell r="G164" t="str">
            <v/>
          </cell>
        </row>
        <row r="165">
          <cell r="A165" t="str">
            <v>2192543783</v>
          </cell>
          <cell r="B165" t="str">
            <v>21925</v>
          </cell>
          <cell r="C165" t="str">
            <v>森本 政幸</v>
          </cell>
          <cell r="D165">
            <v>43783</v>
          </cell>
          <cell r="E165" t="str">
            <v/>
          </cell>
          <cell r="F165" t="str">
            <v/>
          </cell>
          <cell r="G165" t="str">
            <v/>
          </cell>
        </row>
        <row r="166">
          <cell r="A166" t="str">
            <v>2192543784</v>
          </cell>
          <cell r="B166" t="str">
            <v>21925</v>
          </cell>
          <cell r="C166" t="str">
            <v>森本 政幸</v>
          </cell>
          <cell r="D166">
            <v>43784</v>
          </cell>
          <cell r="E166" t="str">
            <v/>
          </cell>
          <cell r="F166" t="str">
            <v/>
          </cell>
          <cell r="G166" t="str">
            <v/>
          </cell>
        </row>
        <row r="167">
          <cell r="A167" t="str">
            <v>2192543785</v>
          </cell>
          <cell r="B167" t="str">
            <v>21925</v>
          </cell>
          <cell r="C167" t="str">
            <v>森本 政幸</v>
          </cell>
          <cell r="D167">
            <v>43785</v>
          </cell>
          <cell r="E167" t="str">
            <v>○</v>
          </cell>
          <cell r="F167" t="str">
            <v/>
          </cell>
          <cell r="G167" t="str">
            <v/>
          </cell>
        </row>
        <row r="168">
          <cell r="A168" t="str">
            <v>2192543786</v>
          </cell>
          <cell r="B168" t="str">
            <v>21925</v>
          </cell>
          <cell r="C168" t="str">
            <v>森本 政幸</v>
          </cell>
          <cell r="D168">
            <v>43786</v>
          </cell>
          <cell r="E168" t="str">
            <v>●</v>
          </cell>
          <cell r="F168" t="str">
            <v/>
          </cell>
          <cell r="G168" t="str">
            <v/>
          </cell>
        </row>
        <row r="169">
          <cell r="A169" t="str">
            <v>2192543787</v>
          </cell>
          <cell r="B169" t="str">
            <v>21925</v>
          </cell>
          <cell r="C169" t="str">
            <v>森本 政幸</v>
          </cell>
          <cell r="D169">
            <v>43787</v>
          </cell>
          <cell r="E169" t="str">
            <v/>
          </cell>
          <cell r="F169" t="str">
            <v>年休</v>
          </cell>
          <cell r="G169" t="str">
            <v/>
          </cell>
        </row>
        <row r="170">
          <cell r="A170" t="str">
            <v>2192543788</v>
          </cell>
          <cell r="B170" t="str">
            <v>21925</v>
          </cell>
          <cell r="C170" t="str">
            <v>森本 政幸</v>
          </cell>
          <cell r="D170">
            <v>43788</v>
          </cell>
          <cell r="E170" t="str">
            <v/>
          </cell>
          <cell r="F170" t="str">
            <v/>
          </cell>
          <cell r="G170" t="str">
            <v/>
          </cell>
        </row>
        <row r="171">
          <cell r="A171" t="str">
            <v>2192543789</v>
          </cell>
          <cell r="B171" t="str">
            <v>21925</v>
          </cell>
          <cell r="C171" t="str">
            <v>森本 政幸</v>
          </cell>
          <cell r="D171">
            <v>43789</v>
          </cell>
          <cell r="E171" t="str">
            <v/>
          </cell>
          <cell r="F171" t="str">
            <v/>
          </cell>
          <cell r="G171" t="str">
            <v/>
          </cell>
        </row>
        <row r="172">
          <cell r="A172" t="str">
            <v>2192543790</v>
          </cell>
          <cell r="B172" t="str">
            <v>21925</v>
          </cell>
          <cell r="C172" t="str">
            <v>森本 政幸</v>
          </cell>
          <cell r="D172">
            <v>43790</v>
          </cell>
          <cell r="E172" t="str">
            <v/>
          </cell>
          <cell r="F172" t="str">
            <v/>
          </cell>
          <cell r="G172" t="str">
            <v/>
          </cell>
        </row>
        <row r="173">
          <cell r="A173" t="str">
            <v>2192543791</v>
          </cell>
          <cell r="B173" t="str">
            <v>21925</v>
          </cell>
          <cell r="C173" t="str">
            <v>森本 政幸</v>
          </cell>
          <cell r="D173">
            <v>43791</v>
          </cell>
          <cell r="E173" t="str">
            <v/>
          </cell>
          <cell r="F173" t="str">
            <v/>
          </cell>
          <cell r="G173" t="str">
            <v/>
          </cell>
        </row>
        <row r="174">
          <cell r="A174" t="str">
            <v>2192543792</v>
          </cell>
          <cell r="B174" t="str">
            <v>21925</v>
          </cell>
          <cell r="C174" t="str">
            <v>森本 政幸</v>
          </cell>
          <cell r="D174">
            <v>43792</v>
          </cell>
          <cell r="E174" t="str">
            <v>●</v>
          </cell>
          <cell r="F174" t="str">
            <v/>
          </cell>
          <cell r="G174" t="str">
            <v/>
          </cell>
        </row>
        <row r="175">
          <cell r="A175" t="str">
            <v>2192543793</v>
          </cell>
          <cell r="B175" t="str">
            <v>21925</v>
          </cell>
          <cell r="C175" t="str">
            <v>森本 政幸</v>
          </cell>
          <cell r="D175">
            <v>43793</v>
          </cell>
          <cell r="E175" t="str">
            <v>●</v>
          </cell>
          <cell r="F175" t="str">
            <v/>
          </cell>
          <cell r="G175" t="str">
            <v/>
          </cell>
        </row>
        <row r="176">
          <cell r="A176" t="str">
            <v>2192543794</v>
          </cell>
          <cell r="B176" t="str">
            <v>21925</v>
          </cell>
          <cell r="C176" t="str">
            <v>森本 政幸</v>
          </cell>
          <cell r="D176">
            <v>43794</v>
          </cell>
          <cell r="E176" t="str">
            <v/>
          </cell>
          <cell r="F176" t="str">
            <v/>
          </cell>
          <cell r="G176" t="str">
            <v/>
          </cell>
        </row>
        <row r="177">
          <cell r="A177" t="str">
            <v>2192543795</v>
          </cell>
          <cell r="B177" t="str">
            <v>21925</v>
          </cell>
          <cell r="C177" t="str">
            <v>森本 政幸</v>
          </cell>
          <cell r="D177">
            <v>43795</v>
          </cell>
          <cell r="E177" t="str">
            <v/>
          </cell>
          <cell r="F177" t="str">
            <v/>
          </cell>
          <cell r="G177" t="str">
            <v/>
          </cell>
        </row>
        <row r="178">
          <cell r="A178" t="str">
            <v>2192543796</v>
          </cell>
          <cell r="B178" t="str">
            <v>21925</v>
          </cell>
          <cell r="C178" t="str">
            <v>森本 政幸</v>
          </cell>
          <cell r="D178">
            <v>43796</v>
          </cell>
          <cell r="E178" t="str">
            <v/>
          </cell>
          <cell r="F178" t="str">
            <v/>
          </cell>
          <cell r="G178" t="str">
            <v/>
          </cell>
        </row>
        <row r="179">
          <cell r="A179" t="str">
            <v>2192543797</v>
          </cell>
          <cell r="B179" t="str">
            <v>21925</v>
          </cell>
          <cell r="C179" t="str">
            <v>森本 政幸</v>
          </cell>
          <cell r="D179">
            <v>43797</v>
          </cell>
          <cell r="E179" t="str">
            <v/>
          </cell>
          <cell r="F179" t="str">
            <v/>
          </cell>
          <cell r="G179" t="str">
            <v/>
          </cell>
        </row>
        <row r="180">
          <cell r="A180" t="str">
            <v>2192543798</v>
          </cell>
          <cell r="B180" t="str">
            <v>21925</v>
          </cell>
          <cell r="C180" t="str">
            <v>森本 政幸</v>
          </cell>
          <cell r="D180">
            <v>43798</v>
          </cell>
          <cell r="E180" t="str">
            <v/>
          </cell>
          <cell r="F180" t="str">
            <v/>
          </cell>
          <cell r="G180" t="str">
            <v/>
          </cell>
        </row>
        <row r="181">
          <cell r="A181" t="str">
            <v>2192543799</v>
          </cell>
          <cell r="B181" t="str">
            <v>21925</v>
          </cell>
          <cell r="C181" t="str">
            <v>森本 政幸</v>
          </cell>
          <cell r="D181">
            <v>43799</v>
          </cell>
          <cell r="E181" t="str">
            <v>○</v>
          </cell>
          <cell r="F181" t="str">
            <v/>
          </cell>
          <cell r="G181" t="str">
            <v/>
          </cell>
        </row>
        <row r="182">
          <cell r="A182" t="str">
            <v>2905643770</v>
          </cell>
          <cell r="B182" t="str">
            <v>29056</v>
          </cell>
          <cell r="C182" t="str">
            <v>中井 士郎</v>
          </cell>
          <cell r="D182">
            <v>43770</v>
          </cell>
          <cell r="E182" t="str">
            <v/>
          </cell>
          <cell r="F182" t="str">
            <v>年AM指PM</v>
          </cell>
          <cell r="G182">
            <v>7</v>
          </cell>
        </row>
        <row r="183">
          <cell r="A183" t="str">
            <v>2905643771</v>
          </cell>
          <cell r="B183" t="str">
            <v>29056</v>
          </cell>
          <cell r="C183" t="str">
            <v>中井 士郎</v>
          </cell>
          <cell r="D183">
            <v>43771</v>
          </cell>
          <cell r="E183" t="str">
            <v>／</v>
          </cell>
          <cell r="F183" t="str">
            <v/>
          </cell>
          <cell r="G183" t="str">
            <v/>
          </cell>
        </row>
        <row r="184">
          <cell r="A184" t="str">
            <v>2905643772</v>
          </cell>
          <cell r="B184" t="str">
            <v>29056</v>
          </cell>
          <cell r="C184" t="str">
            <v>中井 士郎</v>
          </cell>
          <cell r="D184">
            <v>43772</v>
          </cell>
          <cell r="E184" t="str">
            <v>●</v>
          </cell>
          <cell r="F184" t="str">
            <v/>
          </cell>
          <cell r="G184" t="str">
            <v/>
          </cell>
        </row>
        <row r="185">
          <cell r="A185" t="str">
            <v>2905643773</v>
          </cell>
          <cell r="B185" t="str">
            <v>29056</v>
          </cell>
          <cell r="C185" t="str">
            <v>中井 士郎</v>
          </cell>
          <cell r="D185">
            <v>43773</v>
          </cell>
          <cell r="E185" t="str">
            <v>当</v>
          </cell>
          <cell r="F185" t="str">
            <v/>
          </cell>
          <cell r="G185" t="str">
            <v/>
          </cell>
        </row>
        <row r="186">
          <cell r="A186" t="str">
            <v>2905643774</v>
          </cell>
          <cell r="B186" t="str">
            <v>29056</v>
          </cell>
          <cell r="C186" t="str">
            <v>中井 士郎</v>
          </cell>
          <cell r="D186">
            <v>43774</v>
          </cell>
          <cell r="E186" t="str">
            <v>明</v>
          </cell>
          <cell r="F186" t="str">
            <v/>
          </cell>
          <cell r="G186" t="str">
            <v/>
          </cell>
        </row>
        <row r="187">
          <cell r="A187" t="str">
            <v>2905643775</v>
          </cell>
          <cell r="B187" t="str">
            <v>29056</v>
          </cell>
          <cell r="C187" t="str">
            <v>中井 士郎</v>
          </cell>
          <cell r="D187">
            <v>43775</v>
          </cell>
          <cell r="E187" t="str">
            <v/>
          </cell>
          <cell r="F187" t="str">
            <v/>
          </cell>
          <cell r="G187" t="str">
            <v/>
          </cell>
        </row>
        <row r="188">
          <cell r="A188" t="str">
            <v>2905643776</v>
          </cell>
          <cell r="B188" t="str">
            <v>29056</v>
          </cell>
          <cell r="C188" t="str">
            <v>中井 士郎</v>
          </cell>
          <cell r="D188">
            <v>43776</v>
          </cell>
          <cell r="E188" t="str">
            <v/>
          </cell>
          <cell r="F188" t="str">
            <v/>
          </cell>
          <cell r="G188" t="str">
            <v/>
          </cell>
        </row>
        <row r="189">
          <cell r="A189" t="str">
            <v>2905643777</v>
          </cell>
          <cell r="B189" t="str">
            <v>29056</v>
          </cell>
          <cell r="C189" t="str">
            <v>中井 士郎</v>
          </cell>
          <cell r="D189">
            <v>43777</v>
          </cell>
          <cell r="E189" t="str">
            <v/>
          </cell>
          <cell r="F189" t="str">
            <v/>
          </cell>
          <cell r="G189" t="str">
            <v/>
          </cell>
        </row>
        <row r="190">
          <cell r="A190" t="str">
            <v>2905643778</v>
          </cell>
          <cell r="B190" t="str">
            <v>29056</v>
          </cell>
          <cell r="C190" t="str">
            <v>中井 士郎</v>
          </cell>
          <cell r="D190">
            <v>43778</v>
          </cell>
          <cell r="E190" t="str">
            <v>○</v>
          </cell>
          <cell r="F190" t="str">
            <v/>
          </cell>
          <cell r="G190" t="str">
            <v/>
          </cell>
        </row>
        <row r="191">
          <cell r="A191" t="str">
            <v>2905643779</v>
          </cell>
          <cell r="B191" t="str">
            <v>29056</v>
          </cell>
          <cell r="C191" t="str">
            <v>中井 士郎</v>
          </cell>
          <cell r="D191">
            <v>43779</v>
          </cell>
          <cell r="E191" t="str">
            <v>●</v>
          </cell>
          <cell r="F191" t="str">
            <v/>
          </cell>
          <cell r="G191" t="str">
            <v/>
          </cell>
        </row>
        <row r="192">
          <cell r="A192" t="str">
            <v>2905643780</v>
          </cell>
          <cell r="B192" t="str">
            <v>29056</v>
          </cell>
          <cell r="C192" t="str">
            <v>中井 士郎</v>
          </cell>
          <cell r="D192">
            <v>43780</v>
          </cell>
          <cell r="E192" t="str">
            <v/>
          </cell>
          <cell r="F192" t="str">
            <v/>
          </cell>
          <cell r="G192" t="str">
            <v/>
          </cell>
        </row>
        <row r="193">
          <cell r="A193" t="str">
            <v>2905643781</v>
          </cell>
          <cell r="B193" t="str">
            <v>29056</v>
          </cell>
          <cell r="C193" t="str">
            <v>中井 士郎</v>
          </cell>
          <cell r="D193">
            <v>43781</v>
          </cell>
          <cell r="E193" t="str">
            <v>●</v>
          </cell>
          <cell r="F193" t="str">
            <v/>
          </cell>
          <cell r="G193" t="str">
            <v/>
          </cell>
        </row>
        <row r="194">
          <cell r="A194" t="str">
            <v>2905643782</v>
          </cell>
          <cell r="B194" t="str">
            <v>29056</v>
          </cell>
          <cell r="C194" t="str">
            <v>中井 士郎</v>
          </cell>
          <cell r="D194">
            <v>43782</v>
          </cell>
          <cell r="E194" t="str">
            <v/>
          </cell>
          <cell r="F194" t="str">
            <v/>
          </cell>
          <cell r="G194" t="str">
            <v/>
          </cell>
        </row>
        <row r="195">
          <cell r="A195" t="str">
            <v>2905643783</v>
          </cell>
          <cell r="B195" t="str">
            <v>29056</v>
          </cell>
          <cell r="C195" t="str">
            <v>中井 士郎</v>
          </cell>
          <cell r="D195">
            <v>43783</v>
          </cell>
          <cell r="E195" t="str">
            <v/>
          </cell>
          <cell r="F195" t="str">
            <v/>
          </cell>
          <cell r="G195" t="str">
            <v/>
          </cell>
        </row>
        <row r="196">
          <cell r="A196" t="str">
            <v>2905643784</v>
          </cell>
          <cell r="B196" t="str">
            <v>29056</v>
          </cell>
          <cell r="C196" t="str">
            <v>中井 士郎</v>
          </cell>
          <cell r="D196">
            <v>43784</v>
          </cell>
          <cell r="E196" t="str">
            <v/>
          </cell>
          <cell r="F196" t="str">
            <v/>
          </cell>
          <cell r="G196" t="str">
            <v/>
          </cell>
        </row>
        <row r="197">
          <cell r="A197" t="str">
            <v>2905643785</v>
          </cell>
          <cell r="B197" t="str">
            <v>29056</v>
          </cell>
          <cell r="C197" t="str">
            <v>中井 士郎</v>
          </cell>
          <cell r="D197">
            <v>43785</v>
          </cell>
          <cell r="E197" t="str">
            <v>／</v>
          </cell>
          <cell r="F197" t="str">
            <v/>
          </cell>
          <cell r="G197" t="str">
            <v/>
          </cell>
        </row>
        <row r="198">
          <cell r="A198" t="str">
            <v>2905643786</v>
          </cell>
          <cell r="B198" t="str">
            <v>29056</v>
          </cell>
          <cell r="C198" t="str">
            <v>中井 士郎</v>
          </cell>
          <cell r="D198">
            <v>43786</v>
          </cell>
          <cell r="E198" t="str">
            <v>●</v>
          </cell>
          <cell r="F198" t="str">
            <v/>
          </cell>
          <cell r="G198" t="str">
            <v/>
          </cell>
        </row>
        <row r="199">
          <cell r="A199" t="str">
            <v>2905643787</v>
          </cell>
          <cell r="B199" t="str">
            <v>29056</v>
          </cell>
          <cell r="C199" t="str">
            <v>中井 士郎</v>
          </cell>
          <cell r="D199">
            <v>43787</v>
          </cell>
          <cell r="E199" t="str">
            <v/>
          </cell>
          <cell r="F199" t="str">
            <v/>
          </cell>
          <cell r="G199" t="str">
            <v/>
          </cell>
        </row>
        <row r="200">
          <cell r="A200" t="str">
            <v>2905643788</v>
          </cell>
          <cell r="B200" t="str">
            <v>29056</v>
          </cell>
          <cell r="C200" t="str">
            <v>中井 士郎</v>
          </cell>
          <cell r="D200">
            <v>43788</v>
          </cell>
          <cell r="E200" t="str">
            <v/>
          </cell>
          <cell r="F200" t="str">
            <v>年休</v>
          </cell>
          <cell r="G200" t="str">
            <v/>
          </cell>
        </row>
        <row r="201">
          <cell r="A201" t="str">
            <v>2905643789</v>
          </cell>
          <cell r="B201" t="str">
            <v>29056</v>
          </cell>
          <cell r="C201" t="str">
            <v>中井 士郎</v>
          </cell>
          <cell r="D201">
            <v>43789</v>
          </cell>
          <cell r="E201" t="str">
            <v/>
          </cell>
          <cell r="F201" t="str">
            <v/>
          </cell>
          <cell r="G201" t="str">
            <v/>
          </cell>
        </row>
        <row r="202">
          <cell r="A202" t="str">
            <v>2905643790</v>
          </cell>
          <cell r="B202" t="str">
            <v>29056</v>
          </cell>
          <cell r="C202" t="str">
            <v>中井 士郎</v>
          </cell>
          <cell r="D202">
            <v>43790</v>
          </cell>
          <cell r="E202" t="str">
            <v/>
          </cell>
          <cell r="F202" t="str">
            <v/>
          </cell>
          <cell r="G202" t="str">
            <v/>
          </cell>
        </row>
        <row r="203">
          <cell r="A203" t="str">
            <v>2905643791</v>
          </cell>
          <cell r="B203" t="str">
            <v>29056</v>
          </cell>
          <cell r="C203" t="str">
            <v>中井 士郎</v>
          </cell>
          <cell r="D203">
            <v>43791</v>
          </cell>
          <cell r="E203" t="str">
            <v/>
          </cell>
          <cell r="F203" t="str">
            <v/>
          </cell>
          <cell r="G203" t="str">
            <v/>
          </cell>
        </row>
        <row r="204">
          <cell r="A204" t="str">
            <v>2905643792</v>
          </cell>
          <cell r="B204" t="str">
            <v>29056</v>
          </cell>
          <cell r="C204" t="str">
            <v>中井 士郎</v>
          </cell>
          <cell r="D204">
            <v>43792</v>
          </cell>
          <cell r="E204" t="str">
            <v/>
          </cell>
          <cell r="F204" t="str">
            <v/>
          </cell>
          <cell r="G204" t="str">
            <v/>
          </cell>
        </row>
        <row r="205">
          <cell r="A205" t="str">
            <v>2905643793</v>
          </cell>
          <cell r="B205" t="str">
            <v>29056</v>
          </cell>
          <cell r="C205" t="str">
            <v>中井 士郎</v>
          </cell>
          <cell r="D205">
            <v>43793</v>
          </cell>
          <cell r="E205" t="str">
            <v>●</v>
          </cell>
          <cell r="F205" t="str">
            <v/>
          </cell>
          <cell r="G205" t="str">
            <v/>
          </cell>
        </row>
        <row r="206">
          <cell r="A206" t="str">
            <v>2905643794</v>
          </cell>
          <cell r="B206" t="str">
            <v>29056</v>
          </cell>
          <cell r="C206" t="str">
            <v>中井 士郎</v>
          </cell>
          <cell r="D206">
            <v>43794</v>
          </cell>
          <cell r="E206" t="str">
            <v>●</v>
          </cell>
          <cell r="F206" t="str">
            <v/>
          </cell>
          <cell r="G206" t="str">
            <v/>
          </cell>
        </row>
        <row r="207">
          <cell r="A207" t="str">
            <v>2905643795</v>
          </cell>
          <cell r="B207" t="str">
            <v>29056</v>
          </cell>
          <cell r="C207" t="str">
            <v>中井 士郎</v>
          </cell>
          <cell r="D207">
            <v>43795</v>
          </cell>
          <cell r="E207" t="str">
            <v/>
          </cell>
          <cell r="F207" t="str">
            <v/>
          </cell>
          <cell r="G207" t="str">
            <v/>
          </cell>
        </row>
        <row r="208">
          <cell r="A208" t="str">
            <v>2905643796</v>
          </cell>
          <cell r="B208" t="str">
            <v>29056</v>
          </cell>
          <cell r="C208" t="str">
            <v>中井 士郎</v>
          </cell>
          <cell r="D208">
            <v>43796</v>
          </cell>
          <cell r="E208" t="str">
            <v>当</v>
          </cell>
          <cell r="F208" t="str">
            <v/>
          </cell>
          <cell r="G208" t="str">
            <v/>
          </cell>
        </row>
        <row r="209">
          <cell r="A209" t="str">
            <v>2905643797</v>
          </cell>
          <cell r="B209" t="str">
            <v>29056</v>
          </cell>
          <cell r="C209" t="str">
            <v>中井 士郎</v>
          </cell>
          <cell r="D209">
            <v>43797</v>
          </cell>
          <cell r="E209" t="str">
            <v>明</v>
          </cell>
          <cell r="F209" t="str">
            <v/>
          </cell>
          <cell r="G209" t="str">
            <v/>
          </cell>
        </row>
        <row r="210">
          <cell r="A210" t="str">
            <v>2905643798</v>
          </cell>
          <cell r="B210" t="str">
            <v>29056</v>
          </cell>
          <cell r="C210" t="str">
            <v>中井 士郎</v>
          </cell>
          <cell r="D210">
            <v>43798</v>
          </cell>
          <cell r="E210" t="str">
            <v/>
          </cell>
          <cell r="F210" t="str">
            <v/>
          </cell>
          <cell r="G210" t="str">
            <v/>
          </cell>
        </row>
        <row r="211">
          <cell r="A211" t="str">
            <v>2905643799</v>
          </cell>
          <cell r="B211" t="str">
            <v>29056</v>
          </cell>
          <cell r="C211" t="str">
            <v>中井 士郎</v>
          </cell>
          <cell r="D211">
            <v>43799</v>
          </cell>
          <cell r="E211" t="str">
            <v>／</v>
          </cell>
          <cell r="F211" t="str">
            <v/>
          </cell>
          <cell r="G211" t="str">
            <v/>
          </cell>
        </row>
        <row r="212">
          <cell r="A212" t="str">
            <v>3117643770</v>
          </cell>
          <cell r="B212" t="str">
            <v>31176</v>
          </cell>
          <cell r="C212" t="str">
            <v>北 洋一</v>
          </cell>
          <cell r="D212">
            <v>43770</v>
          </cell>
          <cell r="E212" t="str">
            <v/>
          </cell>
          <cell r="F212" t="str">
            <v/>
          </cell>
          <cell r="G212">
            <v>8</v>
          </cell>
        </row>
        <row r="213">
          <cell r="A213" t="str">
            <v>3117643771</v>
          </cell>
          <cell r="B213" t="str">
            <v>31176</v>
          </cell>
          <cell r="C213" t="str">
            <v>北 洋一</v>
          </cell>
          <cell r="D213">
            <v>43771</v>
          </cell>
          <cell r="E213" t="str">
            <v>／</v>
          </cell>
          <cell r="F213" t="str">
            <v/>
          </cell>
          <cell r="G213" t="str">
            <v/>
          </cell>
        </row>
        <row r="214">
          <cell r="A214" t="str">
            <v>3117643772</v>
          </cell>
          <cell r="B214" t="str">
            <v>31176</v>
          </cell>
          <cell r="C214" t="str">
            <v>北 洋一</v>
          </cell>
          <cell r="D214">
            <v>43772</v>
          </cell>
          <cell r="E214" t="str">
            <v>●</v>
          </cell>
          <cell r="F214" t="str">
            <v/>
          </cell>
          <cell r="G214" t="str">
            <v/>
          </cell>
        </row>
        <row r="215">
          <cell r="A215" t="str">
            <v>3117643773</v>
          </cell>
          <cell r="B215" t="str">
            <v>31176</v>
          </cell>
          <cell r="C215" t="str">
            <v>北 洋一</v>
          </cell>
          <cell r="D215">
            <v>43773</v>
          </cell>
          <cell r="E215" t="str">
            <v>●</v>
          </cell>
          <cell r="F215" t="str">
            <v/>
          </cell>
          <cell r="G215" t="str">
            <v/>
          </cell>
        </row>
        <row r="216">
          <cell r="A216" t="str">
            <v>3117643774</v>
          </cell>
          <cell r="B216" t="str">
            <v>31176</v>
          </cell>
          <cell r="C216" t="str">
            <v>北 洋一</v>
          </cell>
          <cell r="D216">
            <v>43774</v>
          </cell>
          <cell r="E216" t="str">
            <v/>
          </cell>
          <cell r="F216" t="str">
            <v/>
          </cell>
          <cell r="G216" t="str">
            <v/>
          </cell>
        </row>
        <row r="217">
          <cell r="A217" t="str">
            <v>3117643775</v>
          </cell>
          <cell r="B217" t="str">
            <v>31176</v>
          </cell>
          <cell r="C217" t="str">
            <v>北 洋一</v>
          </cell>
          <cell r="D217">
            <v>43775</v>
          </cell>
          <cell r="E217" t="str">
            <v/>
          </cell>
          <cell r="F217" t="str">
            <v/>
          </cell>
          <cell r="G217" t="str">
            <v/>
          </cell>
        </row>
        <row r="218">
          <cell r="A218" t="str">
            <v>3117643776</v>
          </cell>
          <cell r="B218" t="str">
            <v>31176</v>
          </cell>
          <cell r="C218" t="str">
            <v>北 洋一</v>
          </cell>
          <cell r="D218">
            <v>43776</v>
          </cell>
          <cell r="E218" t="str">
            <v/>
          </cell>
          <cell r="F218" t="str">
            <v/>
          </cell>
          <cell r="G218" t="str">
            <v/>
          </cell>
        </row>
        <row r="219">
          <cell r="A219" t="str">
            <v>3117643777</v>
          </cell>
          <cell r="B219" t="str">
            <v>31176</v>
          </cell>
          <cell r="C219" t="str">
            <v>北 洋一</v>
          </cell>
          <cell r="D219">
            <v>43777</v>
          </cell>
          <cell r="E219" t="str">
            <v/>
          </cell>
          <cell r="F219" t="str">
            <v/>
          </cell>
          <cell r="G219" t="str">
            <v/>
          </cell>
        </row>
        <row r="220">
          <cell r="A220" t="str">
            <v>3117643778</v>
          </cell>
          <cell r="B220" t="str">
            <v>31176</v>
          </cell>
          <cell r="C220" t="str">
            <v>北 洋一</v>
          </cell>
          <cell r="D220">
            <v>43778</v>
          </cell>
          <cell r="E220" t="str">
            <v>○</v>
          </cell>
          <cell r="F220" t="str">
            <v/>
          </cell>
          <cell r="G220" t="str">
            <v/>
          </cell>
        </row>
        <row r="221">
          <cell r="A221" t="str">
            <v>3117643779</v>
          </cell>
          <cell r="B221" t="str">
            <v>31176</v>
          </cell>
          <cell r="C221" t="str">
            <v>北 洋一</v>
          </cell>
          <cell r="D221">
            <v>43779</v>
          </cell>
          <cell r="E221" t="str">
            <v>●</v>
          </cell>
          <cell r="F221" t="str">
            <v/>
          </cell>
          <cell r="G221" t="str">
            <v/>
          </cell>
        </row>
        <row r="222">
          <cell r="A222" t="str">
            <v>3117643780</v>
          </cell>
          <cell r="B222" t="str">
            <v>31176</v>
          </cell>
          <cell r="C222" t="str">
            <v>北 洋一</v>
          </cell>
          <cell r="D222">
            <v>43780</v>
          </cell>
          <cell r="E222" t="str">
            <v/>
          </cell>
          <cell r="F222" t="str">
            <v/>
          </cell>
          <cell r="G222" t="str">
            <v/>
          </cell>
        </row>
        <row r="223">
          <cell r="A223" t="str">
            <v>3117643781</v>
          </cell>
          <cell r="B223" t="str">
            <v>31176</v>
          </cell>
          <cell r="C223" t="str">
            <v>北 洋一</v>
          </cell>
          <cell r="D223">
            <v>43781</v>
          </cell>
          <cell r="E223" t="str">
            <v/>
          </cell>
          <cell r="F223" t="str">
            <v/>
          </cell>
          <cell r="G223" t="str">
            <v/>
          </cell>
        </row>
        <row r="224">
          <cell r="A224" t="str">
            <v>3117643782</v>
          </cell>
          <cell r="B224" t="str">
            <v>31176</v>
          </cell>
          <cell r="C224" t="str">
            <v>北 洋一</v>
          </cell>
          <cell r="D224">
            <v>43782</v>
          </cell>
          <cell r="E224" t="str">
            <v/>
          </cell>
          <cell r="F224" t="str">
            <v/>
          </cell>
          <cell r="G224" t="str">
            <v/>
          </cell>
        </row>
        <row r="225">
          <cell r="A225" t="str">
            <v>3117643783</v>
          </cell>
          <cell r="B225" t="str">
            <v>31176</v>
          </cell>
          <cell r="C225" t="str">
            <v>北 洋一</v>
          </cell>
          <cell r="D225">
            <v>43783</v>
          </cell>
          <cell r="E225" t="str">
            <v/>
          </cell>
          <cell r="F225" t="str">
            <v/>
          </cell>
          <cell r="G225" t="str">
            <v/>
          </cell>
        </row>
        <row r="226">
          <cell r="A226" t="str">
            <v>3117643784</v>
          </cell>
          <cell r="B226" t="str">
            <v>31176</v>
          </cell>
          <cell r="C226" t="str">
            <v>北 洋一</v>
          </cell>
          <cell r="D226">
            <v>43784</v>
          </cell>
          <cell r="E226" t="str">
            <v/>
          </cell>
          <cell r="F226" t="str">
            <v/>
          </cell>
          <cell r="G226" t="str">
            <v/>
          </cell>
        </row>
        <row r="227">
          <cell r="A227" t="str">
            <v>3117643785</v>
          </cell>
          <cell r="B227" t="str">
            <v>31176</v>
          </cell>
          <cell r="C227" t="str">
            <v>北 洋一</v>
          </cell>
          <cell r="D227">
            <v>43785</v>
          </cell>
          <cell r="E227" t="str">
            <v>／</v>
          </cell>
          <cell r="F227" t="str">
            <v/>
          </cell>
          <cell r="G227" t="str">
            <v/>
          </cell>
        </row>
        <row r="228">
          <cell r="A228" t="str">
            <v>3117643786</v>
          </cell>
          <cell r="B228" t="str">
            <v>31176</v>
          </cell>
          <cell r="C228" t="str">
            <v>北 洋一</v>
          </cell>
          <cell r="D228">
            <v>43786</v>
          </cell>
          <cell r="E228" t="str">
            <v>●</v>
          </cell>
          <cell r="F228" t="str">
            <v/>
          </cell>
          <cell r="G228" t="str">
            <v/>
          </cell>
        </row>
        <row r="229">
          <cell r="A229" t="str">
            <v>3117643787</v>
          </cell>
          <cell r="B229" t="str">
            <v>31176</v>
          </cell>
          <cell r="C229" t="str">
            <v>北 洋一</v>
          </cell>
          <cell r="D229">
            <v>43787</v>
          </cell>
          <cell r="E229" t="str">
            <v/>
          </cell>
          <cell r="F229" t="str">
            <v/>
          </cell>
          <cell r="G229" t="str">
            <v/>
          </cell>
        </row>
        <row r="230">
          <cell r="A230" t="str">
            <v>3117643788</v>
          </cell>
          <cell r="B230" t="str">
            <v>31176</v>
          </cell>
          <cell r="C230" t="str">
            <v>北 洋一</v>
          </cell>
          <cell r="D230">
            <v>43788</v>
          </cell>
          <cell r="E230" t="str">
            <v/>
          </cell>
          <cell r="F230" t="str">
            <v/>
          </cell>
          <cell r="G230" t="str">
            <v/>
          </cell>
        </row>
        <row r="231">
          <cell r="A231" t="str">
            <v>3117643789</v>
          </cell>
          <cell r="B231" t="str">
            <v>31176</v>
          </cell>
          <cell r="C231" t="str">
            <v>北 洋一</v>
          </cell>
          <cell r="D231">
            <v>43789</v>
          </cell>
          <cell r="E231" t="str">
            <v/>
          </cell>
          <cell r="F231" t="str">
            <v/>
          </cell>
          <cell r="G231" t="str">
            <v/>
          </cell>
        </row>
        <row r="232">
          <cell r="A232" t="str">
            <v>3117643790</v>
          </cell>
          <cell r="B232" t="str">
            <v>31176</v>
          </cell>
          <cell r="C232" t="str">
            <v>北 洋一</v>
          </cell>
          <cell r="D232">
            <v>43790</v>
          </cell>
          <cell r="E232" t="str">
            <v/>
          </cell>
          <cell r="F232" t="str">
            <v/>
          </cell>
          <cell r="G232" t="str">
            <v/>
          </cell>
        </row>
        <row r="233">
          <cell r="A233" t="str">
            <v>3117643791</v>
          </cell>
          <cell r="B233" t="str">
            <v>31176</v>
          </cell>
          <cell r="C233" t="str">
            <v>北 洋一</v>
          </cell>
          <cell r="D233">
            <v>43791</v>
          </cell>
          <cell r="E233" t="str">
            <v/>
          </cell>
          <cell r="F233" t="str">
            <v/>
          </cell>
          <cell r="G233" t="str">
            <v/>
          </cell>
        </row>
        <row r="234">
          <cell r="A234" t="str">
            <v>3117643792</v>
          </cell>
          <cell r="B234" t="str">
            <v>31176</v>
          </cell>
          <cell r="C234" t="str">
            <v>北 洋一</v>
          </cell>
          <cell r="D234">
            <v>43792</v>
          </cell>
          <cell r="E234" t="str">
            <v>●</v>
          </cell>
          <cell r="F234" t="str">
            <v/>
          </cell>
          <cell r="G234" t="str">
            <v/>
          </cell>
        </row>
        <row r="235">
          <cell r="A235" t="str">
            <v>3117643793</v>
          </cell>
          <cell r="B235" t="str">
            <v>31176</v>
          </cell>
          <cell r="C235" t="str">
            <v>北 洋一</v>
          </cell>
          <cell r="D235">
            <v>43793</v>
          </cell>
          <cell r="E235" t="str">
            <v>●</v>
          </cell>
          <cell r="F235" t="str">
            <v/>
          </cell>
          <cell r="G235" t="str">
            <v/>
          </cell>
        </row>
        <row r="236">
          <cell r="A236" t="str">
            <v>3117643794</v>
          </cell>
          <cell r="B236" t="str">
            <v>31176</v>
          </cell>
          <cell r="C236" t="str">
            <v>北 洋一</v>
          </cell>
          <cell r="D236">
            <v>43794</v>
          </cell>
          <cell r="E236" t="str">
            <v/>
          </cell>
          <cell r="F236" t="str">
            <v/>
          </cell>
          <cell r="G236" t="str">
            <v/>
          </cell>
        </row>
        <row r="237">
          <cell r="A237" t="str">
            <v>3117643795</v>
          </cell>
          <cell r="B237" t="str">
            <v>31176</v>
          </cell>
          <cell r="C237" t="str">
            <v>北 洋一</v>
          </cell>
          <cell r="D237">
            <v>43795</v>
          </cell>
          <cell r="E237" t="str">
            <v/>
          </cell>
          <cell r="F237" t="str">
            <v/>
          </cell>
          <cell r="G237" t="str">
            <v/>
          </cell>
        </row>
        <row r="238">
          <cell r="A238" t="str">
            <v>3117643796</v>
          </cell>
          <cell r="B238" t="str">
            <v>31176</v>
          </cell>
          <cell r="C238" t="str">
            <v>北 洋一</v>
          </cell>
          <cell r="D238">
            <v>43796</v>
          </cell>
          <cell r="E238" t="str">
            <v/>
          </cell>
          <cell r="F238" t="str">
            <v/>
          </cell>
          <cell r="G238" t="str">
            <v/>
          </cell>
        </row>
        <row r="239">
          <cell r="A239" t="str">
            <v>3117643797</v>
          </cell>
          <cell r="B239" t="str">
            <v>31176</v>
          </cell>
          <cell r="C239" t="str">
            <v>北 洋一</v>
          </cell>
          <cell r="D239">
            <v>43797</v>
          </cell>
          <cell r="E239" t="str">
            <v/>
          </cell>
          <cell r="F239" t="str">
            <v/>
          </cell>
          <cell r="G239" t="str">
            <v/>
          </cell>
        </row>
        <row r="240">
          <cell r="A240" t="str">
            <v>3117643798</v>
          </cell>
          <cell r="B240" t="str">
            <v>31176</v>
          </cell>
          <cell r="C240" t="str">
            <v>北 洋一</v>
          </cell>
          <cell r="D240">
            <v>43798</v>
          </cell>
          <cell r="E240" t="str">
            <v/>
          </cell>
          <cell r="F240" t="str">
            <v/>
          </cell>
          <cell r="G240" t="str">
            <v/>
          </cell>
        </row>
        <row r="241">
          <cell r="A241" t="str">
            <v>3117643799</v>
          </cell>
          <cell r="B241" t="str">
            <v>31176</v>
          </cell>
          <cell r="C241" t="str">
            <v>北 洋一</v>
          </cell>
          <cell r="D241">
            <v>43799</v>
          </cell>
          <cell r="E241" t="str">
            <v>／</v>
          </cell>
          <cell r="F241" t="str">
            <v/>
          </cell>
          <cell r="G241" t="str">
            <v/>
          </cell>
        </row>
        <row r="242">
          <cell r="A242" t="str">
            <v>3347343770</v>
          </cell>
          <cell r="B242" t="str">
            <v>33473</v>
          </cell>
          <cell r="C242" t="str">
            <v>中村 映水</v>
          </cell>
          <cell r="D242">
            <v>43770</v>
          </cell>
          <cell r="E242" t="str">
            <v/>
          </cell>
          <cell r="F242" t="str">
            <v/>
          </cell>
          <cell r="G242">
            <v>9</v>
          </cell>
        </row>
        <row r="243">
          <cell r="A243" t="str">
            <v>3347343771</v>
          </cell>
          <cell r="B243" t="str">
            <v>33473</v>
          </cell>
          <cell r="C243" t="str">
            <v>中村 映水</v>
          </cell>
          <cell r="D243">
            <v>43771</v>
          </cell>
          <cell r="E243" t="str">
            <v>／</v>
          </cell>
          <cell r="F243" t="str">
            <v/>
          </cell>
          <cell r="G243" t="str">
            <v/>
          </cell>
        </row>
        <row r="244">
          <cell r="A244" t="str">
            <v>3347343772</v>
          </cell>
          <cell r="B244" t="str">
            <v>33473</v>
          </cell>
          <cell r="C244" t="str">
            <v>中村 映水</v>
          </cell>
          <cell r="D244">
            <v>43772</v>
          </cell>
          <cell r="E244" t="str">
            <v>●</v>
          </cell>
          <cell r="F244" t="str">
            <v/>
          </cell>
          <cell r="G244" t="str">
            <v/>
          </cell>
        </row>
        <row r="245">
          <cell r="A245" t="str">
            <v>3347343773</v>
          </cell>
          <cell r="B245" t="str">
            <v>33473</v>
          </cell>
          <cell r="C245" t="str">
            <v>中村 映水</v>
          </cell>
          <cell r="D245">
            <v>43773</v>
          </cell>
          <cell r="E245" t="str">
            <v>●</v>
          </cell>
          <cell r="F245" t="str">
            <v/>
          </cell>
          <cell r="G245" t="str">
            <v/>
          </cell>
        </row>
        <row r="246">
          <cell r="A246" t="str">
            <v>3347343774</v>
          </cell>
          <cell r="B246" t="str">
            <v>33473</v>
          </cell>
          <cell r="C246" t="str">
            <v>中村 映水</v>
          </cell>
          <cell r="D246">
            <v>43774</v>
          </cell>
          <cell r="E246" t="str">
            <v/>
          </cell>
          <cell r="F246" t="str">
            <v/>
          </cell>
          <cell r="G246" t="str">
            <v/>
          </cell>
        </row>
        <row r="247">
          <cell r="A247" t="str">
            <v>3347343775</v>
          </cell>
          <cell r="B247" t="str">
            <v>33473</v>
          </cell>
          <cell r="C247" t="str">
            <v>中村 映水</v>
          </cell>
          <cell r="D247">
            <v>43775</v>
          </cell>
          <cell r="E247" t="str">
            <v>当</v>
          </cell>
          <cell r="F247" t="str">
            <v/>
          </cell>
          <cell r="G247" t="str">
            <v/>
          </cell>
        </row>
        <row r="248">
          <cell r="A248" t="str">
            <v>3347343776</v>
          </cell>
          <cell r="B248" t="str">
            <v>33473</v>
          </cell>
          <cell r="C248" t="str">
            <v>中村 映水</v>
          </cell>
          <cell r="D248">
            <v>43776</v>
          </cell>
          <cell r="E248" t="str">
            <v>明</v>
          </cell>
          <cell r="F248" t="str">
            <v/>
          </cell>
          <cell r="G248" t="str">
            <v/>
          </cell>
        </row>
        <row r="249">
          <cell r="A249" t="str">
            <v>3347343777</v>
          </cell>
          <cell r="B249" t="str">
            <v>33473</v>
          </cell>
          <cell r="C249" t="str">
            <v>中村 映水</v>
          </cell>
          <cell r="D249">
            <v>43777</v>
          </cell>
          <cell r="E249" t="str">
            <v/>
          </cell>
          <cell r="F249" t="str">
            <v/>
          </cell>
          <cell r="G249" t="str">
            <v/>
          </cell>
        </row>
        <row r="250">
          <cell r="A250" t="str">
            <v>3347343778</v>
          </cell>
          <cell r="B250" t="str">
            <v>33473</v>
          </cell>
          <cell r="C250" t="str">
            <v>中村 映水</v>
          </cell>
          <cell r="D250">
            <v>43778</v>
          </cell>
          <cell r="E250" t="str">
            <v>○</v>
          </cell>
          <cell r="F250" t="str">
            <v/>
          </cell>
          <cell r="G250" t="str">
            <v/>
          </cell>
        </row>
        <row r="251">
          <cell r="A251" t="str">
            <v>3347343779</v>
          </cell>
          <cell r="B251" t="str">
            <v>33473</v>
          </cell>
          <cell r="C251" t="str">
            <v>中村 映水</v>
          </cell>
          <cell r="D251">
            <v>43779</v>
          </cell>
          <cell r="E251" t="str">
            <v>●</v>
          </cell>
          <cell r="F251" t="str">
            <v/>
          </cell>
          <cell r="G251" t="str">
            <v/>
          </cell>
        </row>
        <row r="252">
          <cell r="A252" t="str">
            <v>3347343780</v>
          </cell>
          <cell r="B252" t="str">
            <v>33473</v>
          </cell>
          <cell r="C252" t="str">
            <v>中村 映水</v>
          </cell>
          <cell r="D252">
            <v>43780</v>
          </cell>
          <cell r="E252" t="str">
            <v/>
          </cell>
          <cell r="F252" t="str">
            <v/>
          </cell>
          <cell r="G252" t="str">
            <v/>
          </cell>
        </row>
        <row r="253">
          <cell r="A253" t="str">
            <v>3347343781</v>
          </cell>
          <cell r="B253" t="str">
            <v>33473</v>
          </cell>
          <cell r="C253" t="str">
            <v>中村 映水</v>
          </cell>
          <cell r="D253">
            <v>43781</v>
          </cell>
          <cell r="E253" t="str">
            <v/>
          </cell>
          <cell r="F253" t="str">
            <v/>
          </cell>
          <cell r="G253" t="str">
            <v/>
          </cell>
        </row>
        <row r="254">
          <cell r="A254" t="str">
            <v>3347343782</v>
          </cell>
          <cell r="B254" t="str">
            <v>33473</v>
          </cell>
          <cell r="C254" t="str">
            <v>中村 映水</v>
          </cell>
          <cell r="D254">
            <v>43782</v>
          </cell>
          <cell r="E254" t="str">
            <v/>
          </cell>
          <cell r="F254" t="str">
            <v/>
          </cell>
          <cell r="G254" t="str">
            <v/>
          </cell>
        </row>
        <row r="255">
          <cell r="A255" t="str">
            <v>3347343783</v>
          </cell>
          <cell r="B255" t="str">
            <v>33473</v>
          </cell>
          <cell r="C255" t="str">
            <v>中村 映水</v>
          </cell>
          <cell r="D255">
            <v>43783</v>
          </cell>
          <cell r="E255" t="str">
            <v/>
          </cell>
          <cell r="F255" t="str">
            <v>年休</v>
          </cell>
          <cell r="G255" t="str">
            <v/>
          </cell>
        </row>
        <row r="256">
          <cell r="A256" t="str">
            <v>3347343784</v>
          </cell>
          <cell r="B256" t="str">
            <v>33473</v>
          </cell>
          <cell r="C256" t="str">
            <v>中村 映水</v>
          </cell>
          <cell r="D256">
            <v>43784</v>
          </cell>
          <cell r="E256" t="str">
            <v/>
          </cell>
          <cell r="F256" t="str">
            <v>年休</v>
          </cell>
          <cell r="G256" t="str">
            <v/>
          </cell>
        </row>
        <row r="257">
          <cell r="A257" t="str">
            <v>3347343785</v>
          </cell>
          <cell r="B257" t="str">
            <v>33473</v>
          </cell>
          <cell r="C257" t="str">
            <v>中村 映水</v>
          </cell>
          <cell r="D257">
            <v>43785</v>
          </cell>
          <cell r="E257" t="str">
            <v>／</v>
          </cell>
          <cell r="F257" t="str">
            <v/>
          </cell>
          <cell r="G257" t="str">
            <v/>
          </cell>
        </row>
        <row r="258">
          <cell r="A258" t="str">
            <v>3347343786</v>
          </cell>
          <cell r="B258" t="str">
            <v>33473</v>
          </cell>
          <cell r="C258" t="str">
            <v>中村 映水</v>
          </cell>
          <cell r="D258">
            <v>43786</v>
          </cell>
          <cell r="E258" t="str">
            <v>●</v>
          </cell>
          <cell r="F258" t="str">
            <v/>
          </cell>
          <cell r="G258" t="str">
            <v/>
          </cell>
        </row>
        <row r="259">
          <cell r="A259" t="str">
            <v>3347343787</v>
          </cell>
          <cell r="B259" t="str">
            <v>33473</v>
          </cell>
          <cell r="C259" t="str">
            <v>中村 映水</v>
          </cell>
          <cell r="D259">
            <v>43787</v>
          </cell>
          <cell r="E259" t="str">
            <v/>
          </cell>
          <cell r="F259" t="str">
            <v/>
          </cell>
          <cell r="G259" t="str">
            <v/>
          </cell>
        </row>
        <row r="260">
          <cell r="A260" t="str">
            <v>3347343788</v>
          </cell>
          <cell r="B260" t="str">
            <v>33473</v>
          </cell>
          <cell r="C260" t="str">
            <v>中村 映水</v>
          </cell>
          <cell r="D260">
            <v>43788</v>
          </cell>
          <cell r="E260" t="str">
            <v>●</v>
          </cell>
          <cell r="F260" t="str">
            <v/>
          </cell>
          <cell r="G260" t="str">
            <v/>
          </cell>
        </row>
        <row r="261">
          <cell r="A261" t="str">
            <v>3347343789</v>
          </cell>
          <cell r="B261" t="str">
            <v>33473</v>
          </cell>
          <cell r="C261" t="str">
            <v>中村 映水</v>
          </cell>
          <cell r="D261">
            <v>43789</v>
          </cell>
          <cell r="E261" t="str">
            <v/>
          </cell>
          <cell r="F261" t="str">
            <v/>
          </cell>
          <cell r="G261" t="str">
            <v/>
          </cell>
        </row>
        <row r="262">
          <cell r="A262" t="str">
            <v>3347343790</v>
          </cell>
          <cell r="B262" t="str">
            <v>33473</v>
          </cell>
          <cell r="C262" t="str">
            <v>中村 映水</v>
          </cell>
          <cell r="D262">
            <v>43790</v>
          </cell>
          <cell r="E262" t="str">
            <v/>
          </cell>
          <cell r="F262" t="str">
            <v/>
          </cell>
          <cell r="G262" t="str">
            <v/>
          </cell>
        </row>
        <row r="263">
          <cell r="A263" t="str">
            <v>3347343791</v>
          </cell>
          <cell r="B263" t="str">
            <v>33473</v>
          </cell>
          <cell r="C263" t="str">
            <v>中村 映水</v>
          </cell>
          <cell r="D263">
            <v>43791</v>
          </cell>
          <cell r="E263" t="str">
            <v/>
          </cell>
          <cell r="F263" t="str">
            <v/>
          </cell>
          <cell r="G263" t="str">
            <v/>
          </cell>
        </row>
        <row r="264">
          <cell r="A264" t="str">
            <v>3347343792</v>
          </cell>
          <cell r="B264" t="str">
            <v>33473</v>
          </cell>
          <cell r="C264" t="str">
            <v>中村 映水</v>
          </cell>
          <cell r="D264">
            <v>43792</v>
          </cell>
          <cell r="E264" t="str">
            <v>●</v>
          </cell>
          <cell r="F264" t="str">
            <v/>
          </cell>
          <cell r="G264" t="str">
            <v/>
          </cell>
        </row>
        <row r="265">
          <cell r="A265" t="str">
            <v>3347343793</v>
          </cell>
          <cell r="B265" t="str">
            <v>33473</v>
          </cell>
          <cell r="C265" t="str">
            <v>中村 映水</v>
          </cell>
          <cell r="D265">
            <v>43793</v>
          </cell>
          <cell r="E265" t="str">
            <v>●</v>
          </cell>
          <cell r="F265" t="str">
            <v/>
          </cell>
          <cell r="G265" t="str">
            <v/>
          </cell>
        </row>
        <row r="266">
          <cell r="A266" t="str">
            <v>3347343794</v>
          </cell>
          <cell r="B266" t="str">
            <v>33473</v>
          </cell>
          <cell r="C266" t="str">
            <v>中村 映水</v>
          </cell>
          <cell r="D266">
            <v>43794</v>
          </cell>
          <cell r="E266" t="str">
            <v>当</v>
          </cell>
          <cell r="F266" t="str">
            <v/>
          </cell>
          <cell r="G266" t="str">
            <v/>
          </cell>
        </row>
        <row r="267">
          <cell r="A267" t="str">
            <v>3347343795</v>
          </cell>
          <cell r="B267" t="str">
            <v>33473</v>
          </cell>
          <cell r="C267" t="str">
            <v>中村 映水</v>
          </cell>
          <cell r="D267">
            <v>43795</v>
          </cell>
          <cell r="E267" t="str">
            <v>明</v>
          </cell>
          <cell r="F267" t="str">
            <v/>
          </cell>
          <cell r="G267" t="str">
            <v/>
          </cell>
        </row>
        <row r="268">
          <cell r="A268" t="str">
            <v>3347343796</v>
          </cell>
          <cell r="B268" t="str">
            <v>33473</v>
          </cell>
          <cell r="C268" t="str">
            <v>中村 映水</v>
          </cell>
          <cell r="D268">
            <v>43796</v>
          </cell>
          <cell r="E268" t="str">
            <v/>
          </cell>
          <cell r="F268" t="str">
            <v/>
          </cell>
          <cell r="G268" t="str">
            <v/>
          </cell>
        </row>
        <row r="269">
          <cell r="A269" t="str">
            <v>3347343797</v>
          </cell>
          <cell r="B269" t="str">
            <v>33473</v>
          </cell>
          <cell r="C269" t="str">
            <v>中村 映水</v>
          </cell>
          <cell r="D269">
            <v>43797</v>
          </cell>
          <cell r="E269" t="str">
            <v/>
          </cell>
          <cell r="F269" t="str">
            <v/>
          </cell>
          <cell r="G269" t="str">
            <v/>
          </cell>
        </row>
        <row r="270">
          <cell r="A270" t="str">
            <v>3347343798</v>
          </cell>
          <cell r="B270" t="str">
            <v>33473</v>
          </cell>
          <cell r="C270" t="str">
            <v>中村 映水</v>
          </cell>
          <cell r="D270">
            <v>43798</v>
          </cell>
          <cell r="E270" t="str">
            <v/>
          </cell>
          <cell r="F270" t="str">
            <v/>
          </cell>
          <cell r="G270" t="str">
            <v/>
          </cell>
        </row>
        <row r="271">
          <cell r="A271" t="str">
            <v>3347343799</v>
          </cell>
          <cell r="B271" t="str">
            <v>33473</v>
          </cell>
          <cell r="C271" t="str">
            <v>中村 映水</v>
          </cell>
          <cell r="D271">
            <v>43799</v>
          </cell>
          <cell r="E271" t="str">
            <v>当</v>
          </cell>
          <cell r="F271" t="str">
            <v/>
          </cell>
          <cell r="G271" t="str">
            <v/>
          </cell>
        </row>
        <row r="272">
          <cell r="A272" t="str">
            <v>3348543770</v>
          </cell>
          <cell r="B272" t="str">
            <v>33485</v>
          </cell>
          <cell r="C272" t="str">
            <v>平田 真奈美</v>
          </cell>
          <cell r="D272">
            <v>43770</v>
          </cell>
          <cell r="E272" t="str">
            <v/>
          </cell>
          <cell r="F272" t="str">
            <v/>
          </cell>
          <cell r="G272">
            <v>10</v>
          </cell>
        </row>
        <row r="273">
          <cell r="A273" t="str">
            <v>3348543771</v>
          </cell>
          <cell r="B273" t="str">
            <v>33485</v>
          </cell>
          <cell r="C273" t="str">
            <v>平田 真奈美</v>
          </cell>
          <cell r="D273">
            <v>43771</v>
          </cell>
          <cell r="E273" t="str">
            <v>／</v>
          </cell>
          <cell r="F273" t="str">
            <v/>
          </cell>
          <cell r="G273" t="str">
            <v/>
          </cell>
        </row>
        <row r="274">
          <cell r="A274" t="str">
            <v>3348543772</v>
          </cell>
          <cell r="B274" t="str">
            <v>33485</v>
          </cell>
          <cell r="C274" t="str">
            <v>平田 真奈美</v>
          </cell>
          <cell r="D274">
            <v>43772</v>
          </cell>
          <cell r="E274" t="str">
            <v>●</v>
          </cell>
          <cell r="F274" t="str">
            <v/>
          </cell>
          <cell r="G274" t="str">
            <v/>
          </cell>
        </row>
        <row r="275">
          <cell r="A275" t="str">
            <v>3348543773</v>
          </cell>
          <cell r="B275" t="str">
            <v>33485</v>
          </cell>
          <cell r="C275" t="str">
            <v>平田 真奈美</v>
          </cell>
          <cell r="D275">
            <v>43773</v>
          </cell>
          <cell r="E275" t="str">
            <v>●</v>
          </cell>
          <cell r="F275" t="str">
            <v/>
          </cell>
          <cell r="G275" t="str">
            <v/>
          </cell>
        </row>
        <row r="276">
          <cell r="A276" t="str">
            <v>3348543774</v>
          </cell>
          <cell r="B276" t="str">
            <v>33485</v>
          </cell>
          <cell r="C276" t="str">
            <v>平田 真奈美</v>
          </cell>
          <cell r="D276">
            <v>43774</v>
          </cell>
          <cell r="E276" t="str">
            <v/>
          </cell>
          <cell r="F276" t="str">
            <v/>
          </cell>
          <cell r="G276" t="str">
            <v/>
          </cell>
        </row>
        <row r="277">
          <cell r="A277" t="str">
            <v>3348543775</v>
          </cell>
          <cell r="B277" t="str">
            <v>33485</v>
          </cell>
          <cell r="C277" t="str">
            <v>平田 真奈美</v>
          </cell>
          <cell r="D277">
            <v>43775</v>
          </cell>
          <cell r="E277" t="str">
            <v/>
          </cell>
          <cell r="F277" t="str">
            <v/>
          </cell>
          <cell r="G277" t="str">
            <v/>
          </cell>
        </row>
        <row r="278">
          <cell r="A278" t="str">
            <v>3348543776</v>
          </cell>
          <cell r="B278" t="str">
            <v>33485</v>
          </cell>
          <cell r="C278" t="str">
            <v>平田 真奈美</v>
          </cell>
          <cell r="D278">
            <v>43776</v>
          </cell>
          <cell r="E278" t="str">
            <v/>
          </cell>
          <cell r="F278" t="str">
            <v>指PM</v>
          </cell>
          <cell r="G278" t="str">
            <v/>
          </cell>
        </row>
        <row r="279">
          <cell r="A279" t="str">
            <v>3348543777</v>
          </cell>
          <cell r="B279" t="str">
            <v>33485</v>
          </cell>
          <cell r="C279" t="str">
            <v>平田 真奈美</v>
          </cell>
          <cell r="D279">
            <v>43777</v>
          </cell>
          <cell r="E279" t="str">
            <v>●</v>
          </cell>
          <cell r="F279" t="str">
            <v/>
          </cell>
          <cell r="G279" t="str">
            <v/>
          </cell>
        </row>
        <row r="280">
          <cell r="A280" t="str">
            <v>3348543778</v>
          </cell>
          <cell r="B280" t="str">
            <v>33485</v>
          </cell>
          <cell r="C280" t="str">
            <v>平田 真奈美</v>
          </cell>
          <cell r="D280">
            <v>43778</v>
          </cell>
          <cell r="E280" t="str">
            <v>○</v>
          </cell>
          <cell r="F280" t="str">
            <v/>
          </cell>
          <cell r="G280" t="str">
            <v/>
          </cell>
        </row>
        <row r="281">
          <cell r="A281" t="str">
            <v>3348543779</v>
          </cell>
          <cell r="B281" t="str">
            <v>33485</v>
          </cell>
          <cell r="C281" t="str">
            <v>平田 真奈美</v>
          </cell>
          <cell r="D281">
            <v>43779</v>
          </cell>
          <cell r="E281" t="str">
            <v/>
          </cell>
          <cell r="F281" t="str">
            <v/>
          </cell>
          <cell r="G281" t="str">
            <v/>
          </cell>
        </row>
        <row r="282">
          <cell r="A282" t="str">
            <v>3348543780</v>
          </cell>
          <cell r="B282" t="str">
            <v>33485</v>
          </cell>
          <cell r="C282" t="str">
            <v>平田 真奈美</v>
          </cell>
          <cell r="D282">
            <v>43780</v>
          </cell>
          <cell r="E282" t="str">
            <v/>
          </cell>
          <cell r="F282" t="str">
            <v/>
          </cell>
          <cell r="G282" t="str">
            <v/>
          </cell>
        </row>
        <row r="283">
          <cell r="A283" t="str">
            <v>3348543781</v>
          </cell>
          <cell r="B283" t="str">
            <v>33485</v>
          </cell>
          <cell r="C283" t="str">
            <v>平田 真奈美</v>
          </cell>
          <cell r="D283">
            <v>43781</v>
          </cell>
          <cell r="E283" t="str">
            <v>●</v>
          </cell>
          <cell r="F283" t="str">
            <v/>
          </cell>
          <cell r="G283" t="str">
            <v/>
          </cell>
        </row>
        <row r="284">
          <cell r="A284" t="str">
            <v>3348543782</v>
          </cell>
          <cell r="B284" t="str">
            <v>33485</v>
          </cell>
          <cell r="C284" t="str">
            <v>平田 真奈美</v>
          </cell>
          <cell r="D284">
            <v>43782</v>
          </cell>
          <cell r="E284" t="str">
            <v/>
          </cell>
          <cell r="F284" t="str">
            <v/>
          </cell>
          <cell r="G284" t="str">
            <v/>
          </cell>
        </row>
        <row r="285">
          <cell r="A285" t="str">
            <v>3348543783</v>
          </cell>
          <cell r="B285" t="str">
            <v>33485</v>
          </cell>
          <cell r="C285" t="str">
            <v>平田 真奈美</v>
          </cell>
          <cell r="D285">
            <v>43783</v>
          </cell>
          <cell r="E285" t="str">
            <v/>
          </cell>
          <cell r="F285" t="str">
            <v/>
          </cell>
          <cell r="G285" t="str">
            <v/>
          </cell>
        </row>
        <row r="286">
          <cell r="A286" t="str">
            <v>3348543784</v>
          </cell>
          <cell r="B286" t="str">
            <v>33485</v>
          </cell>
          <cell r="C286" t="str">
            <v>平田 真奈美</v>
          </cell>
          <cell r="D286">
            <v>43784</v>
          </cell>
          <cell r="E286" t="str">
            <v/>
          </cell>
          <cell r="F286" t="str">
            <v>夏PM</v>
          </cell>
          <cell r="G286" t="str">
            <v/>
          </cell>
        </row>
        <row r="287">
          <cell r="A287" t="str">
            <v>3348543785</v>
          </cell>
          <cell r="B287" t="str">
            <v>33485</v>
          </cell>
          <cell r="C287" t="str">
            <v>平田 真奈美</v>
          </cell>
          <cell r="D287">
            <v>43785</v>
          </cell>
          <cell r="E287" t="str">
            <v>／</v>
          </cell>
          <cell r="F287" t="str">
            <v/>
          </cell>
          <cell r="G287" t="str">
            <v/>
          </cell>
        </row>
        <row r="288">
          <cell r="A288" t="str">
            <v>3348543786</v>
          </cell>
          <cell r="B288" t="str">
            <v>33485</v>
          </cell>
          <cell r="C288" t="str">
            <v>平田 真奈美</v>
          </cell>
          <cell r="D288">
            <v>43786</v>
          </cell>
          <cell r="E288" t="str">
            <v>●</v>
          </cell>
          <cell r="F288" t="str">
            <v/>
          </cell>
          <cell r="G288" t="str">
            <v/>
          </cell>
        </row>
        <row r="289">
          <cell r="A289" t="str">
            <v>3348543787</v>
          </cell>
          <cell r="B289" t="str">
            <v>33485</v>
          </cell>
          <cell r="C289" t="str">
            <v>平田 真奈美</v>
          </cell>
          <cell r="D289">
            <v>43787</v>
          </cell>
          <cell r="E289" t="str">
            <v/>
          </cell>
          <cell r="F289" t="str">
            <v/>
          </cell>
          <cell r="G289" t="str">
            <v/>
          </cell>
        </row>
        <row r="290">
          <cell r="A290" t="str">
            <v>3348543788</v>
          </cell>
          <cell r="B290" t="str">
            <v>33485</v>
          </cell>
          <cell r="C290" t="str">
            <v>平田 真奈美</v>
          </cell>
          <cell r="D290">
            <v>43788</v>
          </cell>
          <cell r="E290" t="str">
            <v/>
          </cell>
          <cell r="F290" t="str">
            <v/>
          </cell>
          <cell r="G290" t="str">
            <v/>
          </cell>
        </row>
        <row r="291">
          <cell r="A291" t="str">
            <v>3348543789</v>
          </cell>
          <cell r="B291" t="str">
            <v>33485</v>
          </cell>
          <cell r="C291" t="str">
            <v>平田 真奈美</v>
          </cell>
          <cell r="D291">
            <v>43789</v>
          </cell>
          <cell r="E291" t="str">
            <v/>
          </cell>
          <cell r="F291" t="str">
            <v/>
          </cell>
          <cell r="G291" t="str">
            <v/>
          </cell>
        </row>
        <row r="292">
          <cell r="A292" t="str">
            <v>3348543790</v>
          </cell>
          <cell r="B292" t="str">
            <v>33485</v>
          </cell>
          <cell r="C292" t="str">
            <v>平田 真奈美</v>
          </cell>
          <cell r="D292">
            <v>43790</v>
          </cell>
          <cell r="E292" t="str">
            <v/>
          </cell>
          <cell r="F292" t="str">
            <v>夏PM</v>
          </cell>
          <cell r="G292" t="str">
            <v/>
          </cell>
        </row>
        <row r="293">
          <cell r="A293" t="str">
            <v>3348543791</v>
          </cell>
          <cell r="B293" t="str">
            <v>33485</v>
          </cell>
          <cell r="C293" t="str">
            <v>平田 真奈美</v>
          </cell>
          <cell r="D293">
            <v>43791</v>
          </cell>
          <cell r="E293" t="str">
            <v/>
          </cell>
          <cell r="F293" t="str">
            <v/>
          </cell>
          <cell r="G293" t="str">
            <v/>
          </cell>
        </row>
        <row r="294">
          <cell r="A294" t="str">
            <v>3348543792</v>
          </cell>
          <cell r="B294" t="str">
            <v>33485</v>
          </cell>
          <cell r="C294" t="str">
            <v>平田 真奈美</v>
          </cell>
          <cell r="D294">
            <v>43792</v>
          </cell>
          <cell r="E294" t="str">
            <v>●</v>
          </cell>
          <cell r="F294" t="str">
            <v/>
          </cell>
          <cell r="G294" t="str">
            <v/>
          </cell>
        </row>
        <row r="295">
          <cell r="A295" t="str">
            <v>3348543793</v>
          </cell>
          <cell r="B295" t="str">
            <v>33485</v>
          </cell>
          <cell r="C295" t="str">
            <v>平田 真奈美</v>
          </cell>
          <cell r="D295">
            <v>43793</v>
          </cell>
          <cell r="E295" t="str">
            <v/>
          </cell>
          <cell r="F295" t="str">
            <v/>
          </cell>
          <cell r="G295" t="str">
            <v/>
          </cell>
        </row>
        <row r="296">
          <cell r="A296" t="str">
            <v>3348543794</v>
          </cell>
          <cell r="B296" t="str">
            <v>33485</v>
          </cell>
          <cell r="C296" t="str">
            <v>平田 真奈美</v>
          </cell>
          <cell r="D296">
            <v>43794</v>
          </cell>
          <cell r="E296" t="str">
            <v/>
          </cell>
          <cell r="F296" t="str">
            <v/>
          </cell>
          <cell r="G296" t="str">
            <v/>
          </cell>
        </row>
        <row r="297">
          <cell r="A297" t="str">
            <v>3348543795</v>
          </cell>
          <cell r="B297" t="str">
            <v>33485</v>
          </cell>
          <cell r="C297" t="str">
            <v>平田 真奈美</v>
          </cell>
          <cell r="D297">
            <v>43795</v>
          </cell>
          <cell r="E297" t="str">
            <v/>
          </cell>
          <cell r="F297" t="str">
            <v/>
          </cell>
          <cell r="G297" t="str">
            <v/>
          </cell>
        </row>
        <row r="298">
          <cell r="A298" t="str">
            <v>3348543796</v>
          </cell>
          <cell r="B298" t="str">
            <v>33485</v>
          </cell>
          <cell r="C298" t="str">
            <v>平田 真奈美</v>
          </cell>
          <cell r="D298">
            <v>43796</v>
          </cell>
          <cell r="E298" t="str">
            <v/>
          </cell>
          <cell r="F298" t="str">
            <v/>
          </cell>
          <cell r="G298" t="str">
            <v/>
          </cell>
        </row>
        <row r="299">
          <cell r="A299" t="str">
            <v>3348543797</v>
          </cell>
          <cell r="B299" t="str">
            <v>33485</v>
          </cell>
          <cell r="C299" t="str">
            <v>平田 真奈美</v>
          </cell>
          <cell r="D299">
            <v>43797</v>
          </cell>
          <cell r="E299" t="str">
            <v/>
          </cell>
          <cell r="F299" t="str">
            <v/>
          </cell>
          <cell r="G299" t="str">
            <v/>
          </cell>
        </row>
        <row r="300">
          <cell r="A300" t="str">
            <v>3348543798</v>
          </cell>
          <cell r="B300" t="str">
            <v>33485</v>
          </cell>
          <cell r="C300" t="str">
            <v>平田 真奈美</v>
          </cell>
          <cell r="D300">
            <v>43798</v>
          </cell>
          <cell r="E300" t="str">
            <v/>
          </cell>
          <cell r="F300" t="str">
            <v/>
          </cell>
          <cell r="G300" t="str">
            <v/>
          </cell>
        </row>
        <row r="301">
          <cell r="A301" t="str">
            <v>3348543799</v>
          </cell>
          <cell r="B301" t="str">
            <v>33485</v>
          </cell>
          <cell r="C301" t="str">
            <v>平田 真奈美</v>
          </cell>
          <cell r="D301">
            <v>43799</v>
          </cell>
          <cell r="E301" t="str">
            <v>／</v>
          </cell>
          <cell r="F301" t="str">
            <v/>
          </cell>
          <cell r="G301" t="str">
            <v/>
          </cell>
        </row>
        <row r="302">
          <cell r="A302" t="str">
            <v>3758443770</v>
          </cell>
          <cell r="B302" t="str">
            <v>37584</v>
          </cell>
          <cell r="C302" t="str">
            <v>大橋 効</v>
          </cell>
          <cell r="D302">
            <v>43770</v>
          </cell>
          <cell r="E302" t="str">
            <v/>
          </cell>
          <cell r="F302" t="str">
            <v/>
          </cell>
          <cell r="G302">
            <v>11</v>
          </cell>
        </row>
        <row r="303">
          <cell r="A303" t="str">
            <v>3758443771</v>
          </cell>
          <cell r="B303" t="str">
            <v>37584</v>
          </cell>
          <cell r="C303" t="str">
            <v>大橋 効</v>
          </cell>
          <cell r="D303">
            <v>43771</v>
          </cell>
          <cell r="E303" t="str">
            <v>／</v>
          </cell>
          <cell r="F303" t="str">
            <v/>
          </cell>
          <cell r="G303" t="str">
            <v/>
          </cell>
        </row>
        <row r="304">
          <cell r="A304" t="str">
            <v>3758443772</v>
          </cell>
          <cell r="B304" t="str">
            <v>37584</v>
          </cell>
          <cell r="C304" t="str">
            <v>大橋 効</v>
          </cell>
          <cell r="D304">
            <v>43772</v>
          </cell>
          <cell r="E304" t="str">
            <v>●</v>
          </cell>
          <cell r="F304" t="str">
            <v/>
          </cell>
          <cell r="G304" t="str">
            <v/>
          </cell>
        </row>
        <row r="305">
          <cell r="A305" t="str">
            <v>3758443773</v>
          </cell>
          <cell r="B305" t="str">
            <v>37584</v>
          </cell>
          <cell r="C305" t="str">
            <v>大橋 効</v>
          </cell>
          <cell r="D305">
            <v>43773</v>
          </cell>
          <cell r="E305" t="str">
            <v>●</v>
          </cell>
          <cell r="F305" t="str">
            <v/>
          </cell>
          <cell r="G305" t="str">
            <v/>
          </cell>
        </row>
        <row r="306">
          <cell r="A306" t="str">
            <v>3758443774</v>
          </cell>
          <cell r="B306" t="str">
            <v>37584</v>
          </cell>
          <cell r="C306" t="str">
            <v>大橋 効</v>
          </cell>
          <cell r="D306">
            <v>43774</v>
          </cell>
          <cell r="E306" t="str">
            <v>当</v>
          </cell>
          <cell r="F306" t="str">
            <v/>
          </cell>
          <cell r="G306" t="str">
            <v/>
          </cell>
        </row>
        <row r="307">
          <cell r="A307" t="str">
            <v>3758443775</v>
          </cell>
          <cell r="B307" t="str">
            <v>37584</v>
          </cell>
          <cell r="C307" t="str">
            <v>大橋 効</v>
          </cell>
          <cell r="D307">
            <v>43775</v>
          </cell>
          <cell r="E307" t="str">
            <v>明</v>
          </cell>
          <cell r="F307" t="str">
            <v/>
          </cell>
          <cell r="G307" t="str">
            <v/>
          </cell>
        </row>
        <row r="308">
          <cell r="A308" t="str">
            <v>3758443776</v>
          </cell>
          <cell r="B308" t="str">
            <v>37584</v>
          </cell>
          <cell r="C308" t="str">
            <v>大橋 効</v>
          </cell>
          <cell r="D308">
            <v>43776</v>
          </cell>
          <cell r="E308" t="str">
            <v>当</v>
          </cell>
          <cell r="F308" t="str">
            <v/>
          </cell>
          <cell r="G308" t="str">
            <v/>
          </cell>
        </row>
        <row r="309">
          <cell r="A309" t="str">
            <v>3758443777</v>
          </cell>
          <cell r="B309" t="str">
            <v>37584</v>
          </cell>
          <cell r="C309" t="str">
            <v>大橋 効</v>
          </cell>
          <cell r="D309">
            <v>43777</v>
          </cell>
          <cell r="E309" t="str">
            <v>明</v>
          </cell>
          <cell r="F309" t="str">
            <v/>
          </cell>
          <cell r="G309" t="str">
            <v/>
          </cell>
        </row>
        <row r="310">
          <cell r="A310" t="str">
            <v>3758443778</v>
          </cell>
          <cell r="B310" t="str">
            <v>37584</v>
          </cell>
          <cell r="C310" t="str">
            <v>大橋 効</v>
          </cell>
          <cell r="D310">
            <v>43778</v>
          </cell>
          <cell r="E310" t="str">
            <v>○</v>
          </cell>
          <cell r="F310" t="str">
            <v/>
          </cell>
          <cell r="G310" t="str">
            <v/>
          </cell>
        </row>
        <row r="311">
          <cell r="A311" t="str">
            <v>3758443779</v>
          </cell>
          <cell r="B311" t="str">
            <v>37584</v>
          </cell>
          <cell r="C311" t="str">
            <v>大橋 効</v>
          </cell>
          <cell r="D311">
            <v>43779</v>
          </cell>
          <cell r="E311" t="str">
            <v>●</v>
          </cell>
          <cell r="F311" t="str">
            <v/>
          </cell>
          <cell r="G311" t="str">
            <v/>
          </cell>
        </row>
        <row r="312">
          <cell r="A312" t="str">
            <v>3758443780</v>
          </cell>
          <cell r="B312" t="str">
            <v>37584</v>
          </cell>
          <cell r="C312" t="str">
            <v>大橋 効</v>
          </cell>
          <cell r="D312">
            <v>43780</v>
          </cell>
          <cell r="E312" t="str">
            <v/>
          </cell>
          <cell r="F312" t="str">
            <v>年休</v>
          </cell>
          <cell r="G312" t="str">
            <v/>
          </cell>
        </row>
        <row r="313">
          <cell r="A313" t="str">
            <v>3758443781</v>
          </cell>
          <cell r="B313" t="str">
            <v>37584</v>
          </cell>
          <cell r="C313" t="str">
            <v>大橋 効</v>
          </cell>
          <cell r="D313">
            <v>43781</v>
          </cell>
          <cell r="E313" t="str">
            <v/>
          </cell>
          <cell r="F313" t="str">
            <v/>
          </cell>
          <cell r="G313" t="str">
            <v/>
          </cell>
        </row>
        <row r="314">
          <cell r="A314" t="str">
            <v>3758443782</v>
          </cell>
          <cell r="B314" t="str">
            <v>37584</v>
          </cell>
          <cell r="C314" t="str">
            <v>大橋 効</v>
          </cell>
          <cell r="D314">
            <v>43782</v>
          </cell>
          <cell r="E314" t="str">
            <v/>
          </cell>
          <cell r="F314" t="str">
            <v/>
          </cell>
          <cell r="G314" t="str">
            <v/>
          </cell>
        </row>
        <row r="315">
          <cell r="A315" t="str">
            <v>3758443783</v>
          </cell>
          <cell r="B315" t="str">
            <v>37584</v>
          </cell>
          <cell r="C315" t="str">
            <v>大橋 効</v>
          </cell>
          <cell r="D315">
            <v>43783</v>
          </cell>
          <cell r="E315" t="str">
            <v>当</v>
          </cell>
          <cell r="F315" t="str">
            <v/>
          </cell>
          <cell r="G315" t="str">
            <v/>
          </cell>
        </row>
        <row r="316">
          <cell r="A316" t="str">
            <v>3758443784</v>
          </cell>
          <cell r="B316" t="str">
            <v>37584</v>
          </cell>
          <cell r="C316" t="str">
            <v>大橋 効</v>
          </cell>
          <cell r="D316">
            <v>43784</v>
          </cell>
          <cell r="E316" t="str">
            <v>明</v>
          </cell>
          <cell r="F316" t="str">
            <v/>
          </cell>
          <cell r="G316" t="str">
            <v/>
          </cell>
        </row>
        <row r="317">
          <cell r="A317" t="str">
            <v>3758443785</v>
          </cell>
          <cell r="B317" t="str">
            <v>37584</v>
          </cell>
          <cell r="C317" t="str">
            <v>大橋 効</v>
          </cell>
          <cell r="D317">
            <v>43785</v>
          </cell>
          <cell r="E317" t="str">
            <v>／</v>
          </cell>
          <cell r="F317" t="str">
            <v/>
          </cell>
          <cell r="G317" t="str">
            <v/>
          </cell>
        </row>
        <row r="318">
          <cell r="A318" t="str">
            <v>3758443786</v>
          </cell>
          <cell r="B318" t="str">
            <v>37584</v>
          </cell>
          <cell r="C318" t="str">
            <v>大橋 効</v>
          </cell>
          <cell r="D318">
            <v>43786</v>
          </cell>
          <cell r="E318" t="str">
            <v>●</v>
          </cell>
          <cell r="F318" t="str">
            <v/>
          </cell>
          <cell r="G318" t="str">
            <v/>
          </cell>
        </row>
        <row r="319">
          <cell r="A319" t="str">
            <v>3758443787</v>
          </cell>
          <cell r="B319" t="str">
            <v>37584</v>
          </cell>
          <cell r="C319" t="str">
            <v>大橋 効</v>
          </cell>
          <cell r="D319">
            <v>43787</v>
          </cell>
          <cell r="E319" t="str">
            <v/>
          </cell>
          <cell r="F319" t="str">
            <v>指PM</v>
          </cell>
          <cell r="G319" t="str">
            <v/>
          </cell>
        </row>
        <row r="320">
          <cell r="A320" t="str">
            <v>3758443788</v>
          </cell>
          <cell r="B320" t="str">
            <v>37584</v>
          </cell>
          <cell r="C320" t="str">
            <v>大橋 効</v>
          </cell>
          <cell r="D320">
            <v>43788</v>
          </cell>
          <cell r="E320" t="str">
            <v/>
          </cell>
          <cell r="F320" t="str">
            <v/>
          </cell>
          <cell r="G320" t="str">
            <v/>
          </cell>
        </row>
        <row r="321">
          <cell r="A321" t="str">
            <v>3758443789</v>
          </cell>
          <cell r="B321" t="str">
            <v>37584</v>
          </cell>
          <cell r="C321" t="str">
            <v>大橋 効</v>
          </cell>
          <cell r="D321">
            <v>43789</v>
          </cell>
          <cell r="E321" t="str">
            <v/>
          </cell>
          <cell r="F321" t="str">
            <v/>
          </cell>
          <cell r="G321" t="str">
            <v/>
          </cell>
        </row>
        <row r="322">
          <cell r="A322" t="str">
            <v>3758443790</v>
          </cell>
          <cell r="B322" t="str">
            <v>37584</v>
          </cell>
          <cell r="C322" t="str">
            <v>大橋 効</v>
          </cell>
          <cell r="D322">
            <v>43790</v>
          </cell>
          <cell r="E322" t="str">
            <v>当</v>
          </cell>
          <cell r="F322" t="str">
            <v/>
          </cell>
          <cell r="G322" t="str">
            <v/>
          </cell>
        </row>
        <row r="323">
          <cell r="A323" t="str">
            <v>3758443791</v>
          </cell>
          <cell r="B323" t="str">
            <v>37584</v>
          </cell>
          <cell r="C323" t="str">
            <v>大橋 効</v>
          </cell>
          <cell r="D323">
            <v>43791</v>
          </cell>
          <cell r="E323" t="str">
            <v>明</v>
          </cell>
          <cell r="F323" t="str">
            <v/>
          </cell>
          <cell r="G323" t="str">
            <v/>
          </cell>
        </row>
        <row r="324">
          <cell r="A324" t="str">
            <v>3758443792</v>
          </cell>
          <cell r="B324" t="str">
            <v>37584</v>
          </cell>
          <cell r="C324" t="str">
            <v>大橋 効</v>
          </cell>
          <cell r="D324">
            <v>43792</v>
          </cell>
          <cell r="E324" t="str">
            <v>当</v>
          </cell>
          <cell r="F324" t="str">
            <v/>
          </cell>
          <cell r="G324" t="str">
            <v/>
          </cell>
        </row>
        <row r="325">
          <cell r="A325" t="str">
            <v>3758443793</v>
          </cell>
          <cell r="B325" t="str">
            <v>37584</v>
          </cell>
          <cell r="C325" t="str">
            <v>大橋 効</v>
          </cell>
          <cell r="D325">
            <v>43793</v>
          </cell>
          <cell r="E325" t="str">
            <v>明</v>
          </cell>
          <cell r="F325" t="str">
            <v/>
          </cell>
          <cell r="G325" t="str">
            <v/>
          </cell>
        </row>
        <row r="326">
          <cell r="A326" t="str">
            <v>3758443794</v>
          </cell>
          <cell r="B326" t="str">
            <v>37584</v>
          </cell>
          <cell r="C326" t="str">
            <v>大橋 効</v>
          </cell>
          <cell r="D326">
            <v>43794</v>
          </cell>
          <cell r="E326" t="str">
            <v/>
          </cell>
          <cell r="F326" t="str">
            <v/>
          </cell>
          <cell r="G326" t="str">
            <v/>
          </cell>
        </row>
        <row r="327">
          <cell r="A327" t="str">
            <v>3758443795</v>
          </cell>
          <cell r="B327" t="str">
            <v>37584</v>
          </cell>
          <cell r="C327" t="str">
            <v>大橋 効</v>
          </cell>
          <cell r="D327">
            <v>43795</v>
          </cell>
          <cell r="E327" t="str">
            <v/>
          </cell>
          <cell r="F327" t="str">
            <v/>
          </cell>
          <cell r="G327" t="str">
            <v/>
          </cell>
        </row>
        <row r="328">
          <cell r="A328" t="str">
            <v>3758443796</v>
          </cell>
          <cell r="B328" t="str">
            <v>37584</v>
          </cell>
          <cell r="C328" t="str">
            <v>大橋 効</v>
          </cell>
          <cell r="D328">
            <v>43796</v>
          </cell>
          <cell r="E328" t="str">
            <v>●</v>
          </cell>
          <cell r="F328" t="str">
            <v/>
          </cell>
          <cell r="G328" t="str">
            <v/>
          </cell>
        </row>
        <row r="329">
          <cell r="A329" t="str">
            <v>3758443797</v>
          </cell>
          <cell r="B329" t="str">
            <v>37584</v>
          </cell>
          <cell r="C329" t="str">
            <v>大橋 効</v>
          </cell>
          <cell r="D329">
            <v>43797</v>
          </cell>
          <cell r="E329" t="str">
            <v>●</v>
          </cell>
          <cell r="F329" t="str">
            <v/>
          </cell>
          <cell r="G329" t="str">
            <v/>
          </cell>
        </row>
        <row r="330">
          <cell r="A330" t="str">
            <v>3758443798</v>
          </cell>
          <cell r="B330" t="str">
            <v>37584</v>
          </cell>
          <cell r="C330" t="str">
            <v>大橋 効</v>
          </cell>
          <cell r="D330">
            <v>43798</v>
          </cell>
          <cell r="E330" t="str">
            <v/>
          </cell>
          <cell r="F330" t="str">
            <v/>
          </cell>
          <cell r="G330" t="str">
            <v/>
          </cell>
        </row>
        <row r="331">
          <cell r="A331" t="str">
            <v>3758443799</v>
          </cell>
          <cell r="B331" t="str">
            <v>37584</v>
          </cell>
          <cell r="C331" t="str">
            <v>大橋 効</v>
          </cell>
          <cell r="D331">
            <v>43799</v>
          </cell>
          <cell r="E331" t="str">
            <v>／</v>
          </cell>
          <cell r="F331" t="str">
            <v/>
          </cell>
          <cell r="G331" t="str">
            <v/>
          </cell>
        </row>
        <row r="332">
          <cell r="A332" t="str">
            <v>3760143770</v>
          </cell>
          <cell r="B332" t="str">
            <v>37601</v>
          </cell>
          <cell r="C332" t="str">
            <v>山本 浩之</v>
          </cell>
          <cell r="D332">
            <v>43770</v>
          </cell>
          <cell r="E332" t="str">
            <v/>
          </cell>
          <cell r="F332" t="str">
            <v/>
          </cell>
          <cell r="G332">
            <v>12</v>
          </cell>
        </row>
        <row r="333">
          <cell r="A333" t="str">
            <v>3760143771</v>
          </cell>
          <cell r="B333" t="str">
            <v>37601</v>
          </cell>
          <cell r="C333" t="str">
            <v>山本 浩之</v>
          </cell>
          <cell r="D333">
            <v>43771</v>
          </cell>
          <cell r="E333" t="str">
            <v>当</v>
          </cell>
          <cell r="F333" t="str">
            <v/>
          </cell>
          <cell r="G333" t="str">
            <v/>
          </cell>
        </row>
        <row r="334">
          <cell r="A334" t="str">
            <v>3760143772</v>
          </cell>
          <cell r="B334" t="str">
            <v>37601</v>
          </cell>
          <cell r="C334" t="str">
            <v>山本 浩之</v>
          </cell>
          <cell r="D334">
            <v>43772</v>
          </cell>
          <cell r="E334" t="str">
            <v>明</v>
          </cell>
          <cell r="F334" t="str">
            <v/>
          </cell>
          <cell r="G334" t="str">
            <v/>
          </cell>
        </row>
        <row r="335">
          <cell r="A335" t="str">
            <v>3760143773</v>
          </cell>
          <cell r="B335" t="str">
            <v>37601</v>
          </cell>
          <cell r="C335" t="str">
            <v>山本 浩之</v>
          </cell>
          <cell r="D335">
            <v>43773</v>
          </cell>
          <cell r="E335" t="str">
            <v>●</v>
          </cell>
          <cell r="F335" t="str">
            <v/>
          </cell>
          <cell r="G335" t="str">
            <v/>
          </cell>
        </row>
        <row r="336">
          <cell r="A336" t="str">
            <v>3760143774</v>
          </cell>
          <cell r="B336" t="str">
            <v>37601</v>
          </cell>
          <cell r="C336" t="str">
            <v>山本 浩之</v>
          </cell>
          <cell r="D336">
            <v>43774</v>
          </cell>
          <cell r="E336" t="str">
            <v/>
          </cell>
          <cell r="F336" t="str">
            <v/>
          </cell>
          <cell r="G336" t="str">
            <v/>
          </cell>
        </row>
        <row r="337">
          <cell r="A337" t="str">
            <v>3760143775</v>
          </cell>
          <cell r="B337" t="str">
            <v>37601</v>
          </cell>
          <cell r="C337" t="str">
            <v>山本 浩之</v>
          </cell>
          <cell r="D337">
            <v>43775</v>
          </cell>
          <cell r="E337" t="str">
            <v>●</v>
          </cell>
          <cell r="F337" t="str">
            <v/>
          </cell>
          <cell r="G337" t="str">
            <v/>
          </cell>
        </row>
        <row r="338">
          <cell r="A338" t="str">
            <v>3760143776</v>
          </cell>
          <cell r="B338" t="str">
            <v>37601</v>
          </cell>
          <cell r="C338" t="str">
            <v>山本 浩之</v>
          </cell>
          <cell r="D338">
            <v>43776</v>
          </cell>
          <cell r="E338" t="str">
            <v/>
          </cell>
          <cell r="F338" t="str">
            <v/>
          </cell>
          <cell r="G338" t="str">
            <v/>
          </cell>
        </row>
        <row r="339">
          <cell r="A339" t="str">
            <v>3760143777</v>
          </cell>
          <cell r="B339" t="str">
            <v>37601</v>
          </cell>
          <cell r="C339" t="str">
            <v>山本 浩之</v>
          </cell>
          <cell r="D339">
            <v>43777</v>
          </cell>
          <cell r="E339" t="str">
            <v/>
          </cell>
          <cell r="F339" t="str">
            <v>指PM</v>
          </cell>
          <cell r="G339" t="str">
            <v/>
          </cell>
        </row>
        <row r="340">
          <cell r="A340" t="str">
            <v>3760143778</v>
          </cell>
          <cell r="B340" t="str">
            <v>37601</v>
          </cell>
          <cell r="C340" t="str">
            <v>山本 浩之</v>
          </cell>
          <cell r="D340">
            <v>43778</v>
          </cell>
          <cell r="E340" t="str">
            <v>○</v>
          </cell>
          <cell r="F340" t="str">
            <v/>
          </cell>
          <cell r="G340" t="str">
            <v/>
          </cell>
        </row>
        <row r="341">
          <cell r="A341" t="str">
            <v>3760143779</v>
          </cell>
          <cell r="B341" t="str">
            <v>37601</v>
          </cell>
          <cell r="C341" t="str">
            <v>山本 浩之</v>
          </cell>
          <cell r="D341">
            <v>43779</v>
          </cell>
          <cell r="E341" t="str">
            <v>●</v>
          </cell>
          <cell r="F341" t="str">
            <v/>
          </cell>
          <cell r="G341" t="str">
            <v/>
          </cell>
        </row>
        <row r="342">
          <cell r="A342" t="str">
            <v>3760143780</v>
          </cell>
          <cell r="B342" t="str">
            <v>37601</v>
          </cell>
          <cell r="C342" t="str">
            <v>山本 浩之</v>
          </cell>
          <cell r="D342">
            <v>43780</v>
          </cell>
          <cell r="E342" t="str">
            <v/>
          </cell>
          <cell r="F342" t="str">
            <v/>
          </cell>
          <cell r="G342" t="str">
            <v/>
          </cell>
        </row>
        <row r="343">
          <cell r="A343" t="str">
            <v>3760143781</v>
          </cell>
          <cell r="B343" t="str">
            <v>37601</v>
          </cell>
          <cell r="C343" t="str">
            <v>山本 浩之</v>
          </cell>
          <cell r="D343">
            <v>43781</v>
          </cell>
          <cell r="E343" t="str">
            <v/>
          </cell>
          <cell r="F343" t="str">
            <v/>
          </cell>
          <cell r="G343" t="str">
            <v/>
          </cell>
        </row>
        <row r="344">
          <cell r="A344" t="str">
            <v>3760143782</v>
          </cell>
          <cell r="B344" t="str">
            <v>37601</v>
          </cell>
          <cell r="C344" t="str">
            <v>山本 浩之</v>
          </cell>
          <cell r="D344">
            <v>43782</v>
          </cell>
          <cell r="E344" t="str">
            <v/>
          </cell>
          <cell r="F344" t="str">
            <v/>
          </cell>
          <cell r="G344" t="str">
            <v/>
          </cell>
        </row>
        <row r="345">
          <cell r="A345" t="str">
            <v>3760143783</v>
          </cell>
          <cell r="B345" t="str">
            <v>37601</v>
          </cell>
          <cell r="C345" t="str">
            <v>山本 浩之</v>
          </cell>
          <cell r="D345">
            <v>43783</v>
          </cell>
          <cell r="E345" t="str">
            <v/>
          </cell>
          <cell r="F345" t="str">
            <v/>
          </cell>
          <cell r="G345" t="str">
            <v/>
          </cell>
        </row>
        <row r="346">
          <cell r="A346" t="str">
            <v>3760143784</v>
          </cell>
          <cell r="B346" t="str">
            <v>37601</v>
          </cell>
          <cell r="C346" t="str">
            <v>山本 浩之</v>
          </cell>
          <cell r="D346">
            <v>43784</v>
          </cell>
          <cell r="E346" t="str">
            <v/>
          </cell>
          <cell r="F346" t="str">
            <v/>
          </cell>
          <cell r="G346" t="str">
            <v/>
          </cell>
        </row>
        <row r="347">
          <cell r="A347" t="str">
            <v>3760143785</v>
          </cell>
          <cell r="B347" t="str">
            <v>37601</v>
          </cell>
          <cell r="C347" t="str">
            <v>山本 浩之</v>
          </cell>
          <cell r="D347">
            <v>43785</v>
          </cell>
          <cell r="E347" t="str">
            <v>／</v>
          </cell>
          <cell r="F347" t="str">
            <v/>
          </cell>
          <cell r="G347" t="str">
            <v/>
          </cell>
        </row>
        <row r="348">
          <cell r="A348" t="str">
            <v>3760143786</v>
          </cell>
          <cell r="B348" t="str">
            <v>37601</v>
          </cell>
          <cell r="C348" t="str">
            <v>山本 浩之</v>
          </cell>
          <cell r="D348">
            <v>43786</v>
          </cell>
          <cell r="E348" t="str">
            <v>当</v>
          </cell>
          <cell r="F348" t="str">
            <v/>
          </cell>
          <cell r="G348" t="str">
            <v/>
          </cell>
        </row>
        <row r="349">
          <cell r="A349" t="str">
            <v>3760143787</v>
          </cell>
          <cell r="B349" t="str">
            <v>37601</v>
          </cell>
          <cell r="C349" t="str">
            <v>山本 浩之</v>
          </cell>
          <cell r="D349">
            <v>43787</v>
          </cell>
          <cell r="E349" t="str">
            <v>明</v>
          </cell>
          <cell r="F349" t="str">
            <v/>
          </cell>
          <cell r="G349" t="str">
            <v/>
          </cell>
        </row>
        <row r="350">
          <cell r="A350" t="str">
            <v>3760143788</v>
          </cell>
          <cell r="B350" t="str">
            <v>37601</v>
          </cell>
          <cell r="C350" t="str">
            <v>山本 浩之</v>
          </cell>
          <cell r="D350">
            <v>43788</v>
          </cell>
          <cell r="E350" t="str">
            <v/>
          </cell>
          <cell r="F350" t="str">
            <v/>
          </cell>
          <cell r="G350" t="str">
            <v/>
          </cell>
        </row>
        <row r="351">
          <cell r="A351" t="str">
            <v>3760143789</v>
          </cell>
          <cell r="B351" t="str">
            <v>37601</v>
          </cell>
          <cell r="C351" t="str">
            <v>山本 浩之</v>
          </cell>
          <cell r="D351">
            <v>43789</v>
          </cell>
          <cell r="E351" t="str">
            <v/>
          </cell>
          <cell r="F351" t="str">
            <v/>
          </cell>
          <cell r="G351" t="str">
            <v/>
          </cell>
        </row>
        <row r="352">
          <cell r="A352" t="str">
            <v>3760143790</v>
          </cell>
          <cell r="B352" t="str">
            <v>37601</v>
          </cell>
          <cell r="C352" t="str">
            <v>山本 浩之</v>
          </cell>
          <cell r="D352">
            <v>43790</v>
          </cell>
          <cell r="E352" t="str">
            <v>●</v>
          </cell>
          <cell r="F352" t="str">
            <v/>
          </cell>
          <cell r="G352" t="str">
            <v/>
          </cell>
        </row>
        <row r="353">
          <cell r="A353" t="str">
            <v>3760143791</v>
          </cell>
          <cell r="B353" t="str">
            <v>37601</v>
          </cell>
          <cell r="C353" t="str">
            <v>山本 浩之</v>
          </cell>
          <cell r="D353">
            <v>43791</v>
          </cell>
          <cell r="E353" t="str">
            <v/>
          </cell>
          <cell r="F353" t="str">
            <v/>
          </cell>
          <cell r="G353" t="str">
            <v/>
          </cell>
        </row>
        <row r="354">
          <cell r="A354" t="str">
            <v>3760143792</v>
          </cell>
          <cell r="B354" t="str">
            <v>37601</v>
          </cell>
          <cell r="C354" t="str">
            <v>山本 浩之</v>
          </cell>
          <cell r="D354">
            <v>43792</v>
          </cell>
          <cell r="E354" t="str">
            <v>●</v>
          </cell>
          <cell r="F354" t="str">
            <v/>
          </cell>
          <cell r="G354" t="str">
            <v/>
          </cell>
        </row>
        <row r="355">
          <cell r="A355" t="str">
            <v>3760143793</v>
          </cell>
          <cell r="B355" t="str">
            <v>37601</v>
          </cell>
          <cell r="C355" t="str">
            <v>山本 浩之</v>
          </cell>
          <cell r="D355">
            <v>43793</v>
          </cell>
          <cell r="E355" t="str">
            <v>●</v>
          </cell>
          <cell r="F355" t="str">
            <v/>
          </cell>
          <cell r="G355" t="str">
            <v/>
          </cell>
        </row>
        <row r="356">
          <cell r="A356" t="str">
            <v>3760143794</v>
          </cell>
          <cell r="B356" t="str">
            <v>37601</v>
          </cell>
          <cell r="C356" t="str">
            <v>山本 浩之</v>
          </cell>
          <cell r="D356">
            <v>43794</v>
          </cell>
          <cell r="E356" t="str">
            <v>当</v>
          </cell>
          <cell r="F356" t="str">
            <v/>
          </cell>
          <cell r="G356" t="str">
            <v/>
          </cell>
        </row>
        <row r="357">
          <cell r="A357" t="str">
            <v>3760143795</v>
          </cell>
          <cell r="B357" t="str">
            <v>37601</v>
          </cell>
          <cell r="C357" t="str">
            <v>山本 浩之</v>
          </cell>
          <cell r="D357">
            <v>43795</v>
          </cell>
          <cell r="E357" t="str">
            <v>明</v>
          </cell>
          <cell r="F357" t="str">
            <v/>
          </cell>
          <cell r="G357" t="str">
            <v/>
          </cell>
        </row>
        <row r="358">
          <cell r="A358" t="str">
            <v>3760143796</v>
          </cell>
          <cell r="B358" t="str">
            <v>37601</v>
          </cell>
          <cell r="C358" t="str">
            <v>山本 浩之</v>
          </cell>
          <cell r="D358">
            <v>43796</v>
          </cell>
          <cell r="E358" t="str">
            <v/>
          </cell>
          <cell r="F358" t="str">
            <v/>
          </cell>
          <cell r="G358" t="str">
            <v/>
          </cell>
        </row>
        <row r="359">
          <cell r="A359" t="str">
            <v>3760143797</v>
          </cell>
          <cell r="B359" t="str">
            <v>37601</v>
          </cell>
          <cell r="C359" t="str">
            <v>山本 浩之</v>
          </cell>
          <cell r="D359">
            <v>43797</v>
          </cell>
          <cell r="E359" t="str">
            <v/>
          </cell>
          <cell r="F359" t="str">
            <v/>
          </cell>
          <cell r="G359" t="str">
            <v/>
          </cell>
        </row>
        <row r="360">
          <cell r="A360" t="str">
            <v>3760143798</v>
          </cell>
          <cell r="B360" t="str">
            <v>37601</v>
          </cell>
          <cell r="C360" t="str">
            <v>山本 浩之</v>
          </cell>
          <cell r="D360">
            <v>43798</v>
          </cell>
          <cell r="E360" t="str">
            <v/>
          </cell>
          <cell r="F360" t="str">
            <v/>
          </cell>
          <cell r="G360" t="str">
            <v/>
          </cell>
        </row>
        <row r="361">
          <cell r="A361" t="str">
            <v>3760143799</v>
          </cell>
          <cell r="B361" t="str">
            <v>37601</v>
          </cell>
          <cell r="C361" t="str">
            <v>山本 浩之</v>
          </cell>
          <cell r="D361">
            <v>43799</v>
          </cell>
          <cell r="E361" t="str">
            <v>／</v>
          </cell>
          <cell r="F361" t="str">
            <v/>
          </cell>
          <cell r="G361" t="str">
            <v/>
          </cell>
        </row>
        <row r="362">
          <cell r="A362" t="str">
            <v>3980543770</v>
          </cell>
          <cell r="B362" t="str">
            <v>39805</v>
          </cell>
          <cell r="C362" t="str">
            <v>南 博之</v>
          </cell>
          <cell r="D362">
            <v>43770</v>
          </cell>
          <cell r="E362" t="str">
            <v/>
          </cell>
          <cell r="F362" t="str">
            <v/>
          </cell>
          <cell r="G362">
            <v>13</v>
          </cell>
        </row>
        <row r="363">
          <cell r="A363" t="str">
            <v>3980543771</v>
          </cell>
          <cell r="B363" t="str">
            <v>39805</v>
          </cell>
          <cell r="C363" t="str">
            <v>南 博之</v>
          </cell>
          <cell r="D363">
            <v>43771</v>
          </cell>
          <cell r="E363" t="str">
            <v>○</v>
          </cell>
          <cell r="F363" t="str">
            <v/>
          </cell>
          <cell r="G363" t="str">
            <v/>
          </cell>
        </row>
        <row r="364">
          <cell r="A364" t="str">
            <v>3980543772</v>
          </cell>
          <cell r="B364" t="str">
            <v>39805</v>
          </cell>
          <cell r="C364" t="str">
            <v>南 博之</v>
          </cell>
          <cell r="D364">
            <v>43772</v>
          </cell>
          <cell r="E364" t="str">
            <v>●</v>
          </cell>
          <cell r="F364" t="str">
            <v/>
          </cell>
          <cell r="G364" t="str">
            <v/>
          </cell>
        </row>
        <row r="365">
          <cell r="A365" t="str">
            <v>3980543773</v>
          </cell>
          <cell r="B365" t="str">
            <v>39805</v>
          </cell>
          <cell r="C365" t="str">
            <v>南 博之</v>
          </cell>
          <cell r="D365">
            <v>43773</v>
          </cell>
          <cell r="E365" t="str">
            <v>●</v>
          </cell>
          <cell r="F365" t="str">
            <v/>
          </cell>
          <cell r="G365" t="str">
            <v/>
          </cell>
        </row>
        <row r="366">
          <cell r="A366" t="str">
            <v>3980543774</v>
          </cell>
          <cell r="B366" t="str">
            <v>39805</v>
          </cell>
          <cell r="C366" t="str">
            <v>南 博之</v>
          </cell>
          <cell r="D366">
            <v>43774</v>
          </cell>
          <cell r="E366" t="str">
            <v>当</v>
          </cell>
          <cell r="F366" t="str">
            <v/>
          </cell>
          <cell r="G366" t="str">
            <v/>
          </cell>
        </row>
        <row r="367">
          <cell r="A367" t="str">
            <v>3980543775</v>
          </cell>
          <cell r="B367" t="str">
            <v>39805</v>
          </cell>
          <cell r="C367" t="str">
            <v>南 博之</v>
          </cell>
          <cell r="D367">
            <v>43775</v>
          </cell>
          <cell r="E367" t="str">
            <v>明</v>
          </cell>
          <cell r="F367" t="str">
            <v/>
          </cell>
          <cell r="G367" t="str">
            <v/>
          </cell>
        </row>
        <row r="368">
          <cell r="A368" t="str">
            <v>3980543776</v>
          </cell>
          <cell r="B368" t="str">
            <v>39805</v>
          </cell>
          <cell r="C368" t="str">
            <v>南 博之</v>
          </cell>
          <cell r="D368">
            <v>43776</v>
          </cell>
          <cell r="E368" t="str">
            <v/>
          </cell>
          <cell r="F368" t="str">
            <v>夏季</v>
          </cell>
          <cell r="G368" t="str">
            <v/>
          </cell>
        </row>
        <row r="369">
          <cell r="A369" t="str">
            <v>3980543777</v>
          </cell>
          <cell r="B369" t="str">
            <v>39805</v>
          </cell>
          <cell r="C369" t="str">
            <v>南 博之</v>
          </cell>
          <cell r="D369">
            <v>43777</v>
          </cell>
          <cell r="E369" t="str">
            <v/>
          </cell>
          <cell r="F369" t="str">
            <v/>
          </cell>
          <cell r="G369" t="str">
            <v/>
          </cell>
        </row>
        <row r="370">
          <cell r="A370" t="str">
            <v>3980543778</v>
          </cell>
          <cell r="B370" t="str">
            <v>39805</v>
          </cell>
          <cell r="C370" t="str">
            <v>南 博之</v>
          </cell>
          <cell r="D370">
            <v>43778</v>
          </cell>
          <cell r="E370" t="str">
            <v>／</v>
          </cell>
          <cell r="F370" t="str">
            <v/>
          </cell>
          <cell r="G370" t="str">
            <v/>
          </cell>
        </row>
        <row r="371">
          <cell r="A371" t="str">
            <v>3980543779</v>
          </cell>
          <cell r="B371" t="str">
            <v>39805</v>
          </cell>
          <cell r="C371" t="str">
            <v>南 博之</v>
          </cell>
          <cell r="D371">
            <v>43779</v>
          </cell>
          <cell r="E371" t="str">
            <v>●</v>
          </cell>
          <cell r="F371" t="str">
            <v/>
          </cell>
          <cell r="G371" t="str">
            <v/>
          </cell>
        </row>
        <row r="372">
          <cell r="A372" t="str">
            <v>3980543780</v>
          </cell>
          <cell r="B372" t="str">
            <v>39805</v>
          </cell>
          <cell r="C372" t="str">
            <v>南 博之</v>
          </cell>
          <cell r="D372">
            <v>43780</v>
          </cell>
          <cell r="E372" t="str">
            <v/>
          </cell>
          <cell r="F372" t="str">
            <v/>
          </cell>
          <cell r="G372" t="str">
            <v/>
          </cell>
        </row>
        <row r="373">
          <cell r="A373" t="str">
            <v>3980543781</v>
          </cell>
          <cell r="B373" t="str">
            <v>39805</v>
          </cell>
          <cell r="C373" t="str">
            <v>南 博之</v>
          </cell>
          <cell r="D373">
            <v>43781</v>
          </cell>
          <cell r="E373" t="str">
            <v>当</v>
          </cell>
          <cell r="F373" t="str">
            <v/>
          </cell>
          <cell r="G373" t="str">
            <v/>
          </cell>
        </row>
        <row r="374">
          <cell r="A374" t="str">
            <v>3980543782</v>
          </cell>
          <cell r="B374" t="str">
            <v>39805</v>
          </cell>
          <cell r="C374" t="str">
            <v>南 博之</v>
          </cell>
          <cell r="D374">
            <v>43782</v>
          </cell>
          <cell r="E374" t="str">
            <v>明</v>
          </cell>
          <cell r="F374" t="str">
            <v/>
          </cell>
          <cell r="G374" t="str">
            <v/>
          </cell>
        </row>
        <row r="375">
          <cell r="A375" t="str">
            <v>3980543783</v>
          </cell>
          <cell r="B375" t="str">
            <v>39805</v>
          </cell>
          <cell r="C375" t="str">
            <v>南 博之</v>
          </cell>
          <cell r="D375">
            <v>43783</v>
          </cell>
          <cell r="E375" t="str">
            <v/>
          </cell>
          <cell r="F375" t="str">
            <v/>
          </cell>
          <cell r="G375" t="str">
            <v/>
          </cell>
        </row>
        <row r="376">
          <cell r="A376" t="str">
            <v>3980543784</v>
          </cell>
          <cell r="B376" t="str">
            <v>39805</v>
          </cell>
          <cell r="C376" t="str">
            <v>南 博之</v>
          </cell>
          <cell r="D376">
            <v>43784</v>
          </cell>
          <cell r="E376" t="str">
            <v>当</v>
          </cell>
          <cell r="F376" t="str">
            <v/>
          </cell>
          <cell r="G376" t="str">
            <v/>
          </cell>
        </row>
        <row r="377">
          <cell r="A377" t="str">
            <v>3980543785</v>
          </cell>
          <cell r="B377" t="str">
            <v>39805</v>
          </cell>
          <cell r="C377" t="str">
            <v>南 博之</v>
          </cell>
          <cell r="D377">
            <v>43785</v>
          </cell>
          <cell r="E377" t="str">
            <v>明</v>
          </cell>
          <cell r="F377" t="str">
            <v>指PM</v>
          </cell>
          <cell r="G377" t="str">
            <v/>
          </cell>
        </row>
        <row r="378">
          <cell r="A378" t="str">
            <v>3980543786</v>
          </cell>
          <cell r="B378" t="str">
            <v>39805</v>
          </cell>
          <cell r="C378" t="str">
            <v>南 博之</v>
          </cell>
          <cell r="D378">
            <v>43786</v>
          </cell>
          <cell r="E378" t="str">
            <v>●</v>
          </cell>
          <cell r="F378" t="str">
            <v/>
          </cell>
          <cell r="G378" t="str">
            <v/>
          </cell>
        </row>
        <row r="379">
          <cell r="A379" t="str">
            <v>3980543787</v>
          </cell>
          <cell r="B379" t="str">
            <v>39805</v>
          </cell>
          <cell r="C379" t="str">
            <v>南 博之</v>
          </cell>
          <cell r="D379">
            <v>43787</v>
          </cell>
          <cell r="E379" t="str">
            <v/>
          </cell>
          <cell r="F379" t="str">
            <v/>
          </cell>
          <cell r="G379" t="str">
            <v/>
          </cell>
        </row>
        <row r="380">
          <cell r="A380" t="str">
            <v>3980543788</v>
          </cell>
          <cell r="B380" t="str">
            <v>39805</v>
          </cell>
          <cell r="C380" t="str">
            <v>南 博之</v>
          </cell>
          <cell r="D380">
            <v>43788</v>
          </cell>
          <cell r="E380" t="str">
            <v>●</v>
          </cell>
          <cell r="F380" t="str">
            <v/>
          </cell>
          <cell r="G380" t="str">
            <v/>
          </cell>
        </row>
        <row r="381">
          <cell r="A381" t="str">
            <v>3980543789</v>
          </cell>
          <cell r="B381" t="str">
            <v>39805</v>
          </cell>
          <cell r="C381" t="str">
            <v>南 博之</v>
          </cell>
          <cell r="D381">
            <v>43789</v>
          </cell>
          <cell r="E381" t="str">
            <v/>
          </cell>
          <cell r="F381" t="str">
            <v/>
          </cell>
          <cell r="G381" t="str">
            <v/>
          </cell>
        </row>
        <row r="382">
          <cell r="A382" t="str">
            <v>3980543790</v>
          </cell>
          <cell r="B382" t="str">
            <v>39805</v>
          </cell>
          <cell r="C382" t="str">
            <v>南 博之</v>
          </cell>
          <cell r="D382">
            <v>43790</v>
          </cell>
          <cell r="E382" t="str">
            <v/>
          </cell>
          <cell r="F382" t="str">
            <v/>
          </cell>
          <cell r="G382" t="str">
            <v/>
          </cell>
        </row>
        <row r="383">
          <cell r="A383" t="str">
            <v>3980543791</v>
          </cell>
          <cell r="B383" t="str">
            <v>39805</v>
          </cell>
          <cell r="C383" t="str">
            <v>南 博之</v>
          </cell>
          <cell r="D383">
            <v>43791</v>
          </cell>
          <cell r="E383" t="str">
            <v/>
          </cell>
          <cell r="F383" t="str">
            <v/>
          </cell>
          <cell r="G383" t="str">
            <v/>
          </cell>
        </row>
        <row r="384">
          <cell r="A384" t="str">
            <v>3980543792</v>
          </cell>
          <cell r="B384" t="str">
            <v>39805</v>
          </cell>
          <cell r="C384" t="str">
            <v>南 博之</v>
          </cell>
          <cell r="D384">
            <v>43792</v>
          </cell>
          <cell r="E384" t="str">
            <v>●</v>
          </cell>
          <cell r="F384" t="str">
            <v/>
          </cell>
          <cell r="G384" t="str">
            <v/>
          </cell>
        </row>
        <row r="385">
          <cell r="A385" t="str">
            <v>3980543793</v>
          </cell>
          <cell r="B385" t="str">
            <v>39805</v>
          </cell>
          <cell r="C385" t="str">
            <v>南 博之</v>
          </cell>
          <cell r="D385">
            <v>43793</v>
          </cell>
          <cell r="E385" t="str">
            <v>●</v>
          </cell>
          <cell r="F385" t="str">
            <v/>
          </cell>
          <cell r="G385" t="str">
            <v/>
          </cell>
        </row>
        <row r="386">
          <cell r="A386" t="str">
            <v>3980543794</v>
          </cell>
          <cell r="B386" t="str">
            <v>39805</v>
          </cell>
          <cell r="C386" t="str">
            <v>南 博之</v>
          </cell>
          <cell r="D386">
            <v>43794</v>
          </cell>
          <cell r="E386" t="str">
            <v/>
          </cell>
          <cell r="F386" t="str">
            <v/>
          </cell>
          <cell r="G386" t="str">
            <v/>
          </cell>
        </row>
        <row r="387">
          <cell r="A387" t="str">
            <v>3980543795</v>
          </cell>
          <cell r="B387" t="str">
            <v>39805</v>
          </cell>
          <cell r="C387" t="str">
            <v>南 博之</v>
          </cell>
          <cell r="D387">
            <v>43795</v>
          </cell>
          <cell r="E387" t="str">
            <v/>
          </cell>
          <cell r="F387" t="str">
            <v/>
          </cell>
          <cell r="G387" t="str">
            <v/>
          </cell>
        </row>
        <row r="388">
          <cell r="A388" t="str">
            <v>3980543796</v>
          </cell>
          <cell r="B388" t="str">
            <v>39805</v>
          </cell>
          <cell r="C388" t="str">
            <v>南 博之</v>
          </cell>
          <cell r="D388">
            <v>43796</v>
          </cell>
          <cell r="E388" t="str">
            <v/>
          </cell>
          <cell r="F388" t="str">
            <v/>
          </cell>
          <cell r="G388" t="str">
            <v/>
          </cell>
        </row>
        <row r="389">
          <cell r="A389" t="str">
            <v>3980543797</v>
          </cell>
          <cell r="B389" t="str">
            <v>39805</v>
          </cell>
          <cell r="C389" t="str">
            <v>南 博之</v>
          </cell>
          <cell r="D389">
            <v>43797</v>
          </cell>
          <cell r="E389" t="str">
            <v/>
          </cell>
          <cell r="F389" t="str">
            <v/>
          </cell>
          <cell r="G389" t="str">
            <v/>
          </cell>
        </row>
        <row r="390">
          <cell r="A390" t="str">
            <v>3980543798</v>
          </cell>
          <cell r="B390" t="str">
            <v>39805</v>
          </cell>
          <cell r="C390" t="str">
            <v>南 博之</v>
          </cell>
          <cell r="D390">
            <v>43798</v>
          </cell>
          <cell r="E390" t="str">
            <v/>
          </cell>
          <cell r="F390" t="str">
            <v/>
          </cell>
          <cell r="G390" t="str">
            <v/>
          </cell>
        </row>
        <row r="391">
          <cell r="A391" t="str">
            <v>3980543799</v>
          </cell>
          <cell r="B391" t="str">
            <v>39805</v>
          </cell>
          <cell r="C391" t="str">
            <v>南 博之</v>
          </cell>
          <cell r="D391">
            <v>43799</v>
          </cell>
          <cell r="E391" t="str">
            <v>○</v>
          </cell>
          <cell r="F391" t="str">
            <v/>
          </cell>
          <cell r="G391" t="str">
            <v/>
          </cell>
        </row>
        <row r="392">
          <cell r="A392" t="str">
            <v>4250343770</v>
          </cell>
          <cell r="B392" t="str">
            <v>42503</v>
          </cell>
          <cell r="C392" t="str">
            <v>澤野 正樹</v>
          </cell>
          <cell r="D392">
            <v>43770</v>
          </cell>
          <cell r="E392" t="str">
            <v/>
          </cell>
          <cell r="F392" t="str">
            <v/>
          </cell>
          <cell r="G392">
            <v>14</v>
          </cell>
        </row>
        <row r="393">
          <cell r="A393" t="str">
            <v>4250343771</v>
          </cell>
          <cell r="B393" t="str">
            <v>42503</v>
          </cell>
          <cell r="C393" t="str">
            <v>澤野 正樹</v>
          </cell>
          <cell r="D393">
            <v>43771</v>
          </cell>
          <cell r="E393" t="str">
            <v>／</v>
          </cell>
          <cell r="F393" t="str">
            <v/>
          </cell>
          <cell r="G393" t="str">
            <v/>
          </cell>
        </row>
        <row r="394">
          <cell r="A394" t="str">
            <v>4250343772</v>
          </cell>
          <cell r="B394" t="str">
            <v>42503</v>
          </cell>
          <cell r="C394" t="str">
            <v>澤野 正樹</v>
          </cell>
          <cell r="D394">
            <v>43772</v>
          </cell>
          <cell r="E394" t="str">
            <v>●</v>
          </cell>
          <cell r="F394" t="str">
            <v/>
          </cell>
          <cell r="G394" t="str">
            <v/>
          </cell>
        </row>
        <row r="395">
          <cell r="A395" t="str">
            <v>4250343773</v>
          </cell>
          <cell r="B395" t="str">
            <v>42503</v>
          </cell>
          <cell r="C395" t="str">
            <v>澤野 正樹</v>
          </cell>
          <cell r="D395">
            <v>43773</v>
          </cell>
          <cell r="E395" t="str">
            <v>当</v>
          </cell>
          <cell r="F395" t="str">
            <v/>
          </cell>
          <cell r="G395" t="str">
            <v/>
          </cell>
        </row>
        <row r="396">
          <cell r="A396" t="str">
            <v>4250343774</v>
          </cell>
          <cell r="B396" t="str">
            <v>42503</v>
          </cell>
          <cell r="C396" t="str">
            <v>澤野 正樹</v>
          </cell>
          <cell r="D396">
            <v>43774</v>
          </cell>
          <cell r="E396" t="str">
            <v>明</v>
          </cell>
          <cell r="F396" t="str">
            <v/>
          </cell>
          <cell r="G396" t="str">
            <v/>
          </cell>
        </row>
        <row r="397">
          <cell r="A397" t="str">
            <v>4250343775</v>
          </cell>
          <cell r="B397" t="str">
            <v>42503</v>
          </cell>
          <cell r="C397" t="str">
            <v>澤野 正樹</v>
          </cell>
          <cell r="D397">
            <v>43775</v>
          </cell>
          <cell r="E397" t="str">
            <v/>
          </cell>
          <cell r="F397" t="str">
            <v/>
          </cell>
          <cell r="G397" t="str">
            <v/>
          </cell>
        </row>
        <row r="398">
          <cell r="A398" t="str">
            <v>4250343776</v>
          </cell>
          <cell r="B398" t="str">
            <v>42503</v>
          </cell>
          <cell r="C398" t="str">
            <v>澤野 正樹</v>
          </cell>
          <cell r="D398">
            <v>43776</v>
          </cell>
          <cell r="E398" t="str">
            <v/>
          </cell>
          <cell r="F398" t="str">
            <v/>
          </cell>
          <cell r="G398" t="str">
            <v/>
          </cell>
        </row>
        <row r="399">
          <cell r="A399" t="str">
            <v>4250343777</v>
          </cell>
          <cell r="B399" t="str">
            <v>42503</v>
          </cell>
          <cell r="C399" t="str">
            <v>澤野 正樹</v>
          </cell>
          <cell r="D399">
            <v>43777</v>
          </cell>
          <cell r="E399" t="str">
            <v/>
          </cell>
          <cell r="F399" t="str">
            <v/>
          </cell>
          <cell r="G399" t="str">
            <v/>
          </cell>
        </row>
        <row r="400">
          <cell r="A400" t="str">
            <v>4250343778</v>
          </cell>
          <cell r="B400" t="str">
            <v>42503</v>
          </cell>
          <cell r="C400" t="str">
            <v>澤野 正樹</v>
          </cell>
          <cell r="D400">
            <v>43778</v>
          </cell>
          <cell r="E400" t="str">
            <v>○</v>
          </cell>
          <cell r="F400" t="str">
            <v/>
          </cell>
          <cell r="G400" t="str">
            <v/>
          </cell>
        </row>
        <row r="401">
          <cell r="A401" t="str">
            <v>4250343779</v>
          </cell>
          <cell r="B401" t="str">
            <v>42503</v>
          </cell>
          <cell r="C401" t="str">
            <v>澤野 正樹</v>
          </cell>
          <cell r="D401">
            <v>43779</v>
          </cell>
          <cell r="E401" t="str">
            <v>●</v>
          </cell>
          <cell r="F401" t="str">
            <v/>
          </cell>
          <cell r="G401" t="str">
            <v/>
          </cell>
        </row>
        <row r="402">
          <cell r="A402" t="str">
            <v>4250343780</v>
          </cell>
          <cell r="B402" t="str">
            <v>42503</v>
          </cell>
          <cell r="C402" t="str">
            <v>澤野 正樹</v>
          </cell>
          <cell r="D402">
            <v>43780</v>
          </cell>
          <cell r="E402" t="str">
            <v/>
          </cell>
          <cell r="F402" t="str">
            <v/>
          </cell>
          <cell r="G402" t="str">
            <v/>
          </cell>
        </row>
        <row r="403">
          <cell r="A403" t="str">
            <v>4250343781</v>
          </cell>
          <cell r="B403" t="str">
            <v>42503</v>
          </cell>
          <cell r="C403" t="str">
            <v>澤野 正樹</v>
          </cell>
          <cell r="D403">
            <v>43781</v>
          </cell>
          <cell r="E403" t="str">
            <v>●</v>
          </cell>
          <cell r="F403" t="str">
            <v/>
          </cell>
          <cell r="G403" t="str">
            <v/>
          </cell>
        </row>
        <row r="404">
          <cell r="A404" t="str">
            <v>4250343782</v>
          </cell>
          <cell r="B404" t="str">
            <v>42503</v>
          </cell>
          <cell r="C404" t="str">
            <v>澤野 正樹</v>
          </cell>
          <cell r="D404">
            <v>43782</v>
          </cell>
          <cell r="E404" t="str">
            <v/>
          </cell>
          <cell r="F404" t="str">
            <v/>
          </cell>
          <cell r="G404" t="str">
            <v/>
          </cell>
        </row>
        <row r="405">
          <cell r="A405" t="str">
            <v>4250343783</v>
          </cell>
          <cell r="B405" t="str">
            <v>42503</v>
          </cell>
          <cell r="C405" t="str">
            <v>澤野 正樹</v>
          </cell>
          <cell r="D405">
            <v>43783</v>
          </cell>
          <cell r="E405" t="str">
            <v/>
          </cell>
          <cell r="F405" t="str">
            <v/>
          </cell>
          <cell r="G405" t="str">
            <v/>
          </cell>
        </row>
        <row r="406">
          <cell r="A406" t="str">
            <v>4250343784</v>
          </cell>
          <cell r="B406" t="str">
            <v>42503</v>
          </cell>
          <cell r="C406" t="str">
            <v>澤野 正樹</v>
          </cell>
          <cell r="D406">
            <v>43784</v>
          </cell>
          <cell r="E406" t="str">
            <v/>
          </cell>
          <cell r="F406" t="str">
            <v/>
          </cell>
          <cell r="G406" t="str">
            <v/>
          </cell>
        </row>
        <row r="407">
          <cell r="A407" t="str">
            <v>4250343785</v>
          </cell>
          <cell r="B407" t="str">
            <v>42503</v>
          </cell>
          <cell r="C407" t="str">
            <v>澤野 正樹</v>
          </cell>
          <cell r="D407">
            <v>43785</v>
          </cell>
          <cell r="E407" t="str">
            <v>／</v>
          </cell>
          <cell r="F407" t="str">
            <v/>
          </cell>
          <cell r="G407" t="str">
            <v/>
          </cell>
        </row>
        <row r="408">
          <cell r="A408" t="str">
            <v>4250343786</v>
          </cell>
          <cell r="B408" t="str">
            <v>42503</v>
          </cell>
          <cell r="C408" t="str">
            <v>澤野 正樹</v>
          </cell>
          <cell r="D408">
            <v>43786</v>
          </cell>
          <cell r="E408" t="str">
            <v>●</v>
          </cell>
          <cell r="F408" t="str">
            <v/>
          </cell>
          <cell r="G408" t="str">
            <v/>
          </cell>
        </row>
        <row r="409">
          <cell r="A409" t="str">
            <v>4250343787</v>
          </cell>
          <cell r="B409" t="str">
            <v>42503</v>
          </cell>
          <cell r="C409" t="str">
            <v>澤野 正樹</v>
          </cell>
          <cell r="D409">
            <v>43787</v>
          </cell>
          <cell r="E409" t="str">
            <v/>
          </cell>
          <cell r="F409" t="str">
            <v/>
          </cell>
          <cell r="G409" t="str">
            <v/>
          </cell>
        </row>
        <row r="410">
          <cell r="A410" t="str">
            <v>4250343788</v>
          </cell>
          <cell r="B410" t="str">
            <v>42503</v>
          </cell>
          <cell r="C410" t="str">
            <v>澤野 正樹</v>
          </cell>
          <cell r="D410">
            <v>43788</v>
          </cell>
          <cell r="E410" t="str">
            <v/>
          </cell>
          <cell r="F410" t="str">
            <v/>
          </cell>
          <cell r="G410" t="str">
            <v/>
          </cell>
        </row>
        <row r="411">
          <cell r="A411" t="str">
            <v>4250343789</v>
          </cell>
          <cell r="B411" t="str">
            <v>42503</v>
          </cell>
          <cell r="C411" t="str">
            <v>澤野 正樹</v>
          </cell>
          <cell r="D411">
            <v>43789</v>
          </cell>
          <cell r="E411" t="str">
            <v>当</v>
          </cell>
          <cell r="F411" t="str">
            <v/>
          </cell>
          <cell r="G411" t="str">
            <v/>
          </cell>
        </row>
        <row r="412">
          <cell r="A412" t="str">
            <v>4250343790</v>
          </cell>
          <cell r="B412" t="str">
            <v>42503</v>
          </cell>
          <cell r="C412" t="str">
            <v>澤野 正樹</v>
          </cell>
          <cell r="D412">
            <v>43790</v>
          </cell>
          <cell r="E412" t="str">
            <v>明</v>
          </cell>
          <cell r="F412" t="str">
            <v/>
          </cell>
          <cell r="G412" t="str">
            <v/>
          </cell>
        </row>
        <row r="413">
          <cell r="A413" t="str">
            <v>4250343791</v>
          </cell>
          <cell r="B413" t="str">
            <v>42503</v>
          </cell>
          <cell r="C413" t="str">
            <v>澤野 正樹</v>
          </cell>
          <cell r="D413">
            <v>43791</v>
          </cell>
          <cell r="E413" t="str">
            <v/>
          </cell>
          <cell r="F413" t="str">
            <v/>
          </cell>
          <cell r="G413" t="str">
            <v/>
          </cell>
        </row>
        <row r="414">
          <cell r="A414" t="str">
            <v>4250343792</v>
          </cell>
          <cell r="B414" t="str">
            <v>42503</v>
          </cell>
          <cell r="C414" t="str">
            <v>澤野 正樹</v>
          </cell>
          <cell r="D414">
            <v>43792</v>
          </cell>
          <cell r="E414" t="str">
            <v>●</v>
          </cell>
          <cell r="F414" t="str">
            <v/>
          </cell>
          <cell r="G414" t="str">
            <v/>
          </cell>
        </row>
        <row r="415">
          <cell r="A415" t="str">
            <v>4250343793</v>
          </cell>
          <cell r="B415" t="str">
            <v>42503</v>
          </cell>
          <cell r="C415" t="str">
            <v>澤野 正樹</v>
          </cell>
          <cell r="D415">
            <v>43793</v>
          </cell>
          <cell r="E415" t="str">
            <v>●</v>
          </cell>
          <cell r="F415" t="str">
            <v/>
          </cell>
          <cell r="G415" t="str">
            <v/>
          </cell>
        </row>
        <row r="416">
          <cell r="A416" t="str">
            <v>4250343794</v>
          </cell>
          <cell r="B416" t="str">
            <v>42503</v>
          </cell>
          <cell r="C416" t="str">
            <v>澤野 正樹</v>
          </cell>
          <cell r="D416">
            <v>43794</v>
          </cell>
          <cell r="E416" t="str">
            <v/>
          </cell>
          <cell r="F416" t="str">
            <v/>
          </cell>
          <cell r="G416" t="str">
            <v/>
          </cell>
        </row>
        <row r="417">
          <cell r="A417" t="str">
            <v>4250343795</v>
          </cell>
          <cell r="B417" t="str">
            <v>42503</v>
          </cell>
          <cell r="C417" t="str">
            <v>澤野 正樹</v>
          </cell>
          <cell r="D417">
            <v>43795</v>
          </cell>
          <cell r="E417" t="str">
            <v/>
          </cell>
          <cell r="F417" t="str">
            <v/>
          </cell>
          <cell r="G417" t="str">
            <v/>
          </cell>
        </row>
        <row r="418">
          <cell r="A418" t="str">
            <v>4250343796</v>
          </cell>
          <cell r="B418" t="str">
            <v>42503</v>
          </cell>
          <cell r="C418" t="str">
            <v>澤野 正樹</v>
          </cell>
          <cell r="D418">
            <v>43796</v>
          </cell>
          <cell r="E418" t="str">
            <v/>
          </cell>
          <cell r="F418" t="str">
            <v/>
          </cell>
          <cell r="G418" t="str">
            <v/>
          </cell>
        </row>
        <row r="419">
          <cell r="A419" t="str">
            <v>4250343797</v>
          </cell>
          <cell r="B419" t="str">
            <v>42503</v>
          </cell>
          <cell r="C419" t="str">
            <v>澤野 正樹</v>
          </cell>
          <cell r="D419">
            <v>43797</v>
          </cell>
          <cell r="E419" t="str">
            <v/>
          </cell>
          <cell r="F419" t="str">
            <v/>
          </cell>
          <cell r="G419" t="str">
            <v/>
          </cell>
        </row>
        <row r="420">
          <cell r="A420" t="str">
            <v>4250343798</v>
          </cell>
          <cell r="B420" t="str">
            <v>42503</v>
          </cell>
          <cell r="C420" t="str">
            <v>澤野 正樹</v>
          </cell>
          <cell r="D420">
            <v>43798</v>
          </cell>
          <cell r="E420" t="str">
            <v/>
          </cell>
          <cell r="F420" t="str">
            <v/>
          </cell>
          <cell r="G420" t="str">
            <v/>
          </cell>
        </row>
        <row r="421">
          <cell r="A421" t="str">
            <v>4250343799</v>
          </cell>
          <cell r="B421" t="str">
            <v>42503</v>
          </cell>
          <cell r="C421" t="str">
            <v>澤野 正樹</v>
          </cell>
          <cell r="D421">
            <v>43799</v>
          </cell>
          <cell r="E421" t="str">
            <v>／</v>
          </cell>
          <cell r="F421" t="str">
            <v/>
          </cell>
          <cell r="G421" t="str">
            <v/>
          </cell>
        </row>
        <row r="422">
          <cell r="A422" t="str">
            <v>4696343770</v>
          </cell>
          <cell r="B422" t="str">
            <v>46963</v>
          </cell>
          <cell r="C422" t="str">
            <v>清水 和弥</v>
          </cell>
          <cell r="D422">
            <v>43770</v>
          </cell>
          <cell r="E422" t="str">
            <v>明</v>
          </cell>
          <cell r="F422" t="str">
            <v/>
          </cell>
          <cell r="G422">
            <v>15</v>
          </cell>
        </row>
        <row r="423">
          <cell r="A423" t="str">
            <v>4696343771</v>
          </cell>
          <cell r="B423" t="str">
            <v>46963</v>
          </cell>
          <cell r="C423" t="str">
            <v>清水 和弥</v>
          </cell>
          <cell r="D423">
            <v>43771</v>
          </cell>
          <cell r="E423" t="str">
            <v>○</v>
          </cell>
          <cell r="F423" t="str">
            <v/>
          </cell>
          <cell r="G423" t="str">
            <v/>
          </cell>
        </row>
        <row r="424">
          <cell r="A424" t="str">
            <v>4696343772</v>
          </cell>
          <cell r="B424" t="str">
            <v>46963</v>
          </cell>
          <cell r="C424" t="str">
            <v>清水 和弥</v>
          </cell>
          <cell r="D424">
            <v>43772</v>
          </cell>
          <cell r="E424" t="str">
            <v>当</v>
          </cell>
          <cell r="F424" t="str">
            <v/>
          </cell>
          <cell r="G424" t="str">
            <v/>
          </cell>
        </row>
        <row r="425">
          <cell r="A425" t="str">
            <v>4696343773</v>
          </cell>
          <cell r="B425" t="str">
            <v>46963</v>
          </cell>
          <cell r="C425" t="str">
            <v>清水 和弥</v>
          </cell>
          <cell r="D425">
            <v>43773</v>
          </cell>
          <cell r="E425" t="str">
            <v>明</v>
          </cell>
          <cell r="F425" t="str">
            <v/>
          </cell>
          <cell r="G425" t="str">
            <v/>
          </cell>
        </row>
        <row r="426">
          <cell r="A426" t="str">
            <v>4696343774</v>
          </cell>
          <cell r="B426" t="str">
            <v>46963</v>
          </cell>
          <cell r="C426" t="str">
            <v>清水 和弥</v>
          </cell>
          <cell r="D426">
            <v>43774</v>
          </cell>
          <cell r="E426" t="str">
            <v/>
          </cell>
          <cell r="F426" t="str">
            <v/>
          </cell>
          <cell r="G426" t="str">
            <v/>
          </cell>
        </row>
        <row r="427">
          <cell r="A427" t="str">
            <v>4696343775</v>
          </cell>
          <cell r="B427" t="str">
            <v>46963</v>
          </cell>
          <cell r="C427" t="str">
            <v>清水 和弥</v>
          </cell>
          <cell r="D427">
            <v>43775</v>
          </cell>
          <cell r="E427" t="str">
            <v/>
          </cell>
          <cell r="F427" t="str">
            <v/>
          </cell>
          <cell r="G427" t="str">
            <v/>
          </cell>
        </row>
        <row r="428">
          <cell r="A428" t="str">
            <v>4696343776</v>
          </cell>
          <cell r="B428" t="str">
            <v>46963</v>
          </cell>
          <cell r="C428" t="str">
            <v>清水 和弥</v>
          </cell>
          <cell r="D428">
            <v>43776</v>
          </cell>
          <cell r="E428" t="str">
            <v>●</v>
          </cell>
          <cell r="F428" t="str">
            <v/>
          </cell>
          <cell r="G428" t="str">
            <v/>
          </cell>
        </row>
        <row r="429">
          <cell r="A429" t="str">
            <v>4696343777</v>
          </cell>
          <cell r="B429" t="str">
            <v>46963</v>
          </cell>
          <cell r="C429" t="str">
            <v>清水 和弥</v>
          </cell>
          <cell r="D429">
            <v>43777</v>
          </cell>
          <cell r="E429" t="str">
            <v>●</v>
          </cell>
          <cell r="F429" t="str">
            <v/>
          </cell>
          <cell r="G429" t="str">
            <v/>
          </cell>
        </row>
        <row r="430">
          <cell r="A430" t="str">
            <v>4696343778</v>
          </cell>
          <cell r="B430" t="str">
            <v>46963</v>
          </cell>
          <cell r="C430" t="str">
            <v>清水 和弥</v>
          </cell>
          <cell r="D430">
            <v>43778</v>
          </cell>
          <cell r="E430" t="str">
            <v>当</v>
          </cell>
          <cell r="F430" t="str">
            <v/>
          </cell>
          <cell r="G430" t="str">
            <v/>
          </cell>
        </row>
        <row r="431">
          <cell r="A431" t="str">
            <v>4696343779</v>
          </cell>
          <cell r="B431" t="str">
            <v>46963</v>
          </cell>
          <cell r="C431" t="str">
            <v>清水 和弥</v>
          </cell>
          <cell r="D431">
            <v>43779</v>
          </cell>
          <cell r="E431" t="str">
            <v>明</v>
          </cell>
          <cell r="F431" t="str">
            <v/>
          </cell>
          <cell r="G431" t="str">
            <v/>
          </cell>
        </row>
        <row r="432">
          <cell r="A432" t="str">
            <v>4696343780</v>
          </cell>
          <cell r="B432" t="str">
            <v>46963</v>
          </cell>
          <cell r="C432" t="str">
            <v>清水 和弥</v>
          </cell>
          <cell r="D432">
            <v>43780</v>
          </cell>
          <cell r="E432" t="str">
            <v/>
          </cell>
          <cell r="F432" t="str">
            <v/>
          </cell>
          <cell r="G432" t="str">
            <v/>
          </cell>
        </row>
        <row r="433">
          <cell r="A433" t="str">
            <v>4696343781</v>
          </cell>
          <cell r="B433" t="str">
            <v>46963</v>
          </cell>
          <cell r="C433" t="str">
            <v>清水 和弥</v>
          </cell>
          <cell r="D433">
            <v>43781</v>
          </cell>
          <cell r="E433" t="str">
            <v/>
          </cell>
          <cell r="F433" t="str">
            <v/>
          </cell>
          <cell r="G433" t="str">
            <v/>
          </cell>
        </row>
        <row r="434">
          <cell r="A434" t="str">
            <v>4696343782</v>
          </cell>
          <cell r="B434" t="str">
            <v>46963</v>
          </cell>
          <cell r="C434" t="str">
            <v>清水 和弥</v>
          </cell>
          <cell r="D434">
            <v>43782</v>
          </cell>
          <cell r="E434" t="str">
            <v/>
          </cell>
          <cell r="F434" t="str">
            <v/>
          </cell>
          <cell r="G434" t="str">
            <v/>
          </cell>
        </row>
        <row r="435">
          <cell r="A435" t="str">
            <v>4696343783</v>
          </cell>
          <cell r="B435" t="str">
            <v>46963</v>
          </cell>
          <cell r="C435" t="str">
            <v>清水 和弥</v>
          </cell>
          <cell r="D435">
            <v>43783</v>
          </cell>
          <cell r="E435" t="str">
            <v>●</v>
          </cell>
          <cell r="F435" t="str">
            <v/>
          </cell>
          <cell r="G435" t="str">
            <v/>
          </cell>
        </row>
        <row r="436">
          <cell r="A436" t="str">
            <v>4696343784</v>
          </cell>
          <cell r="B436" t="str">
            <v>46963</v>
          </cell>
          <cell r="C436" t="str">
            <v>清水 和弥</v>
          </cell>
          <cell r="D436">
            <v>43784</v>
          </cell>
          <cell r="E436" t="str">
            <v/>
          </cell>
          <cell r="F436" t="str">
            <v/>
          </cell>
          <cell r="G436" t="str">
            <v/>
          </cell>
        </row>
        <row r="437">
          <cell r="A437" t="str">
            <v>4696343785</v>
          </cell>
          <cell r="B437" t="str">
            <v>46963</v>
          </cell>
          <cell r="C437" t="str">
            <v>清水 和弥</v>
          </cell>
          <cell r="D437">
            <v>43785</v>
          </cell>
          <cell r="E437" t="str">
            <v>○</v>
          </cell>
          <cell r="F437" t="str">
            <v/>
          </cell>
          <cell r="G437" t="str">
            <v/>
          </cell>
        </row>
        <row r="438">
          <cell r="A438" t="str">
            <v>4696343786</v>
          </cell>
          <cell r="B438" t="str">
            <v>46963</v>
          </cell>
          <cell r="C438" t="str">
            <v>清水 和弥</v>
          </cell>
          <cell r="D438">
            <v>43786</v>
          </cell>
          <cell r="E438" t="str">
            <v>●</v>
          </cell>
          <cell r="F438" t="str">
            <v/>
          </cell>
          <cell r="G438" t="str">
            <v/>
          </cell>
        </row>
        <row r="439">
          <cell r="A439" t="str">
            <v>4696343787</v>
          </cell>
          <cell r="B439" t="str">
            <v>46963</v>
          </cell>
          <cell r="C439" t="str">
            <v>清水 和弥</v>
          </cell>
          <cell r="D439">
            <v>43787</v>
          </cell>
          <cell r="E439" t="str">
            <v/>
          </cell>
          <cell r="F439" t="str">
            <v/>
          </cell>
          <cell r="G439" t="str">
            <v/>
          </cell>
        </row>
        <row r="440">
          <cell r="A440" t="str">
            <v>4696343788</v>
          </cell>
          <cell r="B440" t="str">
            <v>46963</v>
          </cell>
          <cell r="C440" t="str">
            <v>清水 和弥</v>
          </cell>
          <cell r="D440">
            <v>43788</v>
          </cell>
          <cell r="E440" t="str">
            <v/>
          </cell>
          <cell r="F440" t="str">
            <v/>
          </cell>
          <cell r="G440" t="str">
            <v/>
          </cell>
        </row>
        <row r="441">
          <cell r="A441" t="str">
            <v>4696343789</v>
          </cell>
          <cell r="B441" t="str">
            <v>46963</v>
          </cell>
          <cell r="C441" t="str">
            <v>清水 和弥</v>
          </cell>
          <cell r="D441">
            <v>43789</v>
          </cell>
          <cell r="E441" t="str">
            <v/>
          </cell>
          <cell r="F441" t="str">
            <v/>
          </cell>
          <cell r="G441" t="str">
            <v/>
          </cell>
        </row>
        <row r="442">
          <cell r="A442" t="str">
            <v>4696343790</v>
          </cell>
          <cell r="B442" t="str">
            <v>46963</v>
          </cell>
          <cell r="C442" t="str">
            <v>清水 和弥</v>
          </cell>
          <cell r="D442">
            <v>43790</v>
          </cell>
          <cell r="E442" t="str">
            <v/>
          </cell>
          <cell r="F442" t="str">
            <v/>
          </cell>
          <cell r="G442" t="str">
            <v/>
          </cell>
        </row>
        <row r="443">
          <cell r="A443" t="str">
            <v>4696343791</v>
          </cell>
          <cell r="B443" t="str">
            <v>46963</v>
          </cell>
          <cell r="C443" t="str">
            <v>清水 和弥</v>
          </cell>
          <cell r="D443">
            <v>43791</v>
          </cell>
          <cell r="E443" t="str">
            <v/>
          </cell>
          <cell r="F443" t="str">
            <v/>
          </cell>
          <cell r="G443" t="str">
            <v/>
          </cell>
        </row>
        <row r="444">
          <cell r="A444" t="str">
            <v>4696343792</v>
          </cell>
          <cell r="B444" t="str">
            <v>46963</v>
          </cell>
          <cell r="C444" t="str">
            <v>清水 和弥</v>
          </cell>
          <cell r="D444">
            <v>43792</v>
          </cell>
          <cell r="E444" t="str">
            <v>●</v>
          </cell>
          <cell r="F444" t="str">
            <v/>
          </cell>
          <cell r="G444" t="str">
            <v/>
          </cell>
        </row>
        <row r="445">
          <cell r="A445" t="str">
            <v>4696343793</v>
          </cell>
          <cell r="B445" t="str">
            <v>46963</v>
          </cell>
          <cell r="C445" t="str">
            <v>清水 和弥</v>
          </cell>
          <cell r="D445">
            <v>43793</v>
          </cell>
          <cell r="E445" t="str">
            <v>●</v>
          </cell>
          <cell r="F445" t="str">
            <v/>
          </cell>
          <cell r="G445" t="str">
            <v/>
          </cell>
        </row>
        <row r="446">
          <cell r="A446" t="str">
            <v>4696343794</v>
          </cell>
          <cell r="B446" t="str">
            <v>46963</v>
          </cell>
          <cell r="C446" t="str">
            <v>清水 和弥</v>
          </cell>
          <cell r="D446">
            <v>43794</v>
          </cell>
          <cell r="E446" t="str">
            <v/>
          </cell>
          <cell r="F446" t="str">
            <v/>
          </cell>
          <cell r="G446" t="str">
            <v/>
          </cell>
        </row>
        <row r="447">
          <cell r="A447" t="str">
            <v>4696343795</v>
          </cell>
          <cell r="B447" t="str">
            <v>46963</v>
          </cell>
          <cell r="C447" t="str">
            <v>清水 和弥</v>
          </cell>
          <cell r="D447">
            <v>43795</v>
          </cell>
          <cell r="E447" t="str">
            <v/>
          </cell>
          <cell r="F447" t="str">
            <v/>
          </cell>
          <cell r="G447" t="str">
            <v/>
          </cell>
        </row>
        <row r="448">
          <cell r="A448" t="str">
            <v>4696343796</v>
          </cell>
          <cell r="B448" t="str">
            <v>46963</v>
          </cell>
          <cell r="C448" t="str">
            <v>清水 和弥</v>
          </cell>
          <cell r="D448">
            <v>43796</v>
          </cell>
          <cell r="E448" t="str">
            <v/>
          </cell>
          <cell r="F448" t="str">
            <v/>
          </cell>
          <cell r="G448" t="str">
            <v/>
          </cell>
        </row>
        <row r="449">
          <cell r="A449" t="str">
            <v>4696343797</v>
          </cell>
          <cell r="B449" t="str">
            <v>46963</v>
          </cell>
          <cell r="C449" t="str">
            <v>清水 和弥</v>
          </cell>
          <cell r="D449">
            <v>43797</v>
          </cell>
          <cell r="E449" t="str">
            <v/>
          </cell>
          <cell r="F449" t="str">
            <v/>
          </cell>
          <cell r="G449" t="str">
            <v/>
          </cell>
        </row>
        <row r="450">
          <cell r="A450" t="str">
            <v>4696343798</v>
          </cell>
          <cell r="B450" t="str">
            <v>46963</v>
          </cell>
          <cell r="C450" t="str">
            <v>清水 和弥</v>
          </cell>
          <cell r="D450">
            <v>43798</v>
          </cell>
          <cell r="E450" t="str">
            <v/>
          </cell>
          <cell r="F450" t="str">
            <v/>
          </cell>
          <cell r="G450" t="str">
            <v/>
          </cell>
        </row>
        <row r="451">
          <cell r="A451" t="str">
            <v>4696343799</v>
          </cell>
          <cell r="B451" t="str">
            <v>46963</v>
          </cell>
          <cell r="C451" t="str">
            <v>清水 和弥</v>
          </cell>
          <cell r="D451">
            <v>43799</v>
          </cell>
          <cell r="E451" t="str">
            <v>○</v>
          </cell>
          <cell r="F451" t="str">
            <v/>
          </cell>
          <cell r="G451" t="str">
            <v/>
          </cell>
        </row>
        <row r="452">
          <cell r="A452" t="str">
            <v>5268743770</v>
          </cell>
          <cell r="B452" t="str">
            <v>52687</v>
          </cell>
          <cell r="C452" t="str">
            <v>坪野 寿恵</v>
          </cell>
          <cell r="D452">
            <v>43770</v>
          </cell>
          <cell r="E452" t="str">
            <v/>
          </cell>
          <cell r="F452" t="str">
            <v/>
          </cell>
          <cell r="G452">
            <v>16</v>
          </cell>
        </row>
        <row r="453">
          <cell r="A453" t="str">
            <v>5268743771</v>
          </cell>
          <cell r="B453" t="str">
            <v>52687</v>
          </cell>
          <cell r="C453" t="str">
            <v>坪野 寿恵</v>
          </cell>
          <cell r="D453">
            <v>43771</v>
          </cell>
          <cell r="E453" t="str">
            <v>○</v>
          </cell>
          <cell r="F453" t="str">
            <v/>
          </cell>
          <cell r="G453" t="str">
            <v/>
          </cell>
        </row>
        <row r="454">
          <cell r="A454" t="str">
            <v>5268743772</v>
          </cell>
          <cell r="B454" t="str">
            <v>52687</v>
          </cell>
          <cell r="C454" t="str">
            <v>坪野 寿恵</v>
          </cell>
          <cell r="D454">
            <v>43772</v>
          </cell>
          <cell r="E454" t="str">
            <v>●</v>
          </cell>
          <cell r="F454" t="str">
            <v/>
          </cell>
          <cell r="G454" t="str">
            <v/>
          </cell>
        </row>
        <row r="455">
          <cell r="A455" t="str">
            <v>5268743773</v>
          </cell>
          <cell r="B455" t="str">
            <v>52687</v>
          </cell>
          <cell r="C455" t="str">
            <v>坪野 寿恵</v>
          </cell>
          <cell r="D455">
            <v>43773</v>
          </cell>
          <cell r="E455" t="str">
            <v>●</v>
          </cell>
          <cell r="F455" t="str">
            <v/>
          </cell>
          <cell r="G455" t="str">
            <v/>
          </cell>
        </row>
        <row r="456">
          <cell r="A456" t="str">
            <v>5268743774</v>
          </cell>
          <cell r="B456" t="str">
            <v>52687</v>
          </cell>
          <cell r="C456" t="str">
            <v>坪野 寿恵</v>
          </cell>
          <cell r="D456">
            <v>43774</v>
          </cell>
          <cell r="E456" t="str">
            <v/>
          </cell>
          <cell r="F456" t="str">
            <v>年PM</v>
          </cell>
          <cell r="G456" t="str">
            <v/>
          </cell>
        </row>
        <row r="457">
          <cell r="A457" t="str">
            <v>5268743775</v>
          </cell>
          <cell r="B457" t="str">
            <v>52687</v>
          </cell>
          <cell r="C457" t="str">
            <v>坪野 寿恵</v>
          </cell>
          <cell r="D457">
            <v>43775</v>
          </cell>
          <cell r="E457" t="str">
            <v/>
          </cell>
          <cell r="F457" t="str">
            <v/>
          </cell>
          <cell r="G457" t="str">
            <v/>
          </cell>
        </row>
        <row r="458">
          <cell r="A458" t="str">
            <v>5268743776</v>
          </cell>
          <cell r="B458" t="str">
            <v>52687</v>
          </cell>
          <cell r="C458" t="str">
            <v>坪野 寿恵</v>
          </cell>
          <cell r="D458">
            <v>43776</v>
          </cell>
          <cell r="E458" t="str">
            <v/>
          </cell>
          <cell r="F458" t="str">
            <v/>
          </cell>
          <cell r="G458" t="str">
            <v/>
          </cell>
        </row>
        <row r="459">
          <cell r="A459" t="str">
            <v>5268743777</v>
          </cell>
          <cell r="B459" t="str">
            <v>52687</v>
          </cell>
          <cell r="C459" t="str">
            <v>坪野 寿恵</v>
          </cell>
          <cell r="D459">
            <v>43777</v>
          </cell>
          <cell r="E459" t="str">
            <v/>
          </cell>
          <cell r="F459" t="str">
            <v/>
          </cell>
          <cell r="G459" t="str">
            <v/>
          </cell>
        </row>
        <row r="460">
          <cell r="A460" t="str">
            <v>5268743778</v>
          </cell>
          <cell r="B460" t="str">
            <v>52687</v>
          </cell>
          <cell r="C460" t="str">
            <v>坪野 寿恵</v>
          </cell>
          <cell r="D460">
            <v>43778</v>
          </cell>
          <cell r="E460" t="str">
            <v>／</v>
          </cell>
          <cell r="F460" t="str">
            <v/>
          </cell>
          <cell r="G460" t="str">
            <v/>
          </cell>
        </row>
        <row r="461">
          <cell r="A461" t="str">
            <v>5268743779</v>
          </cell>
          <cell r="B461" t="str">
            <v>52687</v>
          </cell>
          <cell r="C461" t="str">
            <v>坪野 寿恵</v>
          </cell>
          <cell r="D461">
            <v>43779</v>
          </cell>
          <cell r="E461" t="str">
            <v>●</v>
          </cell>
          <cell r="F461" t="str">
            <v/>
          </cell>
          <cell r="G461" t="str">
            <v/>
          </cell>
        </row>
        <row r="462">
          <cell r="A462" t="str">
            <v>5268743780</v>
          </cell>
          <cell r="B462" t="str">
            <v>52687</v>
          </cell>
          <cell r="C462" t="str">
            <v>坪野 寿恵</v>
          </cell>
          <cell r="D462">
            <v>43780</v>
          </cell>
          <cell r="E462" t="str">
            <v/>
          </cell>
          <cell r="F462" t="str">
            <v/>
          </cell>
          <cell r="G462" t="str">
            <v/>
          </cell>
        </row>
        <row r="463">
          <cell r="A463" t="str">
            <v>5268743781</v>
          </cell>
          <cell r="B463" t="str">
            <v>52687</v>
          </cell>
          <cell r="C463" t="str">
            <v>坪野 寿恵</v>
          </cell>
          <cell r="D463">
            <v>43781</v>
          </cell>
          <cell r="E463" t="str">
            <v/>
          </cell>
          <cell r="F463" t="str">
            <v/>
          </cell>
          <cell r="G463" t="str">
            <v/>
          </cell>
        </row>
        <row r="464">
          <cell r="A464" t="str">
            <v>5268743782</v>
          </cell>
          <cell r="B464" t="str">
            <v>52687</v>
          </cell>
          <cell r="C464" t="str">
            <v>坪野 寿恵</v>
          </cell>
          <cell r="D464">
            <v>43782</v>
          </cell>
          <cell r="E464" t="str">
            <v/>
          </cell>
          <cell r="F464" t="str">
            <v/>
          </cell>
          <cell r="G464" t="str">
            <v/>
          </cell>
        </row>
        <row r="465">
          <cell r="A465" t="str">
            <v>5268743783</v>
          </cell>
          <cell r="B465" t="str">
            <v>52687</v>
          </cell>
          <cell r="C465" t="str">
            <v>坪野 寿恵</v>
          </cell>
          <cell r="D465">
            <v>43783</v>
          </cell>
          <cell r="E465" t="str">
            <v/>
          </cell>
          <cell r="F465" t="str">
            <v>年休</v>
          </cell>
          <cell r="G465" t="str">
            <v/>
          </cell>
        </row>
        <row r="466">
          <cell r="A466" t="str">
            <v>5268743784</v>
          </cell>
          <cell r="B466" t="str">
            <v>52687</v>
          </cell>
          <cell r="C466" t="str">
            <v>坪野 寿恵</v>
          </cell>
          <cell r="D466">
            <v>43784</v>
          </cell>
          <cell r="E466" t="str">
            <v/>
          </cell>
          <cell r="F466" t="str">
            <v/>
          </cell>
          <cell r="G466" t="str">
            <v/>
          </cell>
        </row>
        <row r="467">
          <cell r="A467" t="str">
            <v>5268743785</v>
          </cell>
          <cell r="B467" t="str">
            <v>52687</v>
          </cell>
          <cell r="C467" t="str">
            <v>坪野 寿恵</v>
          </cell>
          <cell r="D467">
            <v>43785</v>
          </cell>
          <cell r="E467" t="str">
            <v>○</v>
          </cell>
          <cell r="F467" t="str">
            <v/>
          </cell>
          <cell r="G467" t="str">
            <v/>
          </cell>
        </row>
        <row r="468">
          <cell r="A468" t="str">
            <v>5268743786</v>
          </cell>
          <cell r="B468" t="str">
            <v>52687</v>
          </cell>
          <cell r="C468" t="str">
            <v>坪野 寿恵</v>
          </cell>
          <cell r="D468">
            <v>43786</v>
          </cell>
          <cell r="E468" t="str">
            <v>●</v>
          </cell>
          <cell r="F468" t="str">
            <v/>
          </cell>
          <cell r="G468" t="str">
            <v/>
          </cell>
        </row>
        <row r="469">
          <cell r="A469" t="str">
            <v>5268743787</v>
          </cell>
          <cell r="B469" t="str">
            <v>52687</v>
          </cell>
          <cell r="C469" t="str">
            <v>坪野 寿恵</v>
          </cell>
          <cell r="D469">
            <v>43787</v>
          </cell>
          <cell r="E469" t="str">
            <v/>
          </cell>
          <cell r="F469" t="str">
            <v/>
          </cell>
          <cell r="G469" t="str">
            <v/>
          </cell>
        </row>
        <row r="470">
          <cell r="A470" t="str">
            <v>5268743788</v>
          </cell>
          <cell r="B470" t="str">
            <v>52687</v>
          </cell>
          <cell r="C470" t="str">
            <v>坪野 寿恵</v>
          </cell>
          <cell r="D470">
            <v>43788</v>
          </cell>
          <cell r="E470" t="str">
            <v/>
          </cell>
          <cell r="F470" t="str">
            <v/>
          </cell>
          <cell r="G470" t="str">
            <v/>
          </cell>
        </row>
        <row r="471">
          <cell r="A471" t="str">
            <v>5268743789</v>
          </cell>
          <cell r="B471" t="str">
            <v>52687</v>
          </cell>
          <cell r="C471" t="str">
            <v>坪野 寿恵</v>
          </cell>
          <cell r="D471">
            <v>43789</v>
          </cell>
          <cell r="E471" t="str">
            <v/>
          </cell>
          <cell r="F471" t="str">
            <v/>
          </cell>
          <cell r="G471" t="str">
            <v/>
          </cell>
        </row>
        <row r="472">
          <cell r="A472" t="str">
            <v>5268743790</v>
          </cell>
          <cell r="B472" t="str">
            <v>52687</v>
          </cell>
          <cell r="C472" t="str">
            <v>坪野 寿恵</v>
          </cell>
          <cell r="D472">
            <v>43790</v>
          </cell>
          <cell r="E472" t="str">
            <v/>
          </cell>
          <cell r="F472" t="str">
            <v/>
          </cell>
          <cell r="G472" t="str">
            <v/>
          </cell>
        </row>
        <row r="473">
          <cell r="A473" t="str">
            <v>5268743791</v>
          </cell>
          <cell r="B473" t="str">
            <v>52687</v>
          </cell>
          <cell r="C473" t="str">
            <v>坪野 寿恵</v>
          </cell>
          <cell r="D473">
            <v>43791</v>
          </cell>
          <cell r="E473" t="str">
            <v/>
          </cell>
          <cell r="F473" t="str">
            <v/>
          </cell>
          <cell r="G473" t="str">
            <v/>
          </cell>
        </row>
        <row r="474">
          <cell r="A474" t="str">
            <v>5268743792</v>
          </cell>
          <cell r="B474" t="str">
            <v>52687</v>
          </cell>
          <cell r="C474" t="str">
            <v>坪野 寿恵</v>
          </cell>
          <cell r="D474">
            <v>43792</v>
          </cell>
          <cell r="E474" t="str">
            <v>●</v>
          </cell>
          <cell r="F474" t="str">
            <v/>
          </cell>
          <cell r="G474" t="str">
            <v/>
          </cell>
        </row>
        <row r="475">
          <cell r="A475" t="str">
            <v>5268743793</v>
          </cell>
          <cell r="B475" t="str">
            <v>52687</v>
          </cell>
          <cell r="C475" t="str">
            <v>坪野 寿恵</v>
          </cell>
          <cell r="D475">
            <v>43793</v>
          </cell>
          <cell r="E475" t="str">
            <v>●</v>
          </cell>
          <cell r="F475" t="str">
            <v/>
          </cell>
          <cell r="G475" t="str">
            <v/>
          </cell>
        </row>
        <row r="476">
          <cell r="A476" t="str">
            <v>5268743794</v>
          </cell>
          <cell r="B476" t="str">
            <v>52687</v>
          </cell>
          <cell r="C476" t="str">
            <v>坪野 寿恵</v>
          </cell>
          <cell r="D476">
            <v>43794</v>
          </cell>
          <cell r="E476" t="str">
            <v/>
          </cell>
          <cell r="F476" t="str">
            <v/>
          </cell>
          <cell r="G476" t="str">
            <v/>
          </cell>
        </row>
        <row r="477">
          <cell r="A477" t="str">
            <v>5268743795</v>
          </cell>
          <cell r="B477" t="str">
            <v>52687</v>
          </cell>
          <cell r="C477" t="str">
            <v>坪野 寿恵</v>
          </cell>
          <cell r="D477">
            <v>43795</v>
          </cell>
          <cell r="E477" t="str">
            <v/>
          </cell>
          <cell r="F477" t="str">
            <v/>
          </cell>
          <cell r="G477" t="str">
            <v/>
          </cell>
        </row>
        <row r="478">
          <cell r="A478" t="str">
            <v>5268743796</v>
          </cell>
          <cell r="B478" t="str">
            <v>52687</v>
          </cell>
          <cell r="C478" t="str">
            <v>坪野 寿恵</v>
          </cell>
          <cell r="D478">
            <v>43796</v>
          </cell>
          <cell r="E478" t="str">
            <v/>
          </cell>
          <cell r="F478" t="str">
            <v/>
          </cell>
          <cell r="G478" t="str">
            <v/>
          </cell>
        </row>
        <row r="479">
          <cell r="A479" t="str">
            <v>5268743797</v>
          </cell>
          <cell r="B479" t="str">
            <v>52687</v>
          </cell>
          <cell r="C479" t="str">
            <v>坪野 寿恵</v>
          </cell>
          <cell r="D479">
            <v>43797</v>
          </cell>
          <cell r="E479" t="str">
            <v/>
          </cell>
          <cell r="F479" t="str">
            <v/>
          </cell>
          <cell r="G479" t="str">
            <v/>
          </cell>
        </row>
        <row r="480">
          <cell r="A480" t="str">
            <v>5268743798</v>
          </cell>
          <cell r="B480" t="str">
            <v>52687</v>
          </cell>
          <cell r="C480" t="str">
            <v>坪野 寿恵</v>
          </cell>
          <cell r="D480">
            <v>43798</v>
          </cell>
          <cell r="E480" t="str">
            <v/>
          </cell>
          <cell r="F480" t="str">
            <v/>
          </cell>
          <cell r="G480" t="str">
            <v/>
          </cell>
        </row>
        <row r="481">
          <cell r="A481" t="str">
            <v>5268743799</v>
          </cell>
          <cell r="B481" t="str">
            <v>52687</v>
          </cell>
          <cell r="C481" t="str">
            <v>坪野 寿恵</v>
          </cell>
          <cell r="D481">
            <v>43799</v>
          </cell>
          <cell r="E481" t="str">
            <v>○</v>
          </cell>
          <cell r="F481" t="str">
            <v/>
          </cell>
          <cell r="G481" t="str">
            <v/>
          </cell>
        </row>
        <row r="482">
          <cell r="A482" t="str">
            <v>5671243770</v>
          </cell>
          <cell r="B482" t="str">
            <v>56712</v>
          </cell>
          <cell r="C482" t="str">
            <v>山田 正則</v>
          </cell>
          <cell r="D482">
            <v>43770</v>
          </cell>
          <cell r="E482" t="str">
            <v>当</v>
          </cell>
          <cell r="F482" t="str">
            <v/>
          </cell>
          <cell r="G482">
            <v>17</v>
          </cell>
        </row>
        <row r="483">
          <cell r="A483" t="str">
            <v>5671243771</v>
          </cell>
          <cell r="B483" t="str">
            <v>56712</v>
          </cell>
          <cell r="C483" t="str">
            <v>山田 正則</v>
          </cell>
          <cell r="D483">
            <v>43771</v>
          </cell>
          <cell r="E483" t="str">
            <v>明</v>
          </cell>
          <cell r="F483" t="str">
            <v>指PM</v>
          </cell>
          <cell r="G483" t="str">
            <v/>
          </cell>
        </row>
        <row r="484">
          <cell r="A484" t="str">
            <v>5671243772</v>
          </cell>
          <cell r="B484" t="str">
            <v>56712</v>
          </cell>
          <cell r="C484" t="str">
            <v>山田 正則</v>
          </cell>
          <cell r="D484">
            <v>43772</v>
          </cell>
          <cell r="E484" t="str">
            <v>●</v>
          </cell>
          <cell r="F484" t="str">
            <v/>
          </cell>
          <cell r="G484" t="str">
            <v/>
          </cell>
        </row>
        <row r="485">
          <cell r="A485" t="str">
            <v>5671243773</v>
          </cell>
          <cell r="B485" t="str">
            <v>56712</v>
          </cell>
          <cell r="C485" t="str">
            <v>山田 正則</v>
          </cell>
          <cell r="D485">
            <v>43773</v>
          </cell>
          <cell r="E485" t="str">
            <v>●</v>
          </cell>
          <cell r="F485" t="str">
            <v/>
          </cell>
          <cell r="G485" t="str">
            <v/>
          </cell>
        </row>
        <row r="486">
          <cell r="A486" t="str">
            <v>5671243774</v>
          </cell>
          <cell r="B486" t="str">
            <v>56712</v>
          </cell>
          <cell r="C486" t="str">
            <v>山田 正則</v>
          </cell>
          <cell r="D486">
            <v>43774</v>
          </cell>
          <cell r="E486" t="str">
            <v>●</v>
          </cell>
          <cell r="F486" t="str">
            <v/>
          </cell>
          <cell r="G486" t="str">
            <v/>
          </cell>
        </row>
        <row r="487">
          <cell r="A487" t="str">
            <v>5671243775</v>
          </cell>
          <cell r="B487" t="str">
            <v>56712</v>
          </cell>
          <cell r="C487" t="str">
            <v>山田 正則</v>
          </cell>
          <cell r="D487">
            <v>43775</v>
          </cell>
          <cell r="E487" t="str">
            <v/>
          </cell>
          <cell r="F487" t="str">
            <v/>
          </cell>
          <cell r="G487" t="str">
            <v/>
          </cell>
        </row>
        <row r="488">
          <cell r="A488" t="str">
            <v>5671243776</v>
          </cell>
          <cell r="B488" t="str">
            <v>56712</v>
          </cell>
          <cell r="C488" t="str">
            <v>山田 正則</v>
          </cell>
          <cell r="D488">
            <v>43776</v>
          </cell>
          <cell r="E488" t="str">
            <v/>
          </cell>
          <cell r="F488" t="str">
            <v/>
          </cell>
          <cell r="G488" t="str">
            <v/>
          </cell>
        </row>
        <row r="489">
          <cell r="A489" t="str">
            <v>5671243777</v>
          </cell>
          <cell r="B489" t="str">
            <v>56712</v>
          </cell>
          <cell r="C489" t="str">
            <v>山田 正則</v>
          </cell>
          <cell r="D489">
            <v>43777</v>
          </cell>
          <cell r="E489" t="str">
            <v/>
          </cell>
          <cell r="F489" t="str">
            <v/>
          </cell>
          <cell r="G489" t="str">
            <v/>
          </cell>
        </row>
        <row r="490">
          <cell r="A490" t="str">
            <v>5671243778</v>
          </cell>
          <cell r="B490" t="str">
            <v>56712</v>
          </cell>
          <cell r="C490" t="str">
            <v>山田 正則</v>
          </cell>
          <cell r="D490">
            <v>43778</v>
          </cell>
          <cell r="E490" t="str">
            <v>／</v>
          </cell>
          <cell r="F490" t="str">
            <v/>
          </cell>
          <cell r="G490" t="str">
            <v/>
          </cell>
        </row>
        <row r="491">
          <cell r="A491" t="str">
            <v>5671243779</v>
          </cell>
          <cell r="B491" t="str">
            <v>56712</v>
          </cell>
          <cell r="C491" t="str">
            <v>山田 正則</v>
          </cell>
          <cell r="D491">
            <v>43779</v>
          </cell>
          <cell r="E491" t="str">
            <v>●</v>
          </cell>
          <cell r="F491" t="str">
            <v/>
          </cell>
          <cell r="G491" t="str">
            <v/>
          </cell>
        </row>
        <row r="492">
          <cell r="A492" t="str">
            <v>5671243780</v>
          </cell>
          <cell r="B492" t="str">
            <v>56712</v>
          </cell>
          <cell r="C492" t="str">
            <v>山田 正則</v>
          </cell>
          <cell r="D492">
            <v>43780</v>
          </cell>
          <cell r="E492" t="str">
            <v/>
          </cell>
          <cell r="F492" t="str">
            <v/>
          </cell>
          <cell r="G492" t="str">
            <v/>
          </cell>
        </row>
        <row r="493">
          <cell r="A493" t="str">
            <v>5671243781</v>
          </cell>
          <cell r="B493" t="str">
            <v>56712</v>
          </cell>
          <cell r="C493" t="str">
            <v>山田 正則</v>
          </cell>
          <cell r="D493">
            <v>43781</v>
          </cell>
          <cell r="E493" t="str">
            <v/>
          </cell>
          <cell r="F493" t="str">
            <v/>
          </cell>
          <cell r="G493" t="str">
            <v/>
          </cell>
        </row>
        <row r="494">
          <cell r="A494" t="str">
            <v>5671243782</v>
          </cell>
          <cell r="B494" t="str">
            <v>56712</v>
          </cell>
          <cell r="C494" t="str">
            <v>山田 正則</v>
          </cell>
          <cell r="D494">
            <v>43782</v>
          </cell>
          <cell r="E494" t="str">
            <v/>
          </cell>
          <cell r="F494" t="str">
            <v/>
          </cell>
          <cell r="G494" t="str">
            <v/>
          </cell>
        </row>
        <row r="495">
          <cell r="A495" t="str">
            <v>5671243783</v>
          </cell>
          <cell r="B495" t="str">
            <v>56712</v>
          </cell>
          <cell r="C495" t="str">
            <v>山田 正則</v>
          </cell>
          <cell r="D495">
            <v>43783</v>
          </cell>
          <cell r="E495" t="str">
            <v>当</v>
          </cell>
          <cell r="F495" t="str">
            <v/>
          </cell>
          <cell r="G495" t="str">
            <v/>
          </cell>
        </row>
        <row r="496">
          <cell r="A496" t="str">
            <v>5671243784</v>
          </cell>
          <cell r="B496" t="str">
            <v>56712</v>
          </cell>
          <cell r="C496" t="str">
            <v>山田 正則</v>
          </cell>
          <cell r="D496">
            <v>43784</v>
          </cell>
          <cell r="E496" t="str">
            <v>明</v>
          </cell>
          <cell r="F496" t="str">
            <v/>
          </cell>
          <cell r="G496" t="str">
            <v/>
          </cell>
        </row>
        <row r="497">
          <cell r="A497" t="str">
            <v>5671243785</v>
          </cell>
          <cell r="B497" t="str">
            <v>56712</v>
          </cell>
          <cell r="C497" t="str">
            <v>山田 正則</v>
          </cell>
          <cell r="D497">
            <v>43785</v>
          </cell>
          <cell r="E497" t="str">
            <v>○</v>
          </cell>
          <cell r="F497" t="str">
            <v/>
          </cell>
          <cell r="G497" t="str">
            <v/>
          </cell>
        </row>
        <row r="498">
          <cell r="A498" t="str">
            <v>5671243786</v>
          </cell>
          <cell r="B498" t="str">
            <v>56712</v>
          </cell>
          <cell r="C498" t="str">
            <v>山田 正則</v>
          </cell>
          <cell r="D498">
            <v>43786</v>
          </cell>
          <cell r="E498" t="str">
            <v>●</v>
          </cell>
          <cell r="F498" t="str">
            <v/>
          </cell>
          <cell r="G498" t="str">
            <v/>
          </cell>
        </row>
        <row r="499">
          <cell r="A499" t="str">
            <v>5671243787</v>
          </cell>
          <cell r="B499" t="str">
            <v>56712</v>
          </cell>
          <cell r="C499" t="str">
            <v>山田 正則</v>
          </cell>
          <cell r="D499">
            <v>43787</v>
          </cell>
          <cell r="E499" t="str">
            <v/>
          </cell>
          <cell r="F499" t="str">
            <v/>
          </cell>
          <cell r="G499" t="str">
            <v/>
          </cell>
        </row>
        <row r="500">
          <cell r="A500" t="str">
            <v>5671243788</v>
          </cell>
          <cell r="B500" t="str">
            <v>56712</v>
          </cell>
          <cell r="C500" t="str">
            <v>山田 正則</v>
          </cell>
          <cell r="D500">
            <v>43788</v>
          </cell>
          <cell r="E500" t="str">
            <v/>
          </cell>
          <cell r="F500" t="str">
            <v/>
          </cell>
          <cell r="G500" t="str">
            <v/>
          </cell>
        </row>
        <row r="501">
          <cell r="A501" t="str">
            <v>5671243789</v>
          </cell>
          <cell r="B501" t="str">
            <v>56712</v>
          </cell>
          <cell r="C501" t="str">
            <v>山田 正則</v>
          </cell>
          <cell r="D501">
            <v>43789</v>
          </cell>
          <cell r="E501" t="str">
            <v/>
          </cell>
          <cell r="F501" t="str">
            <v/>
          </cell>
          <cell r="G501" t="str">
            <v/>
          </cell>
        </row>
        <row r="502">
          <cell r="A502" t="str">
            <v>5671243790</v>
          </cell>
          <cell r="B502" t="str">
            <v>56712</v>
          </cell>
          <cell r="C502" t="str">
            <v>山田 正則</v>
          </cell>
          <cell r="D502">
            <v>43790</v>
          </cell>
          <cell r="E502" t="str">
            <v/>
          </cell>
          <cell r="F502" t="str">
            <v/>
          </cell>
          <cell r="G502" t="str">
            <v/>
          </cell>
        </row>
        <row r="503">
          <cell r="A503" t="str">
            <v>5671243791</v>
          </cell>
          <cell r="B503" t="str">
            <v>56712</v>
          </cell>
          <cell r="C503" t="str">
            <v>山田 正則</v>
          </cell>
          <cell r="D503">
            <v>43791</v>
          </cell>
          <cell r="E503" t="str">
            <v>●</v>
          </cell>
          <cell r="F503" t="str">
            <v/>
          </cell>
          <cell r="G503" t="str">
            <v/>
          </cell>
        </row>
        <row r="504">
          <cell r="A504" t="str">
            <v>5671243792</v>
          </cell>
          <cell r="B504" t="str">
            <v>56712</v>
          </cell>
          <cell r="C504" t="str">
            <v>山田 正則</v>
          </cell>
          <cell r="D504">
            <v>43792</v>
          </cell>
          <cell r="E504" t="str">
            <v>●</v>
          </cell>
          <cell r="F504" t="str">
            <v/>
          </cell>
          <cell r="G504" t="str">
            <v/>
          </cell>
        </row>
        <row r="505">
          <cell r="A505" t="str">
            <v>5671243793</v>
          </cell>
          <cell r="B505" t="str">
            <v>56712</v>
          </cell>
          <cell r="C505" t="str">
            <v>山田 正則</v>
          </cell>
          <cell r="D505">
            <v>43793</v>
          </cell>
          <cell r="E505" t="str">
            <v>●</v>
          </cell>
          <cell r="F505" t="str">
            <v/>
          </cell>
          <cell r="G505" t="str">
            <v/>
          </cell>
        </row>
        <row r="506">
          <cell r="A506" t="str">
            <v>5671243794</v>
          </cell>
          <cell r="B506" t="str">
            <v>56712</v>
          </cell>
          <cell r="C506" t="str">
            <v>山田 正則</v>
          </cell>
          <cell r="D506">
            <v>43794</v>
          </cell>
          <cell r="E506" t="str">
            <v/>
          </cell>
          <cell r="F506" t="str">
            <v/>
          </cell>
          <cell r="G506" t="str">
            <v/>
          </cell>
        </row>
        <row r="507">
          <cell r="A507" t="str">
            <v>5671243795</v>
          </cell>
          <cell r="B507" t="str">
            <v>56712</v>
          </cell>
          <cell r="C507" t="str">
            <v>山田 正則</v>
          </cell>
          <cell r="D507">
            <v>43795</v>
          </cell>
          <cell r="E507" t="str">
            <v/>
          </cell>
          <cell r="F507" t="str">
            <v/>
          </cell>
          <cell r="G507" t="str">
            <v/>
          </cell>
        </row>
        <row r="508">
          <cell r="A508" t="str">
            <v>5671243796</v>
          </cell>
          <cell r="B508" t="str">
            <v>56712</v>
          </cell>
          <cell r="C508" t="str">
            <v>山田 正則</v>
          </cell>
          <cell r="D508">
            <v>43796</v>
          </cell>
          <cell r="E508" t="str">
            <v/>
          </cell>
          <cell r="F508" t="str">
            <v/>
          </cell>
          <cell r="G508" t="str">
            <v/>
          </cell>
        </row>
        <row r="509">
          <cell r="A509" t="str">
            <v>5671243797</v>
          </cell>
          <cell r="B509" t="str">
            <v>56712</v>
          </cell>
          <cell r="C509" t="str">
            <v>山田 正則</v>
          </cell>
          <cell r="D509">
            <v>43797</v>
          </cell>
          <cell r="E509" t="str">
            <v/>
          </cell>
          <cell r="F509" t="str">
            <v/>
          </cell>
          <cell r="G509" t="str">
            <v/>
          </cell>
        </row>
        <row r="510">
          <cell r="A510" t="str">
            <v>5671243798</v>
          </cell>
          <cell r="B510" t="str">
            <v>56712</v>
          </cell>
          <cell r="C510" t="str">
            <v>山田 正則</v>
          </cell>
          <cell r="D510">
            <v>43798</v>
          </cell>
          <cell r="E510" t="str">
            <v>当</v>
          </cell>
          <cell r="F510" t="str">
            <v/>
          </cell>
          <cell r="G510" t="str">
            <v/>
          </cell>
        </row>
        <row r="511">
          <cell r="A511" t="str">
            <v>5671243799</v>
          </cell>
          <cell r="B511" t="str">
            <v>56712</v>
          </cell>
          <cell r="C511" t="str">
            <v>山田 正則</v>
          </cell>
          <cell r="D511">
            <v>43799</v>
          </cell>
          <cell r="E511" t="str">
            <v>明</v>
          </cell>
          <cell r="F511" t="str">
            <v>指PM</v>
          </cell>
          <cell r="G511" t="str">
            <v/>
          </cell>
        </row>
        <row r="512">
          <cell r="A512" t="str">
            <v>6299343770</v>
          </cell>
          <cell r="B512" t="str">
            <v>62993</v>
          </cell>
          <cell r="C512" t="str">
            <v>平田 恵哉</v>
          </cell>
          <cell r="D512">
            <v>43770</v>
          </cell>
          <cell r="E512" t="str">
            <v/>
          </cell>
          <cell r="F512" t="str">
            <v/>
          </cell>
          <cell r="G512">
            <v>18</v>
          </cell>
        </row>
        <row r="513">
          <cell r="A513" t="str">
            <v>6299343771</v>
          </cell>
          <cell r="B513" t="str">
            <v>62993</v>
          </cell>
          <cell r="C513" t="str">
            <v>平田 恵哉</v>
          </cell>
          <cell r="D513">
            <v>43771</v>
          </cell>
          <cell r="E513" t="str">
            <v>○</v>
          </cell>
          <cell r="F513" t="str">
            <v/>
          </cell>
          <cell r="G513" t="str">
            <v/>
          </cell>
        </row>
        <row r="514">
          <cell r="A514" t="str">
            <v>6299343772</v>
          </cell>
          <cell r="B514" t="str">
            <v>62993</v>
          </cell>
          <cell r="C514" t="str">
            <v>平田 恵哉</v>
          </cell>
          <cell r="D514">
            <v>43772</v>
          </cell>
          <cell r="E514" t="str">
            <v>●</v>
          </cell>
          <cell r="F514" t="str">
            <v/>
          </cell>
          <cell r="G514" t="str">
            <v/>
          </cell>
        </row>
        <row r="515">
          <cell r="A515" t="str">
            <v>6299343773</v>
          </cell>
          <cell r="B515" t="str">
            <v>62993</v>
          </cell>
          <cell r="C515" t="str">
            <v>平田 恵哉</v>
          </cell>
          <cell r="D515">
            <v>43773</v>
          </cell>
          <cell r="E515" t="str">
            <v>●</v>
          </cell>
          <cell r="F515" t="str">
            <v/>
          </cell>
          <cell r="G515" t="str">
            <v/>
          </cell>
        </row>
        <row r="516">
          <cell r="A516" t="str">
            <v>6299343774</v>
          </cell>
          <cell r="B516" t="str">
            <v>62993</v>
          </cell>
          <cell r="C516" t="str">
            <v>平田 恵哉</v>
          </cell>
          <cell r="D516">
            <v>43774</v>
          </cell>
          <cell r="E516" t="str">
            <v/>
          </cell>
          <cell r="F516" t="str">
            <v/>
          </cell>
          <cell r="G516" t="str">
            <v/>
          </cell>
        </row>
        <row r="517">
          <cell r="A517" t="str">
            <v>6299343775</v>
          </cell>
          <cell r="B517" t="str">
            <v>62993</v>
          </cell>
          <cell r="C517" t="str">
            <v>平田 恵哉</v>
          </cell>
          <cell r="D517">
            <v>43775</v>
          </cell>
          <cell r="E517" t="str">
            <v/>
          </cell>
          <cell r="F517" t="str">
            <v/>
          </cell>
          <cell r="G517" t="str">
            <v/>
          </cell>
        </row>
        <row r="518">
          <cell r="A518" t="str">
            <v>6299343776</v>
          </cell>
          <cell r="B518" t="str">
            <v>62993</v>
          </cell>
          <cell r="C518" t="str">
            <v>平田 恵哉</v>
          </cell>
          <cell r="D518">
            <v>43776</v>
          </cell>
          <cell r="E518" t="str">
            <v/>
          </cell>
          <cell r="F518" t="str">
            <v/>
          </cell>
          <cell r="G518" t="str">
            <v/>
          </cell>
        </row>
        <row r="519">
          <cell r="A519" t="str">
            <v>6299343777</v>
          </cell>
          <cell r="B519" t="str">
            <v>62993</v>
          </cell>
          <cell r="C519" t="str">
            <v>平田 恵哉</v>
          </cell>
          <cell r="D519">
            <v>43777</v>
          </cell>
          <cell r="E519" t="str">
            <v/>
          </cell>
          <cell r="F519" t="str">
            <v>年PM</v>
          </cell>
          <cell r="G519" t="str">
            <v/>
          </cell>
        </row>
        <row r="520">
          <cell r="A520" t="str">
            <v>6299343778</v>
          </cell>
          <cell r="B520" t="str">
            <v>62993</v>
          </cell>
          <cell r="C520" t="str">
            <v>平田 恵哉</v>
          </cell>
          <cell r="D520">
            <v>43778</v>
          </cell>
          <cell r="E520" t="str">
            <v>／</v>
          </cell>
          <cell r="F520" t="str">
            <v/>
          </cell>
          <cell r="G520" t="str">
            <v/>
          </cell>
        </row>
        <row r="521">
          <cell r="A521" t="str">
            <v>6299343779</v>
          </cell>
          <cell r="B521" t="str">
            <v>62993</v>
          </cell>
          <cell r="C521" t="str">
            <v>平田 恵哉</v>
          </cell>
          <cell r="D521">
            <v>43779</v>
          </cell>
          <cell r="E521" t="str">
            <v>●</v>
          </cell>
          <cell r="F521" t="str">
            <v/>
          </cell>
          <cell r="G521" t="str">
            <v/>
          </cell>
        </row>
        <row r="522">
          <cell r="A522" t="str">
            <v>6299343780</v>
          </cell>
          <cell r="B522" t="str">
            <v>62993</v>
          </cell>
          <cell r="C522" t="str">
            <v>平田 恵哉</v>
          </cell>
          <cell r="D522">
            <v>43780</v>
          </cell>
          <cell r="E522" t="str">
            <v>当</v>
          </cell>
          <cell r="F522" t="str">
            <v/>
          </cell>
          <cell r="G522" t="str">
            <v/>
          </cell>
        </row>
        <row r="523">
          <cell r="A523" t="str">
            <v>6299343781</v>
          </cell>
          <cell r="B523" t="str">
            <v>62993</v>
          </cell>
          <cell r="C523" t="str">
            <v>平田 恵哉</v>
          </cell>
          <cell r="D523">
            <v>43781</v>
          </cell>
          <cell r="E523" t="str">
            <v>明</v>
          </cell>
          <cell r="F523" t="str">
            <v/>
          </cell>
          <cell r="G523" t="str">
            <v/>
          </cell>
        </row>
        <row r="524">
          <cell r="A524" t="str">
            <v>6299343782</v>
          </cell>
          <cell r="B524" t="str">
            <v>62993</v>
          </cell>
          <cell r="C524" t="str">
            <v>平田 恵哉</v>
          </cell>
          <cell r="D524">
            <v>43782</v>
          </cell>
          <cell r="E524" t="str">
            <v/>
          </cell>
          <cell r="F524" t="str">
            <v/>
          </cell>
          <cell r="G524" t="str">
            <v/>
          </cell>
        </row>
        <row r="525">
          <cell r="A525" t="str">
            <v>6299343783</v>
          </cell>
          <cell r="B525" t="str">
            <v>62993</v>
          </cell>
          <cell r="C525" t="str">
            <v>平田 恵哉</v>
          </cell>
          <cell r="D525">
            <v>43783</v>
          </cell>
          <cell r="E525" t="str">
            <v/>
          </cell>
          <cell r="F525" t="str">
            <v/>
          </cell>
          <cell r="G525" t="str">
            <v/>
          </cell>
        </row>
        <row r="526">
          <cell r="A526" t="str">
            <v>6299343784</v>
          </cell>
          <cell r="B526" t="str">
            <v>62993</v>
          </cell>
          <cell r="C526" t="str">
            <v>平田 恵哉</v>
          </cell>
          <cell r="D526">
            <v>43784</v>
          </cell>
          <cell r="E526" t="str">
            <v/>
          </cell>
          <cell r="F526" t="str">
            <v/>
          </cell>
          <cell r="G526" t="str">
            <v/>
          </cell>
        </row>
        <row r="527">
          <cell r="A527" t="str">
            <v>6299343785</v>
          </cell>
          <cell r="B527" t="str">
            <v>62993</v>
          </cell>
          <cell r="C527" t="str">
            <v>平田 恵哉</v>
          </cell>
          <cell r="D527">
            <v>43785</v>
          </cell>
          <cell r="E527" t="str">
            <v>○</v>
          </cell>
          <cell r="F527" t="str">
            <v/>
          </cell>
          <cell r="G527" t="str">
            <v/>
          </cell>
        </row>
        <row r="528">
          <cell r="A528" t="str">
            <v>6299343786</v>
          </cell>
          <cell r="B528" t="str">
            <v>62993</v>
          </cell>
          <cell r="C528" t="str">
            <v>平田 恵哉</v>
          </cell>
          <cell r="D528">
            <v>43786</v>
          </cell>
          <cell r="E528" t="str">
            <v>●</v>
          </cell>
          <cell r="F528" t="str">
            <v/>
          </cell>
          <cell r="G528" t="str">
            <v/>
          </cell>
        </row>
        <row r="529">
          <cell r="A529" t="str">
            <v>6299343787</v>
          </cell>
          <cell r="B529" t="str">
            <v>62993</v>
          </cell>
          <cell r="C529" t="str">
            <v>平田 恵哉</v>
          </cell>
          <cell r="D529">
            <v>43787</v>
          </cell>
          <cell r="E529" t="str">
            <v/>
          </cell>
          <cell r="F529" t="str">
            <v/>
          </cell>
          <cell r="G529" t="str">
            <v/>
          </cell>
        </row>
        <row r="530">
          <cell r="A530" t="str">
            <v>6299343788</v>
          </cell>
          <cell r="B530" t="str">
            <v>62993</v>
          </cell>
          <cell r="C530" t="str">
            <v>平田 恵哉</v>
          </cell>
          <cell r="D530">
            <v>43788</v>
          </cell>
          <cell r="E530" t="str">
            <v/>
          </cell>
          <cell r="F530" t="str">
            <v/>
          </cell>
          <cell r="G530" t="str">
            <v/>
          </cell>
        </row>
        <row r="531">
          <cell r="A531" t="str">
            <v>6299343789</v>
          </cell>
          <cell r="B531" t="str">
            <v>62993</v>
          </cell>
          <cell r="C531" t="str">
            <v>平田 恵哉</v>
          </cell>
          <cell r="D531">
            <v>43789</v>
          </cell>
          <cell r="E531" t="str">
            <v/>
          </cell>
          <cell r="F531" t="str">
            <v/>
          </cell>
          <cell r="G531" t="str">
            <v/>
          </cell>
        </row>
        <row r="532">
          <cell r="A532" t="str">
            <v>6299343790</v>
          </cell>
          <cell r="B532" t="str">
            <v>62993</v>
          </cell>
          <cell r="C532" t="str">
            <v>平田 恵哉</v>
          </cell>
          <cell r="D532">
            <v>43790</v>
          </cell>
          <cell r="E532" t="str">
            <v/>
          </cell>
          <cell r="F532" t="str">
            <v/>
          </cell>
          <cell r="G532" t="str">
            <v/>
          </cell>
        </row>
        <row r="533">
          <cell r="A533" t="str">
            <v>6299343791</v>
          </cell>
          <cell r="B533" t="str">
            <v>62993</v>
          </cell>
          <cell r="C533" t="str">
            <v>平田 恵哉</v>
          </cell>
          <cell r="D533">
            <v>43791</v>
          </cell>
          <cell r="E533" t="str">
            <v>当</v>
          </cell>
          <cell r="F533" t="str">
            <v/>
          </cell>
          <cell r="G533" t="str">
            <v/>
          </cell>
        </row>
        <row r="534">
          <cell r="A534" t="str">
            <v>6299343792</v>
          </cell>
          <cell r="B534" t="str">
            <v>62993</v>
          </cell>
          <cell r="C534" t="str">
            <v>平田 恵哉</v>
          </cell>
          <cell r="D534">
            <v>43792</v>
          </cell>
          <cell r="E534" t="str">
            <v>明</v>
          </cell>
          <cell r="F534" t="str">
            <v>指PM</v>
          </cell>
          <cell r="G534" t="str">
            <v/>
          </cell>
        </row>
        <row r="535">
          <cell r="A535" t="str">
            <v>6299343793</v>
          </cell>
          <cell r="B535" t="str">
            <v>62993</v>
          </cell>
          <cell r="C535" t="str">
            <v>平田 恵哉</v>
          </cell>
          <cell r="D535">
            <v>43793</v>
          </cell>
          <cell r="E535" t="str">
            <v>●</v>
          </cell>
          <cell r="F535" t="str">
            <v/>
          </cell>
          <cell r="G535" t="str">
            <v/>
          </cell>
        </row>
        <row r="536">
          <cell r="A536" t="str">
            <v>6299343794</v>
          </cell>
          <cell r="B536" t="str">
            <v>62993</v>
          </cell>
          <cell r="C536" t="str">
            <v>平田 恵哉</v>
          </cell>
          <cell r="D536">
            <v>43794</v>
          </cell>
          <cell r="E536" t="str">
            <v/>
          </cell>
          <cell r="F536" t="str">
            <v/>
          </cell>
          <cell r="G536" t="str">
            <v/>
          </cell>
        </row>
        <row r="537">
          <cell r="A537" t="str">
            <v>6299343795</v>
          </cell>
          <cell r="B537" t="str">
            <v>62993</v>
          </cell>
          <cell r="C537" t="str">
            <v>平田 恵哉</v>
          </cell>
          <cell r="D537">
            <v>43795</v>
          </cell>
          <cell r="E537" t="str">
            <v>●</v>
          </cell>
          <cell r="F537" t="str">
            <v/>
          </cell>
          <cell r="G537" t="str">
            <v/>
          </cell>
        </row>
        <row r="538">
          <cell r="A538" t="str">
            <v>6299343796</v>
          </cell>
          <cell r="B538" t="str">
            <v>62993</v>
          </cell>
          <cell r="C538" t="str">
            <v>平田 恵哉</v>
          </cell>
          <cell r="D538">
            <v>43796</v>
          </cell>
          <cell r="E538" t="str">
            <v/>
          </cell>
          <cell r="F538" t="str">
            <v/>
          </cell>
          <cell r="G538" t="str">
            <v/>
          </cell>
        </row>
        <row r="539">
          <cell r="A539" t="str">
            <v>6299343797</v>
          </cell>
          <cell r="B539" t="str">
            <v>62993</v>
          </cell>
          <cell r="C539" t="str">
            <v>平田 恵哉</v>
          </cell>
          <cell r="D539">
            <v>43797</v>
          </cell>
          <cell r="E539" t="str">
            <v/>
          </cell>
          <cell r="F539" t="str">
            <v/>
          </cell>
          <cell r="G539" t="str">
            <v/>
          </cell>
        </row>
        <row r="540">
          <cell r="A540" t="str">
            <v>6299343798</v>
          </cell>
          <cell r="B540" t="str">
            <v>62993</v>
          </cell>
          <cell r="C540" t="str">
            <v>平田 恵哉</v>
          </cell>
          <cell r="D540">
            <v>43798</v>
          </cell>
          <cell r="E540" t="str">
            <v/>
          </cell>
          <cell r="F540" t="str">
            <v/>
          </cell>
          <cell r="G540" t="str">
            <v/>
          </cell>
        </row>
        <row r="541">
          <cell r="A541" t="str">
            <v>6299343799</v>
          </cell>
          <cell r="B541" t="str">
            <v>62993</v>
          </cell>
          <cell r="C541" t="str">
            <v>平田 恵哉</v>
          </cell>
          <cell r="D541">
            <v>43799</v>
          </cell>
          <cell r="E541" t="str">
            <v>○</v>
          </cell>
          <cell r="F541" t="str">
            <v/>
          </cell>
          <cell r="G541" t="str">
            <v/>
          </cell>
        </row>
        <row r="542">
          <cell r="A542" t="str">
            <v>8801443770</v>
          </cell>
          <cell r="B542" t="str">
            <v>88014</v>
          </cell>
          <cell r="C542" t="str">
            <v>長田 弘二</v>
          </cell>
          <cell r="D542">
            <v>43770</v>
          </cell>
          <cell r="E542" t="str">
            <v/>
          </cell>
          <cell r="F542" t="str">
            <v/>
          </cell>
          <cell r="G542">
            <v>19</v>
          </cell>
        </row>
        <row r="543">
          <cell r="A543" t="str">
            <v>8801443771</v>
          </cell>
          <cell r="B543" t="str">
            <v>88014</v>
          </cell>
          <cell r="C543" t="str">
            <v>長田 弘二</v>
          </cell>
          <cell r="D543">
            <v>43771</v>
          </cell>
          <cell r="E543" t="str">
            <v>／</v>
          </cell>
          <cell r="F543" t="str">
            <v/>
          </cell>
          <cell r="G543" t="str">
            <v/>
          </cell>
        </row>
        <row r="544">
          <cell r="A544" t="str">
            <v>8801443772</v>
          </cell>
          <cell r="B544" t="str">
            <v>88014</v>
          </cell>
          <cell r="C544" t="str">
            <v>長田 弘二</v>
          </cell>
          <cell r="D544">
            <v>43772</v>
          </cell>
          <cell r="E544" t="str">
            <v>●</v>
          </cell>
          <cell r="F544" t="str">
            <v/>
          </cell>
          <cell r="G544" t="str">
            <v/>
          </cell>
        </row>
        <row r="545">
          <cell r="A545" t="str">
            <v>8801443773</v>
          </cell>
          <cell r="B545" t="str">
            <v>88014</v>
          </cell>
          <cell r="C545" t="str">
            <v>長田 弘二</v>
          </cell>
          <cell r="D545">
            <v>43773</v>
          </cell>
          <cell r="E545" t="str">
            <v>●</v>
          </cell>
          <cell r="F545" t="str">
            <v/>
          </cell>
          <cell r="G545" t="str">
            <v/>
          </cell>
        </row>
        <row r="546">
          <cell r="A546" t="str">
            <v>8801443774</v>
          </cell>
          <cell r="B546" t="str">
            <v>88014</v>
          </cell>
          <cell r="C546" t="str">
            <v>長田 弘二</v>
          </cell>
          <cell r="D546">
            <v>43774</v>
          </cell>
          <cell r="E546" t="str">
            <v/>
          </cell>
          <cell r="F546" t="str">
            <v/>
          </cell>
          <cell r="G546" t="str">
            <v/>
          </cell>
        </row>
        <row r="547">
          <cell r="A547" t="str">
            <v>8801443775</v>
          </cell>
          <cell r="B547" t="str">
            <v>88014</v>
          </cell>
          <cell r="C547" t="str">
            <v>長田 弘二</v>
          </cell>
          <cell r="D547">
            <v>43775</v>
          </cell>
          <cell r="E547" t="str">
            <v/>
          </cell>
          <cell r="F547" t="str">
            <v/>
          </cell>
          <cell r="G547" t="str">
            <v/>
          </cell>
        </row>
        <row r="548">
          <cell r="A548" t="str">
            <v>8801443776</v>
          </cell>
          <cell r="B548" t="str">
            <v>88014</v>
          </cell>
          <cell r="C548" t="str">
            <v>長田 弘二</v>
          </cell>
          <cell r="D548">
            <v>43776</v>
          </cell>
          <cell r="E548" t="str">
            <v/>
          </cell>
          <cell r="F548" t="str">
            <v/>
          </cell>
          <cell r="G548" t="str">
            <v/>
          </cell>
        </row>
        <row r="549">
          <cell r="A549" t="str">
            <v>8801443777</v>
          </cell>
          <cell r="B549" t="str">
            <v>88014</v>
          </cell>
          <cell r="C549" t="str">
            <v>長田 弘二</v>
          </cell>
          <cell r="D549">
            <v>43777</v>
          </cell>
          <cell r="E549" t="str">
            <v>当</v>
          </cell>
          <cell r="F549" t="str">
            <v/>
          </cell>
          <cell r="G549" t="str">
            <v/>
          </cell>
        </row>
        <row r="550">
          <cell r="A550" t="str">
            <v>8801443778</v>
          </cell>
          <cell r="B550" t="str">
            <v>88014</v>
          </cell>
          <cell r="C550" t="str">
            <v>長田 弘二</v>
          </cell>
          <cell r="D550">
            <v>43778</v>
          </cell>
          <cell r="E550" t="str">
            <v>明</v>
          </cell>
          <cell r="F550" t="str">
            <v>指PM</v>
          </cell>
          <cell r="G550" t="str">
            <v/>
          </cell>
        </row>
        <row r="551">
          <cell r="A551" t="str">
            <v>8801443779</v>
          </cell>
          <cell r="B551" t="str">
            <v>88014</v>
          </cell>
          <cell r="C551" t="str">
            <v>長田 弘二</v>
          </cell>
          <cell r="D551">
            <v>43779</v>
          </cell>
          <cell r="E551" t="str">
            <v>●</v>
          </cell>
          <cell r="F551" t="str">
            <v/>
          </cell>
          <cell r="G551" t="str">
            <v/>
          </cell>
        </row>
        <row r="552">
          <cell r="A552" t="str">
            <v>8801443780</v>
          </cell>
          <cell r="B552" t="str">
            <v>88014</v>
          </cell>
          <cell r="C552" t="str">
            <v>長田 弘二</v>
          </cell>
          <cell r="D552">
            <v>43780</v>
          </cell>
          <cell r="E552" t="str">
            <v/>
          </cell>
          <cell r="F552" t="str">
            <v/>
          </cell>
          <cell r="G552" t="str">
            <v/>
          </cell>
        </row>
        <row r="553">
          <cell r="A553" t="str">
            <v>8801443781</v>
          </cell>
          <cell r="B553" t="str">
            <v>88014</v>
          </cell>
          <cell r="C553" t="str">
            <v>長田 弘二</v>
          </cell>
          <cell r="D553">
            <v>43781</v>
          </cell>
          <cell r="E553" t="str">
            <v/>
          </cell>
          <cell r="F553" t="str">
            <v/>
          </cell>
          <cell r="G553" t="str">
            <v/>
          </cell>
        </row>
        <row r="554">
          <cell r="A554" t="str">
            <v>8801443782</v>
          </cell>
          <cell r="B554" t="str">
            <v>88014</v>
          </cell>
          <cell r="C554" t="str">
            <v>長田 弘二</v>
          </cell>
          <cell r="D554">
            <v>43782</v>
          </cell>
          <cell r="E554" t="str">
            <v>●</v>
          </cell>
          <cell r="F554" t="str">
            <v/>
          </cell>
          <cell r="G554" t="str">
            <v/>
          </cell>
        </row>
        <row r="555">
          <cell r="A555" t="str">
            <v>8801443783</v>
          </cell>
          <cell r="B555" t="str">
            <v>88014</v>
          </cell>
          <cell r="C555" t="str">
            <v>長田 弘二</v>
          </cell>
          <cell r="D555">
            <v>43783</v>
          </cell>
          <cell r="E555" t="str">
            <v/>
          </cell>
          <cell r="F555" t="str">
            <v/>
          </cell>
          <cell r="G555" t="str">
            <v/>
          </cell>
        </row>
        <row r="556">
          <cell r="A556" t="str">
            <v>8801443784</v>
          </cell>
          <cell r="B556" t="str">
            <v>88014</v>
          </cell>
          <cell r="C556" t="str">
            <v>長田 弘二</v>
          </cell>
          <cell r="D556">
            <v>43784</v>
          </cell>
          <cell r="E556" t="str">
            <v/>
          </cell>
          <cell r="F556" t="str">
            <v/>
          </cell>
          <cell r="G556" t="str">
            <v/>
          </cell>
        </row>
        <row r="557">
          <cell r="A557" t="str">
            <v>8801443785</v>
          </cell>
          <cell r="B557" t="str">
            <v>88014</v>
          </cell>
          <cell r="C557" t="str">
            <v>長田 弘二</v>
          </cell>
          <cell r="D557">
            <v>43785</v>
          </cell>
          <cell r="E557" t="str">
            <v>当</v>
          </cell>
          <cell r="F557" t="str">
            <v/>
          </cell>
          <cell r="G557" t="str">
            <v/>
          </cell>
        </row>
        <row r="558">
          <cell r="A558" t="str">
            <v>8801443786</v>
          </cell>
          <cell r="B558" t="str">
            <v>88014</v>
          </cell>
          <cell r="C558" t="str">
            <v>長田 弘二</v>
          </cell>
          <cell r="D558">
            <v>43786</v>
          </cell>
          <cell r="E558" t="str">
            <v>明</v>
          </cell>
          <cell r="F558" t="str">
            <v/>
          </cell>
          <cell r="G558" t="str">
            <v/>
          </cell>
        </row>
        <row r="559">
          <cell r="A559" t="str">
            <v>8801443787</v>
          </cell>
          <cell r="B559" t="str">
            <v>88014</v>
          </cell>
          <cell r="C559" t="str">
            <v>長田 弘二</v>
          </cell>
          <cell r="D559">
            <v>43787</v>
          </cell>
          <cell r="E559" t="str">
            <v>●</v>
          </cell>
          <cell r="F559" t="str">
            <v/>
          </cell>
          <cell r="G559" t="str">
            <v/>
          </cell>
        </row>
        <row r="560">
          <cell r="A560" t="str">
            <v>8801443788</v>
          </cell>
          <cell r="B560" t="str">
            <v>88014</v>
          </cell>
          <cell r="C560" t="str">
            <v>長田 弘二</v>
          </cell>
          <cell r="D560">
            <v>43788</v>
          </cell>
          <cell r="E560" t="str">
            <v/>
          </cell>
          <cell r="F560" t="str">
            <v/>
          </cell>
          <cell r="G560" t="str">
            <v/>
          </cell>
        </row>
        <row r="561">
          <cell r="A561" t="str">
            <v>8801443789</v>
          </cell>
          <cell r="B561" t="str">
            <v>88014</v>
          </cell>
          <cell r="C561" t="str">
            <v>長田 弘二</v>
          </cell>
          <cell r="D561">
            <v>43789</v>
          </cell>
          <cell r="E561" t="str">
            <v>当</v>
          </cell>
          <cell r="F561" t="str">
            <v/>
          </cell>
          <cell r="G561" t="str">
            <v/>
          </cell>
        </row>
        <row r="562">
          <cell r="A562" t="str">
            <v>8801443790</v>
          </cell>
          <cell r="B562" t="str">
            <v>88014</v>
          </cell>
          <cell r="C562" t="str">
            <v>長田 弘二</v>
          </cell>
          <cell r="D562">
            <v>43790</v>
          </cell>
          <cell r="E562" t="str">
            <v>明</v>
          </cell>
          <cell r="F562" t="str">
            <v/>
          </cell>
          <cell r="G562" t="str">
            <v/>
          </cell>
        </row>
        <row r="563">
          <cell r="A563" t="str">
            <v>8801443791</v>
          </cell>
          <cell r="B563" t="str">
            <v>88014</v>
          </cell>
          <cell r="C563" t="str">
            <v>長田 弘二</v>
          </cell>
          <cell r="D563">
            <v>43791</v>
          </cell>
          <cell r="E563" t="str">
            <v/>
          </cell>
          <cell r="F563" t="str">
            <v/>
          </cell>
          <cell r="G563" t="str">
            <v/>
          </cell>
        </row>
        <row r="564">
          <cell r="A564" t="str">
            <v>8801443792</v>
          </cell>
          <cell r="B564" t="str">
            <v>88014</v>
          </cell>
          <cell r="C564" t="str">
            <v>長田 弘二</v>
          </cell>
          <cell r="D564">
            <v>43792</v>
          </cell>
          <cell r="E564" t="str">
            <v>●</v>
          </cell>
          <cell r="F564" t="str">
            <v/>
          </cell>
          <cell r="G564" t="str">
            <v/>
          </cell>
        </row>
        <row r="565">
          <cell r="A565" t="str">
            <v>8801443793</v>
          </cell>
          <cell r="B565" t="str">
            <v>88014</v>
          </cell>
          <cell r="C565" t="str">
            <v>長田 弘二</v>
          </cell>
          <cell r="D565">
            <v>43793</v>
          </cell>
          <cell r="E565" t="str">
            <v>●</v>
          </cell>
          <cell r="F565" t="str">
            <v/>
          </cell>
          <cell r="G565" t="str">
            <v/>
          </cell>
        </row>
        <row r="566">
          <cell r="A566" t="str">
            <v>8801443794</v>
          </cell>
          <cell r="B566" t="str">
            <v>88014</v>
          </cell>
          <cell r="C566" t="str">
            <v>長田 弘二</v>
          </cell>
          <cell r="D566">
            <v>43794</v>
          </cell>
          <cell r="E566" t="str">
            <v/>
          </cell>
          <cell r="F566" t="str">
            <v/>
          </cell>
          <cell r="G566" t="str">
            <v/>
          </cell>
        </row>
        <row r="567">
          <cell r="A567" t="str">
            <v>8801443795</v>
          </cell>
          <cell r="B567" t="str">
            <v>88014</v>
          </cell>
          <cell r="C567" t="str">
            <v>長田 弘二</v>
          </cell>
          <cell r="D567">
            <v>43795</v>
          </cell>
          <cell r="E567" t="str">
            <v/>
          </cell>
          <cell r="F567" t="str">
            <v/>
          </cell>
          <cell r="G567" t="str">
            <v/>
          </cell>
        </row>
        <row r="568">
          <cell r="A568" t="str">
            <v>8801443796</v>
          </cell>
          <cell r="B568" t="str">
            <v>88014</v>
          </cell>
          <cell r="C568" t="str">
            <v>長田 弘二</v>
          </cell>
          <cell r="D568">
            <v>43796</v>
          </cell>
          <cell r="E568" t="str">
            <v/>
          </cell>
          <cell r="F568" t="str">
            <v/>
          </cell>
          <cell r="G568" t="str">
            <v/>
          </cell>
        </row>
        <row r="569">
          <cell r="A569" t="str">
            <v>8801443797</v>
          </cell>
          <cell r="B569" t="str">
            <v>88014</v>
          </cell>
          <cell r="C569" t="str">
            <v>長田 弘二</v>
          </cell>
          <cell r="D569">
            <v>43797</v>
          </cell>
          <cell r="E569" t="str">
            <v/>
          </cell>
          <cell r="F569" t="str">
            <v/>
          </cell>
          <cell r="G569" t="str">
            <v/>
          </cell>
        </row>
        <row r="570">
          <cell r="A570" t="str">
            <v>8801443798</v>
          </cell>
          <cell r="B570" t="str">
            <v>88014</v>
          </cell>
          <cell r="C570" t="str">
            <v>長田 弘二</v>
          </cell>
          <cell r="D570">
            <v>43798</v>
          </cell>
          <cell r="E570" t="str">
            <v/>
          </cell>
          <cell r="F570" t="str">
            <v/>
          </cell>
          <cell r="G570" t="str">
            <v/>
          </cell>
        </row>
        <row r="571">
          <cell r="A571" t="str">
            <v>8801443799</v>
          </cell>
          <cell r="B571" t="str">
            <v>88014</v>
          </cell>
          <cell r="C571" t="str">
            <v>長田 弘二</v>
          </cell>
          <cell r="D571">
            <v>43799</v>
          </cell>
          <cell r="E571" t="str">
            <v>／</v>
          </cell>
          <cell r="F571" t="str">
            <v/>
          </cell>
          <cell r="G571" t="str">
            <v/>
          </cell>
        </row>
        <row r="572">
          <cell r="A572" t="str">
            <v>7926943770</v>
          </cell>
          <cell r="B572" t="str">
            <v>79269</v>
          </cell>
          <cell r="C572" t="str">
            <v>冨田 紗詠子</v>
          </cell>
          <cell r="D572">
            <v>43770</v>
          </cell>
          <cell r="E572" t="str">
            <v/>
          </cell>
          <cell r="F572" t="str">
            <v/>
          </cell>
          <cell r="G572">
            <v>20</v>
          </cell>
        </row>
        <row r="573">
          <cell r="A573" t="str">
            <v>7926943771</v>
          </cell>
          <cell r="B573" t="str">
            <v>79269</v>
          </cell>
          <cell r="C573" t="str">
            <v>冨田 紗詠子</v>
          </cell>
          <cell r="D573">
            <v>43771</v>
          </cell>
          <cell r="E573" t="str">
            <v>／</v>
          </cell>
          <cell r="F573" t="str">
            <v/>
          </cell>
          <cell r="G573" t="str">
            <v/>
          </cell>
        </row>
        <row r="574">
          <cell r="A574" t="str">
            <v>7926943772</v>
          </cell>
          <cell r="B574" t="str">
            <v>79269</v>
          </cell>
          <cell r="C574" t="str">
            <v>冨田 紗詠子</v>
          </cell>
          <cell r="D574">
            <v>43772</v>
          </cell>
          <cell r="E574" t="str">
            <v>●</v>
          </cell>
          <cell r="F574" t="str">
            <v/>
          </cell>
          <cell r="G574" t="str">
            <v/>
          </cell>
        </row>
        <row r="575">
          <cell r="A575" t="str">
            <v>7926943773</v>
          </cell>
          <cell r="B575" t="str">
            <v>79269</v>
          </cell>
          <cell r="C575" t="str">
            <v>冨田 紗詠子</v>
          </cell>
          <cell r="D575">
            <v>43773</v>
          </cell>
          <cell r="E575" t="str">
            <v>●</v>
          </cell>
          <cell r="F575" t="str">
            <v/>
          </cell>
          <cell r="G575" t="str">
            <v/>
          </cell>
        </row>
        <row r="576">
          <cell r="A576" t="str">
            <v>7926943774</v>
          </cell>
          <cell r="B576" t="str">
            <v>79269</v>
          </cell>
          <cell r="C576" t="str">
            <v>冨田 紗詠子</v>
          </cell>
          <cell r="D576">
            <v>43774</v>
          </cell>
          <cell r="E576" t="str">
            <v/>
          </cell>
          <cell r="F576" t="str">
            <v/>
          </cell>
          <cell r="G576" t="str">
            <v/>
          </cell>
        </row>
        <row r="577">
          <cell r="A577" t="str">
            <v>7926943775</v>
          </cell>
          <cell r="B577" t="str">
            <v>79269</v>
          </cell>
          <cell r="C577" t="str">
            <v>冨田 紗詠子</v>
          </cell>
          <cell r="D577">
            <v>43775</v>
          </cell>
          <cell r="E577" t="str">
            <v/>
          </cell>
          <cell r="F577" t="str">
            <v/>
          </cell>
          <cell r="G577" t="str">
            <v/>
          </cell>
        </row>
        <row r="578">
          <cell r="A578" t="str">
            <v>7926943776</v>
          </cell>
          <cell r="B578" t="str">
            <v>79269</v>
          </cell>
          <cell r="C578" t="str">
            <v>冨田 紗詠子</v>
          </cell>
          <cell r="D578">
            <v>43776</v>
          </cell>
          <cell r="E578" t="str">
            <v/>
          </cell>
          <cell r="F578" t="str">
            <v/>
          </cell>
          <cell r="G578" t="str">
            <v/>
          </cell>
        </row>
        <row r="579">
          <cell r="A579" t="str">
            <v>7926943777</v>
          </cell>
          <cell r="B579" t="str">
            <v>79269</v>
          </cell>
          <cell r="C579" t="str">
            <v>冨田 紗詠子</v>
          </cell>
          <cell r="D579">
            <v>43777</v>
          </cell>
          <cell r="E579" t="str">
            <v/>
          </cell>
          <cell r="F579" t="str">
            <v/>
          </cell>
          <cell r="G579" t="str">
            <v/>
          </cell>
        </row>
        <row r="580">
          <cell r="A580" t="str">
            <v>7926943778</v>
          </cell>
          <cell r="B580" t="str">
            <v>79269</v>
          </cell>
          <cell r="C580" t="str">
            <v>冨田 紗詠子</v>
          </cell>
          <cell r="D580">
            <v>43778</v>
          </cell>
          <cell r="E580" t="str">
            <v>○</v>
          </cell>
          <cell r="F580" t="str">
            <v/>
          </cell>
          <cell r="G580" t="str">
            <v/>
          </cell>
        </row>
        <row r="581">
          <cell r="A581" t="str">
            <v>7926943779</v>
          </cell>
          <cell r="B581" t="str">
            <v>79269</v>
          </cell>
          <cell r="C581" t="str">
            <v>冨田 紗詠子</v>
          </cell>
          <cell r="D581">
            <v>43779</v>
          </cell>
          <cell r="E581" t="str">
            <v>●</v>
          </cell>
          <cell r="F581" t="str">
            <v/>
          </cell>
          <cell r="G581" t="str">
            <v/>
          </cell>
        </row>
        <row r="582">
          <cell r="A582" t="str">
            <v>7926943780</v>
          </cell>
          <cell r="B582" t="str">
            <v>79269</v>
          </cell>
          <cell r="C582" t="str">
            <v>冨田 紗詠子</v>
          </cell>
          <cell r="D582">
            <v>43780</v>
          </cell>
          <cell r="E582" t="str">
            <v/>
          </cell>
          <cell r="F582" t="str">
            <v/>
          </cell>
          <cell r="G582" t="str">
            <v/>
          </cell>
        </row>
        <row r="583">
          <cell r="A583" t="str">
            <v>7926943781</v>
          </cell>
          <cell r="B583" t="str">
            <v>79269</v>
          </cell>
          <cell r="C583" t="str">
            <v>冨田 紗詠子</v>
          </cell>
          <cell r="D583">
            <v>43781</v>
          </cell>
          <cell r="E583" t="str">
            <v/>
          </cell>
          <cell r="F583" t="str">
            <v/>
          </cell>
          <cell r="G583" t="str">
            <v/>
          </cell>
        </row>
        <row r="584">
          <cell r="A584" t="str">
            <v>7926943782</v>
          </cell>
          <cell r="B584" t="str">
            <v>79269</v>
          </cell>
          <cell r="C584" t="str">
            <v>冨田 紗詠子</v>
          </cell>
          <cell r="D584">
            <v>43782</v>
          </cell>
          <cell r="E584" t="str">
            <v/>
          </cell>
          <cell r="F584" t="str">
            <v/>
          </cell>
          <cell r="G584" t="str">
            <v/>
          </cell>
        </row>
        <row r="585">
          <cell r="A585" t="str">
            <v>7926943783</v>
          </cell>
          <cell r="B585" t="str">
            <v>79269</v>
          </cell>
          <cell r="C585" t="str">
            <v>冨田 紗詠子</v>
          </cell>
          <cell r="D585">
            <v>43783</v>
          </cell>
          <cell r="E585" t="str">
            <v/>
          </cell>
          <cell r="F585" t="str">
            <v/>
          </cell>
          <cell r="G585" t="str">
            <v/>
          </cell>
        </row>
        <row r="586">
          <cell r="A586" t="str">
            <v>7926943784</v>
          </cell>
          <cell r="B586" t="str">
            <v>79269</v>
          </cell>
          <cell r="C586" t="str">
            <v>冨田 紗詠子</v>
          </cell>
          <cell r="D586">
            <v>43784</v>
          </cell>
          <cell r="E586" t="str">
            <v/>
          </cell>
          <cell r="F586" t="str">
            <v/>
          </cell>
          <cell r="G586" t="str">
            <v/>
          </cell>
        </row>
        <row r="587">
          <cell r="A587" t="str">
            <v>7926943785</v>
          </cell>
          <cell r="B587" t="str">
            <v>79269</v>
          </cell>
          <cell r="C587" t="str">
            <v>冨田 紗詠子</v>
          </cell>
          <cell r="D587">
            <v>43785</v>
          </cell>
          <cell r="E587" t="str">
            <v>／</v>
          </cell>
          <cell r="F587" t="str">
            <v/>
          </cell>
          <cell r="G587" t="str">
            <v/>
          </cell>
        </row>
        <row r="588">
          <cell r="A588" t="str">
            <v>7926943786</v>
          </cell>
          <cell r="B588" t="str">
            <v>79269</v>
          </cell>
          <cell r="C588" t="str">
            <v>冨田 紗詠子</v>
          </cell>
          <cell r="D588">
            <v>43786</v>
          </cell>
          <cell r="E588" t="str">
            <v>●</v>
          </cell>
          <cell r="F588" t="str">
            <v/>
          </cell>
          <cell r="G588" t="str">
            <v/>
          </cell>
        </row>
        <row r="589">
          <cell r="A589" t="str">
            <v>7926943787</v>
          </cell>
          <cell r="B589" t="str">
            <v>79269</v>
          </cell>
          <cell r="C589" t="str">
            <v>冨田 紗詠子</v>
          </cell>
          <cell r="D589">
            <v>43787</v>
          </cell>
          <cell r="E589" t="str">
            <v/>
          </cell>
          <cell r="F589" t="str">
            <v/>
          </cell>
          <cell r="G589" t="str">
            <v/>
          </cell>
        </row>
        <row r="590">
          <cell r="A590" t="str">
            <v>7926943788</v>
          </cell>
          <cell r="B590" t="str">
            <v>79269</v>
          </cell>
          <cell r="C590" t="str">
            <v>冨田 紗詠子</v>
          </cell>
          <cell r="D590">
            <v>43788</v>
          </cell>
          <cell r="E590" t="str">
            <v/>
          </cell>
          <cell r="F590" t="str">
            <v/>
          </cell>
          <cell r="G590" t="str">
            <v/>
          </cell>
        </row>
        <row r="591">
          <cell r="A591" t="str">
            <v>7926943789</v>
          </cell>
          <cell r="B591" t="str">
            <v>79269</v>
          </cell>
          <cell r="C591" t="str">
            <v>冨田 紗詠子</v>
          </cell>
          <cell r="D591">
            <v>43789</v>
          </cell>
          <cell r="E591" t="str">
            <v/>
          </cell>
          <cell r="F591" t="str">
            <v/>
          </cell>
          <cell r="G591" t="str">
            <v/>
          </cell>
        </row>
        <row r="592">
          <cell r="A592" t="str">
            <v>7926943790</v>
          </cell>
          <cell r="B592" t="str">
            <v>79269</v>
          </cell>
          <cell r="C592" t="str">
            <v>冨田 紗詠子</v>
          </cell>
          <cell r="D592">
            <v>43790</v>
          </cell>
          <cell r="E592" t="str">
            <v/>
          </cell>
          <cell r="F592" t="str">
            <v/>
          </cell>
          <cell r="G592" t="str">
            <v/>
          </cell>
        </row>
        <row r="593">
          <cell r="A593" t="str">
            <v>7926943791</v>
          </cell>
          <cell r="B593" t="str">
            <v>79269</v>
          </cell>
          <cell r="C593" t="str">
            <v>冨田 紗詠子</v>
          </cell>
          <cell r="D593">
            <v>43791</v>
          </cell>
          <cell r="E593" t="str">
            <v/>
          </cell>
          <cell r="F593" t="str">
            <v/>
          </cell>
          <cell r="G593" t="str">
            <v/>
          </cell>
        </row>
        <row r="594">
          <cell r="A594" t="str">
            <v>7926943792</v>
          </cell>
          <cell r="B594" t="str">
            <v>79269</v>
          </cell>
          <cell r="C594" t="str">
            <v>冨田 紗詠子</v>
          </cell>
          <cell r="D594">
            <v>43792</v>
          </cell>
          <cell r="E594" t="str">
            <v>●</v>
          </cell>
          <cell r="F594" t="str">
            <v/>
          </cell>
          <cell r="G594" t="str">
            <v/>
          </cell>
        </row>
        <row r="595">
          <cell r="A595" t="str">
            <v>7926943793</v>
          </cell>
          <cell r="B595" t="str">
            <v>79269</v>
          </cell>
          <cell r="C595" t="str">
            <v>冨田 紗詠子</v>
          </cell>
          <cell r="D595">
            <v>43793</v>
          </cell>
          <cell r="E595" t="str">
            <v>●</v>
          </cell>
          <cell r="F595" t="str">
            <v/>
          </cell>
          <cell r="G595" t="str">
            <v/>
          </cell>
        </row>
        <row r="596">
          <cell r="A596" t="str">
            <v>7926943794</v>
          </cell>
          <cell r="B596" t="str">
            <v>79269</v>
          </cell>
          <cell r="C596" t="str">
            <v>冨田 紗詠子</v>
          </cell>
          <cell r="D596">
            <v>43794</v>
          </cell>
          <cell r="E596" t="str">
            <v/>
          </cell>
          <cell r="F596" t="str">
            <v/>
          </cell>
          <cell r="G596" t="str">
            <v/>
          </cell>
        </row>
        <row r="597">
          <cell r="A597" t="str">
            <v>7926943795</v>
          </cell>
          <cell r="B597" t="str">
            <v>79269</v>
          </cell>
          <cell r="C597" t="str">
            <v>冨田 紗詠子</v>
          </cell>
          <cell r="D597">
            <v>43795</v>
          </cell>
          <cell r="E597" t="str">
            <v/>
          </cell>
          <cell r="F597" t="str">
            <v/>
          </cell>
          <cell r="G597" t="str">
            <v/>
          </cell>
        </row>
        <row r="598">
          <cell r="A598" t="str">
            <v>7926943796</v>
          </cell>
          <cell r="B598" t="str">
            <v>79269</v>
          </cell>
          <cell r="C598" t="str">
            <v>冨田 紗詠子</v>
          </cell>
          <cell r="D598">
            <v>43796</v>
          </cell>
          <cell r="E598" t="str">
            <v/>
          </cell>
          <cell r="F598" t="str">
            <v/>
          </cell>
          <cell r="G598" t="str">
            <v/>
          </cell>
        </row>
        <row r="599">
          <cell r="A599" t="str">
            <v>7926943797</v>
          </cell>
          <cell r="B599" t="str">
            <v>79269</v>
          </cell>
          <cell r="C599" t="str">
            <v>冨田 紗詠子</v>
          </cell>
          <cell r="D599">
            <v>43797</v>
          </cell>
          <cell r="E599" t="str">
            <v/>
          </cell>
          <cell r="F599" t="str">
            <v/>
          </cell>
          <cell r="G599" t="str">
            <v/>
          </cell>
        </row>
        <row r="600">
          <cell r="A600" t="str">
            <v>7926943798</v>
          </cell>
          <cell r="B600" t="str">
            <v>79269</v>
          </cell>
          <cell r="C600" t="str">
            <v>冨田 紗詠子</v>
          </cell>
          <cell r="D600">
            <v>43798</v>
          </cell>
          <cell r="E600" t="str">
            <v/>
          </cell>
          <cell r="F600" t="str">
            <v/>
          </cell>
          <cell r="G600" t="str">
            <v/>
          </cell>
        </row>
        <row r="601">
          <cell r="A601" t="str">
            <v>7926943799</v>
          </cell>
          <cell r="B601" t="str">
            <v>79269</v>
          </cell>
          <cell r="C601" t="str">
            <v>冨田 紗詠子</v>
          </cell>
          <cell r="D601">
            <v>43799</v>
          </cell>
          <cell r="E601" t="str">
            <v>／</v>
          </cell>
          <cell r="F601" t="str">
            <v/>
          </cell>
          <cell r="G601" t="str">
            <v/>
          </cell>
        </row>
        <row r="602">
          <cell r="A602" t="str">
            <v>8876543770</v>
          </cell>
          <cell r="B602" t="str">
            <v>88765</v>
          </cell>
          <cell r="C602" t="str">
            <v>黒田 辰憲</v>
          </cell>
          <cell r="D602">
            <v>43770</v>
          </cell>
          <cell r="E602" t="str">
            <v/>
          </cell>
          <cell r="F602" t="str">
            <v/>
          </cell>
          <cell r="G602">
            <v>21</v>
          </cell>
        </row>
        <row r="603">
          <cell r="A603" t="str">
            <v>8876543771</v>
          </cell>
          <cell r="B603" t="str">
            <v>88765</v>
          </cell>
          <cell r="C603" t="str">
            <v>黒田 辰憲</v>
          </cell>
          <cell r="D603">
            <v>43771</v>
          </cell>
          <cell r="E603" t="str">
            <v>／</v>
          </cell>
          <cell r="F603" t="str">
            <v/>
          </cell>
          <cell r="G603" t="str">
            <v/>
          </cell>
        </row>
        <row r="604">
          <cell r="A604" t="str">
            <v>8876543772</v>
          </cell>
          <cell r="B604" t="str">
            <v>88765</v>
          </cell>
          <cell r="C604" t="str">
            <v>黒田 辰憲</v>
          </cell>
          <cell r="D604">
            <v>43772</v>
          </cell>
          <cell r="E604" t="str">
            <v>●</v>
          </cell>
          <cell r="F604" t="str">
            <v/>
          </cell>
          <cell r="G604" t="str">
            <v/>
          </cell>
        </row>
        <row r="605">
          <cell r="A605" t="str">
            <v>8876543773</v>
          </cell>
          <cell r="B605" t="str">
            <v>88765</v>
          </cell>
          <cell r="C605" t="str">
            <v>黒田 辰憲</v>
          </cell>
          <cell r="D605">
            <v>43773</v>
          </cell>
          <cell r="E605" t="str">
            <v>●</v>
          </cell>
          <cell r="F605" t="str">
            <v/>
          </cell>
          <cell r="G605" t="str">
            <v/>
          </cell>
        </row>
        <row r="606">
          <cell r="A606" t="str">
            <v>8876543774</v>
          </cell>
          <cell r="B606" t="str">
            <v>88765</v>
          </cell>
          <cell r="C606" t="str">
            <v>黒田 辰憲</v>
          </cell>
          <cell r="D606">
            <v>43774</v>
          </cell>
          <cell r="E606" t="str">
            <v/>
          </cell>
          <cell r="F606" t="str">
            <v/>
          </cell>
          <cell r="G606" t="str">
            <v/>
          </cell>
        </row>
        <row r="607">
          <cell r="A607" t="str">
            <v>8876543775</v>
          </cell>
          <cell r="B607" t="str">
            <v>88765</v>
          </cell>
          <cell r="C607" t="str">
            <v>黒田 辰憲</v>
          </cell>
          <cell r="D607">
            <v>43775</v>
          </cell>
          <cell r="E607" t="str">
            <v/>
          </cell>
          <cell r="F607" t="str">
            <v/>
          </cell>
          <cell r="G607" t="str">
            <v/>
          </cell>
        </row>
        <row r="608">
          <cell r="A608" t="str">
            <v>8876543776</v>
          </cell>
          <cell r="B608" t="str">
            <v>88765</v>
          </cell>
          <cell r="C608" t="str">
            <v>黒田 辰憲</v>
          </cell>
          <cell r="D608">
            <v>43776</v>
          </cell>
          <cell r="E608" t="str">
            <v/>
          </cell>
          <cell r="F608" t="str">
            <v>指PM</v>
          </cell>
          <cell r="G608" t="str">
            <v/>
          </cell>
        </row>
        <row r="609">
          <cell r="A609" t="str">
            <v>8876543777</v>
          </cell>
          <cell r="B609" t="str">
            <v>88765</v>
          </cell>
          <cell r="C609" t="str">
            <v>黒田 辰憲</v>
          </cell>
          <cell r="D609">
            <v>43777</v>
          </cell>
          <cell r="E609" t="str">
            <v/>
          </cell>
          <cell r="F609" t="str">
            <v/>
          </cell>
          <cell r="G609" t="str">
            <v/>
          </cell>
        </row>
        <row r="610">
          <cell r="A610" t="str">
            <v>8876543778</v>
          </cell>
          <cell r="B610" t="str">
            <v>88765</v>
          </cell>
          <cell r="C610" t="str">
            <v>黒田 辰憲</v>
          </cell>
          <cell r="D610">
            <v>43778</v>
          </cell>
          <cell r="E610" t="str">
            <v>○</v>
          </cell>
          <cell r="F610" t="str">
            <v/>
          </cell>
          <cell r="G610" t="str">
            <v/>
          </cell>
        </row>
        <row r="611">
          <cell r="A611" t="str">
            <v>8876543779</v>
          </cell>
          <cell r="B611" t="str">
            <v>88765</v>
          </cell>
          <cell r="C611" t="str">
            <v>黒田 辰憲</v>
          </cell>
          <cell r="D611">
            <v>43779</v>
          </cell>
          <cell r="E611" t="str">
            <v>●</v>
          </cell>
          <cell r="F611" t="str">
            <v/>
          </cell>
          <cell r="G611" t="str">
            <v/>
          </cell>
        </row>
        <row r="612">
          <cell r="A612" t="str">
            <v>8876543780</v>
          </cell>
          <cell r="B612" t="str">
            <v>88765</v>
          </cell>
          <cell r="C612" t="str">
            <v>黒田 辰憲</v>
          </cell>
          <cell r="D612">
            <v>43780</v>
          </cell>
          <cell r="E612" t="str">
            <v/>
          </cell>
          <cell r="F612" t="str">
            <v>年休</v>
          </cell>
          <cell r="G612" t="str">
            <v/>
          </cell>
        </row>
        <row r="613">
          <cell r="A613" t="str">
            <v>8876543781</v>
          </cell>
          <cell r="B613" t="str">
            <v>88765</v>
          </cell>
          <cell r="C613" t="str">
            <v>黒田 辰憲</v>
          </cell>
          <cell r="D613">
            <v>43781</v>
          </cell>
          <cell r="E613" t="str">
            <v/>
          </cell>
          <cell r="F613" t="str">
            <v/>
          </cell>
          <cell r="G613" t="str">
            <v/>
          </cell>
        </row>
        <row r="614">
          <cell r="A614" t="str">
            <v>8876543782</v>
          </cell>
          <cell r="B614" t="str">
            <v>88765</v>
          </cell>
          <cell r="C614" t="str">
            <v>黒田 辰憲</v>
          </cell>
          <cell r="D614">
            <v>43782</v>
          </cell>
          <cell r="E614" t="str">
            <v/>
          </cell>
          <cell r="F614" t="str">
            <v/>
          </cell>
          <cell r="G614" t="str">
            <v/>
          </cell>
        </row>
        <row r="615">
          <cell r="A615" t="str">
            <v>8876543783</v>
          </cell>
          <cell r="B615" t="str">
            <v>88765</v>
          </cell>
          <cell r="C615" t="str">
            <v>黒田 辰憲</v>
          </cell>
          <cell r="D615">
            <v>43783</v>
          </cell>
          <cell r="E615" t="str">
            <v/>
          </cell>
          <cell r="F615" t="str">
            <v/>
          </cell>
          <cell r="G615" t="str">
            <v/>
          </cell>
        </row>
        <row r="616">
          <cell r="A616" t="str">
            <v>8876543784</v>
          </cell>
          <cell r="B616" t="str">
            <v>88765</v>
          </cell>
          <cell r="C616" t="str">
            <v>黒田 辰憲</v>
          </cell>
          <cell r="D616">
            <v>43784</v>
          </cell>
          <cell r="E616" t="str">
            <v/>
          </cell>
          <cell r="F616" t="str">
            <v/>
          </cell>
          <cell r="G616" t="str">
            <v/>
          </cell>
        </row>
        <row r="617">
          <cell r="A617" t="str">
            <v>8876543785</v>
          </cell>
          <cell r="B617" t="str">
            <v>88765</v>
          </cell>
          <cell r="C617" t="str">
            <v>黒田 辰憲</v>
          </cell>
          <cell r="D617">
            <v>43785</v>
          </cell>
          <cell r="E617" t="str">
            <v>当</v>
          </cell>
          <cell r="F617" t="str">
            <v/>
          </cell>
          <cell r="G617" t="str">
            <v/>
          </cell>
        </row>
        <row r="618">
          <cell r="A618" t="str">
            <v>8876543786</v>
          </cell>
          <cell r="B618" t="str">
            <v>88765</v>
          </cell>
          <cell r="C618" t="str">
            <v>黒田 辰憲</v>
          </cell>
          <cell r="D618">
            <v>43786</v>
          </cell>
          <cell r="E618" t="str">
            <v>明</v>
          </cell>
          <cell r="F618" t="str">
            <v/>
          </cell>
          <cell r="G618" t="str">
            <v/>
          </cell>
        </row>
        <row r="619">
          <cell r="A619" t="str">
            <v>8876543787</v>
          </cell>
          <cell r="B619" t="str">
            <v>88765</v>
          </cell>
          <cell r="C619" t="str">
            <v>黒田 辰憲</v>
          </cell>
          <cell r="D619">
            <v>43787</v>
          </cell>
          <cell r="E619" t="str">
            <v/>
          </cell>
          <cell r="F619" t="str">
            <v/>
          </cell>
          <cell r="G619" t="str">
            <v/>
          </cell>
        </row>
        <row r="620">
          <cell r="A620" t="str">
            <v>8876543788</v>
          </cell>
          <cell r="B620" t="str">
            <v>88765</v>
          </cell>
          <cell r="C620" t="str">
            <v>黒田 辰憲</v>
          </cell>
          <cell r="D620">
            <v>43788</v>
          </cell>
          <cell r="E620" t="str">
            <v/>
          </cell>
          <cell r="F620" t="str">
            <v>年PM</v>
          </cell>
          <cell r="G620" t="str">
            <v/>
          </cell>
        </row>
        <row r="621">
          <cell r="A621" t="str">
            <v>8876543789</v>
          </cell>
          <cell r="B621" t="str">
            <v>88765</v>
          </cell>
          <cell r="C621" t="str">
            <v>黒田 辰憲</v>
          </cell>
          <cell r="D621">
            <v>43789</v>
          </cell>
          <cell r="E621" t="str">
            <v>●</v>
          </cell>
          <cell r="F621" t="str">
            <v/>
          </cell>
          <cell r="G621" t="str">
            <v/>
          </cell>
        </row>
        <row r="622">
          <cell r="A622" t="str">
            <v>8876543790</v>
          </cell>
          <cell r="B622" t="str">
            <v>88765</v>
          </cell>
          <cell r="C622" t="str">
            <v>黒田 辰憲</v>
          </cell>
          <cell r="D622">
            <v>43790</v>
          </cell>
          <cell r="E622" t="str">
            <v/>
          </cell>
          <cell r="F622" t="str">
            <v/>
          </cell>
          <cell r="G622" t="str">
            <v/>
          </cell>
        </row>
        <row r="623">
          <cell r="A623" t="str">
            <v>8876543791</v>
          </cell>
          <cell r="B623" t="str">
            <v>88765</v>
          </cell>
          <cell r="C623" t="str">
            <v>黒田 辰憲</v>
          </cell>
          <cell r="D623">
            <v>43791</v>
          </cell>
          <cell r="E623" t="str">
            <v/>
          </cell>
          <cell r="F623" t="str">
            <v/>
          </cell>
          <cell r="G623" t="str">
            <v/>
          </cell>
        </row>
        <row r="624">
          <cell r="A624" t="str">
            <v>8876543792</v>
          </cell>
          <cell r="B624" t="str">
            <v>88765</v>
          </cell>
          <cell r="C624" t="str">
            <v>黒田 辰憲</v>
          </cell>
          <cell r="D624">
            <v>43792</v>
          </cell>
          <cell r="E624" t="str">
            <v>●</v>
          </cell>
          <cell r="F624" t="str">
            <v/>
          </cell>
          <cell r="G624" t="str">
            <v/>
          </cell>
        </row>
        <row r="625">
          <cell r="A625" t="str">
            <v>8876543793</v>
          </cell>
          <cell r="B625" t="str">
            <v>88765</v>
          </cell>
          <cell r="C625" t="str">
            <v>黒田 辰憲</v>
          </cell>
          <cell r="D625">
            <v>43793</v>
          </cell>
          <cell r="E625" t="str">
            <v>●</v>
          </cell>
          <cell r="F625" t="str">
            <v/>
          </cell>
          <cell r="G625" t="str">
            <v/>
          </cell>
        </row>
        <row r="626">
          <cell r="A626" t="str">
            <v>8876543794</v>
          </cell>
          <cell r="B626" t="str">
            <v>88765</v>
          </cell>
          <cell r="C626" t="str">
            <v>黒田 辰憲</v>
          </cell>
          <cell r="D626">
            <v>43794</v>
          </cell>
          <cell r="E626" t="str">
            <v/>
          </cell>
          <cell r="F626" t="str">
            <v/>
          </cell>
          <cell r="G626" t="str">
            <v/>
          </cell>
        </row>
        <row r="627">
          <cell r="A627" t="str">
            <v>8876543795</v>
          </cell>
          <cell r="B627" t="str">
            <v>88765</v>
          </cell>
          <cell r="C627" t="str">
            <v>黒田 辰憲</v>
          </cell>
          <cell r="D627">
            <v>43795</v>
          </cell>
          <cell r="E627" t="str">
            <v/>
          </cell>
          <cell r="F627" t="str">
            <v/>
          </cell>
          <cell r="G627" t="str">
            <v/>
          </cell>
        </row>
        <row r="628">
          <cell r="A628" t="str">
            <v>8876543796</v>
          </cell>
          <cell r="B628" t="str">
            <v>88765</v>
          </cell>
          <cell r="C628" t="str">
            <v>黒田 辰憲</v>
          </cell>
          <cell r="D628">
            <v>43796</v>
          </cell>
          <cell r="E628" t="str">
            <v/>
          </cell>
          <cell r="F628" t="str">
            <v/>
          </cell>
          <cell r="G628" t="str">
            <v/>
          </cell>
        </row>
        <row r="629">
          <cell r="A629" t="str">
            <v>8876543797</v>
          </cell>
          <cell r="B629" t="str">
            <v>88765</v>
          </cell>
          <cell r="C629" t="str">
            <v>黒田 辰憲</v>
          </cell>
          <cell r="D629">
            <v>43797</v>
          </cell>
          <cell r="E629" t="str">
            <v>当</v>
          </cell>
          <cell r="F629" t="str">
            <v/>
          </cell>
          <cell r="G629" t="str">
            <v/>
          </cell>
        </row>
        <row r="630">
          <cell r="A630" t="str">
            <v>8876543798</v>
          </cell>
          <cell r="B630" t="str">
            <v>88765</v>
          </cell>
          <cell r="C630" t="str">
            <v>黒田 辰憲</v>
          </cell>
          <cell r="D630">
            <v>43798</v>
          </cell>
          <cell r="E630" t="str">
            <v>明</v>
          </cell>
          <cell r="F630" t="str">
            <v/>
          </cell>
          <cell r="G630" t="str">
            <v/>
          </cell>
        </row>
        <row r="631">
          <cell r="A631" t="str">
            <v>8876543799</v>
          </cell>
          <cell r="B631" t="str">
            <v>88765</v>
          </cell>
          <cell r="C631" t="str">
            <v>黒田 辰憲</v>
          </cell>
          <cell r="D631">
            <v>43799</v>
          </cell>
          <cell r="E631" t="str">
            <v>／</v>
          </cell>
          <cell r="F631" t="str">
            <v/>
          </cell>
          <cell r="G631" t="str">
            <v/>
          </cell>
        </row>
        <row r="632">
          <cell r="A632" t="str">
            <v>8877743770</v>
          </cell>
          <cell r="B632" t="str">
            <v>88777</v>
          </cell>
          <cell r="C632" t="str">
            <v>黒田 奈菜子</v>
          </cell>
          <cell r="D632">
            <v>43770</v>
          </cell>
          <cell r="E632" t="str">
            <v>-</v>
          </cell>
          <cell r="F632" t="str">
            <v>育休</v>
          </cell>
          <cell r="G632">
            <v>22</v>
          </cell>
        </row>
        <row r="633">
          <cell r="A633" t="str">
            <v>8877743771</v>
          </cell>
          <cell r="B633" t="str">
            <v>88777</v>
          </cell>
          <cell r="C633" t="str">
            <v>黒田 奈菜子</v>
          </cell>
          <cell r="D633">
            <v>43771</v>
          </cell>
          <cell r="E633" t="str">
            <v>-</v>
          </cell>
          <cell r="F633" t="str">
            <v>育休</v>
          </cell>
          <cell r="G633" t="str">
            <v/>
          </cell>
        </row>
        <row r="634">
          <cell r="A634" t="str">
            <v>8877743772</v>
          </cell>
          <cell r="B634" t="str">
            <v>88777</v>
          </cell>
          <cell r="C634" t="str">
            <v>黒田 奈菜子</v>
          </cell>
          <cell r="D634">
            <v>43772</v>
          </cell>
          <cell r="E634" t="str">
            <v>-</v>
          </cell>
          <cell r="F634" t="str">
            <v>育休</v>
          </cell>
          <cell r="G634" t="str">
            <v/>
          </cell>
        </row>
        <row r="635">
          <cell r="A635" t="str">
            <v>8877743773</v>
          </cell>
          <cell r="B635" t="str">
            <v>88777</v>
          </cell>
          <cell r="C635" t="str">
            <v>黒田 奈菜子</v>
          </cell>
          <cell r="D635">
            <v>43773</v>
          </cell>
          <cell r="E635" t="str">
            <v>-</v>
          </cell>
          <cell r="F635" t="str">
            <v>育休</v>
          </cell>
          <cell r="G635" t="str">
            <v/>
          </cell>
        </row>
        <row r="636">
          <cell r="A636" t="str">
            <v>8877743774</v>
          </cell>
          <cell r="B636" t="str">
            <v>88777</v>
          </cell>
          <cell r="C636" t="str">
            <v>黒田 奈菜子</v>
          </cell>
          <cell r="D636">
            <v>43774</v>
          </cell>
          <cell r="E636" t="str">
            <v>-</v>
          </cell>
          <cell r="F636" t="str">
            <v>育休</v>
          </cell>
          <cell r="G636" t="str">
            <v/>
          </cell>
        </row>
        <row r="637">
          <cell r="A637" t="str">
            <v>8877743775</v>
          </cell>
          <cell r="B637" t="str">
            <v>88777</v>
          </cell>
          <cell r="C637" t="str">
            <v>黒田 奈菜子</v>
          </cell>
          <cell r="D637">
            <v>43775</v>
          </cell>
          <cell r="E637" t="str">
            <v>-</v>
          </cell>
          <cell r="F637" t="str">
            <v>育休</v>
          </cell>
          <cell r="G637" t="str">
            <v/>
          </cell>
        </row>
        <row r="638">
          <cell r="A638" t="str">
            <v>8877743776</v>
          </cell>
          <cell r="B638" t="str">
            <v>88777</v>
          </cell>
          <cell r="C638" t="str">
            <v>黒田 奈菜子</v>
          </cell>
          <cell r="D638">
            <v>43776</v>
          </cell>
          <cell r="E638" t="str">
            <v>-</v>
          </cell>
          <cell r="F638" t="str">
            <v>育休</v>
          </cell>
          <cell r="G638" t="str">
            <v/>
          </cell>
        </row>
        <row r="639">
          <cell r="A639" t="str">
            <v>8877743777</v>
          </cell>
          <cell r="B639" t="str">
            <v>88777</v>
          </cell>
          <cell r="C639" t="str">
            <v>黒田 奈菜子</v>
          </cell>
          <cell r="D639">
            <v>43777</v>
          </cell>
          <cell r="E639" t="str">
            <v>-</v>
          </cell>
          <cell r="F639" t="str">
            <v>育休</v>
          </cell>
          <cell r="G639" t="str">
            <v/>
          </cell>
        </row>
        <row r="640">
          <cell r="A640" t="str">
            <v>8877743778</v>
          </cell>
          <cell r="B640" t="str">
            <v>88777</v>
          </cell>
          <cell r="C640" t="str">
            <v>黒田 奈菜子</v>
          </cell>
          <cell r="D640">
            <v>43778</v>
          </cell>
          <cell r="E640" t="str">
            <v>-</v>
          </cell>
          <cell r="F640" t="str">
            <v>育休</v>
          </cell>
          <cell r="G640" t="str">
            <v/>
          </cell>
        </row>
        <row r="641">
          <cell r="A641" t="str">
            <v>8877743779</v>
          </cell>
          <cell r="B641" t="str">
            <v>88777</v>
          </cell>
          <cell r="C641" t="str">
            <v>黒田 奈菜子</v>
          </cell>
          <cell r="D641">
            <v>43779</v>
          </cell>
          <cell r="E641" t="str">
            <v>-</v>
          </cell>
          <cell r="F641" t="str">
            <v>育休</v>
          </cell>
          <cell r="G641" t="str">
            <v/>
          </cell>
        </row>
        <row r="642">
          <cell r="A642" t="str">
            <v>8877743780</v>
          </cell>
          <cell r="B642" t="str">
            <v>88777</v>
          </cell>
          <cell r="C642" t="str">
            <v>黒田 奈菜子</v>
          </cell>
          <cell r="D642">
            <v>43780</v>
          </cell>
          <cell r="E642" t="str">
            <v>-</v>
          </cell>
          <cell r="F642" t="str">
            <v>育休</v>
          </cell>
          <cell r="G642" t="str">
            <v/>
          </cell>
        </row>
        <row r="643">
          <cell r="A643" t="str">
            <v>8877743781</v>
          </cell>
          <cell r="B643" t="str">
            <v>88777</v>
          </cell>
          <cell r="C643" t="str">
            <v>黒田 奈菜子</v>
          </cell>
          <cell r="D643">
            <v>43781</v>
          </cell>
          <cell r="E643" t="str">
            <v>-</v>
          </cell>
          <cell r="F643" t="str">
            <v>育休</v>
          </cell>
          <cell r="G643" t="str">
            <v/>
          </cell>
        </row>
        <row r="644">
          <cell r="A644" t="str">
            <v>8877743782</v>
          </cell>
          <cell r="B644" t="str">
            <v>88777</v>
          </cell>
          <cell r="C644" t="str">
            <v>黒田 奈菜子</v>
          </cell>
          <cell r="D644">
            <v>43782</v>
          </cell>
          <cell r="E644" t="str">
            <v>-</v>
          </cell>
          <cell r="F644" t="str">
            <v>育休</v>
          </cell>
          <cell r="G644" t="str">
            <v/>
          </cell>
        </row>
        <row r="645">
          <cell r="A645" t="str">
            <v>8877743783</v>
          </cell>
          <cell r="B645" t="str">
            <v>88777</v>
          </cell>
          <cell r="C645" t="str">
            <v>黒田 奈菜子</v>
          </cell>
          <cell r="D645">
            <v>43783</v>
          </cell>
          <cell r="E645" t="str">
            <v>-</v>
          </cell>
          <cell r="F645" t="str">
            <v>育休</v>
          </cell>
          <cell r="G645" t="str">
            <v/>
          </cell>
        </row>
        <row r="646">
          <cell r="A646" t="str">
            <v>8877743784</v>
          </cell>
          <cell r="B646" t="str">
            <v>88777</v>
          </cell>
          <cell r="C646" t="str">
            <v>黒田 奈菜子</v>
          </cell>
          <cell r="D646">
            <v>43784</v>
          </cell>
          <cell r="E646" t="str">
            <v>-</v>
          </cell>
          <cell r="F646" t="str">
            <v>育休</v>
          </cell>
          <cell r="G646" t="str">
            <v/>
          </cell>
        </row>
        <row r="647">
          <cell r="A647" t="str">
            <v>8877743785</v>
          </cell>
          <cell r="B647" t="str">
            <v>88777</v>
          </cell>
          <cell r="C647" t="str">
            <v>黒田 奈菜子</v>
          </cell>
          <cell r="D647">
            <v>43785</v>
          </cell>
          <cell r="E647" t="str">
            <v>-</v>
          </cell>
          <cell r="F647" t="str">
            <v>育休</v>
          </cell>
          <cell r="G647" t="str">
            <v/>
          </cell>
        </row>
        <row r="648">
          <cell r="A648" t="str">
            <v>8877743786</v>
          </cell>
          <cell r="B648" t="str">
            <v>88777</v>
          </cell>
          <cell r="C648" t="str">
            <v>黒田 奈菜子</v>
          </cell>
          <cell r="D648">
            <v>43786</v>
          </cell>
          <cell r="E648" t="str">
            <v>-</v>
          </cell>
          <cell r="F648" t="str">
            <v>育休</v>
          </cell>
          <cell r="G648" t="str">
            <v/>
          </cell>
        </row>
        <row r="649">
          <cell r="A649" t="str">
            <v>8877743787</v>
          </cell>
          <cell r="B649" t="str">
            <v>88777</v>
          </cell>
          <cell r="C649" t="str">
            <v>黒田 奈菜子</v>
          </cell>
          <cell r="D649">
            <v>43787</v>
          </cell>
          <cell r="E649" t="str">
            <v>-</v>
          </cell>
          <cell r="F649" t="str">
            <v>育休</v>
          </cell>
          <cell r="G649" t="str">
            <v/>
          </cell>
        </row>
        <row r="650">
          <cell r="A650" t="str">
            <v>8877743788</v>
          </cell>
          <cell r="B650" t="str">
            <v>88777</v>
          </cell>
          <cell r="C650" t="str">
            <v>黒田 奈菜子</v>
          </cell>
          <cell r="D650">
            <v>43788</v>
          </cell>
          <cell r="E650" t="str">
            <v>-</v>
          </cell>
          <cell r="F650" t="str">
            <v>育休</v>
          </cell>
          <cell r="G650" t="str">
            <v/>
          </cell>
        </row>
        <row r="651">
          <cell r="A651" t="str">
            <v>8877743789</v>
          </cell>
          <cell r="B651" t="str">
            <v>88777</v>
          </cell>
          <cell r="C651" t="str">
            <v>黒田 奈菜子</v>
          </cell>
          <cell r="D651">
            <v>43789</v>
          </cell>
          <cell r="E651" t="str">
            <v>-</v>
          </cell>
          <cell r="F651" t="str">
            <v>育休</v>
          </cell>
          <cell r="G651" t="str">
            <v/>
          </cell>
        </row>
        <row r="652">
          <cell r="A652" t="str">
            <v>8877743790</v>
          </cell>
          <cell r="B652" t="str">
            <v>88777</v>
          </cell>
          <cell r="C652" t="str">
            <v>黒田 奈菜子</v>
          </cell>
          <cell r="D652">
            <v>43790</v>
          </cell>
          <cell r="E652" t="str">
            <v>-</v>
          </cell>
          <cell r="F652" t="str">
            <v>育休</v>
          </cell>
          <cell r="G652" t="str">
            <v/>
          </cell>
        </row>
        <row r="653">
          <cell r="A653" t="str">
            <v>8877743791</v>
          </cell>
          <cell r="B653" t="str">
            <v>88777</v>
          </cell>
          <cell r="C653" t="str">
            <v>黒田 奈菜子</v>
          </cell>
          <cell r="D653">
            <v>43791</v>
          </cell>
          <cell r="E653" t="str">
            <v>-</v>
          </cell>
          <cell r="F653" t="str">
            <v>育休</v>
          </cell>
          <cell r="G653" t="str">
            <v/>
          </cell>
        </row>
        <row r="654">
          <cell r="A654" t="str">
            <v>8877743792</v>
          </cell>
          <cell r="B654" t="str">
            <v>88777</v>
          </cell>
          <cell r="C654" t="str">
            <v>黒田 奈菜子</v>
          </cell>
          <cell r="D654">
            <v>43792</v>
          </cell>
          <cell r="E654" t="str">
            <v>-</v>
          </cell>
          <cell r="F654" t="str">
            <v>育休</v>
          </cell>
          <cell r="G654" t="str">
            <v/>
          </cell>
        </row>
        <row r="655">
          <cell r="A655" t="str">
            <v>8877743793</v>
          </cell>
          <cell r="B655" t="str">
            <v>88777</v>
          </cell>
          <cell r="C655" t="str">
            <v>黒田 奈菜子</v>
          </cell>
          <cell r="D655">
            <v>43793</v>
          </cell>
          <cell r="E655" t="str">
            <v>-</v>
          </cell>
          <cell r="F655" t="str">
            <v>育休</v>
          </cell>
          <cell r="G655" t="str">
            <v/>
          </cell>
        </row>
        <row r="656">
          <cell r="A656" t="str">
            <v>8877743794</v>
          </cell>
          <cell r="B656" t="str">
            <v>88777</v>
          </cell>
          <cell r="C656" t="str">
            <v>黒田 奈菜子</v>
          </cell>
          <cell r="D656">
            <v>43794</v>
          </cell>
          <cell r="E656" t="str">
            <v>-</v>
          </cell>
          <cell r="F656" t="str">
            <v>育休</v>
          </cell>
          <cell r="G656" t="str">
            <v/>
          </cell>
        </row>
        <row r="657">
          <cell r="A657" t="str">
            <v>8877743795</v>
          </cell>
          <cell r="B657" t="str">
            <v>88777</v>
          </cell>
          <cell r="C657" t="str">
            <v>黒田 奈菜子</v>
          </cell>
          <cell r="D657">
            <v>43795</v>
          </cell>
          <cell r="E657" t="str">
            <v>-</v>
          </cell>
          <cell r="F657" t="str">
            <v>育休</v>
          </cell>
          <cell r="G657" t="str">
            <v/>
          </cell>
        </row>
        <row r="658">
          <cell r="A658" t="str">
            <v>8877743796</v>
          </cell>
          <cell r="B658" t="str">
            <v>88777</v>
          </cell>
          <cell r="C658" t="str">
            <v>黒田 奈菜子</v>
          </cell>
          <cell r="D658">
            <v>43796</v>
          </cell>
          <cell r="E658" t="str">
            <v>-</v>
          </cell>
          <cell r="F658" t="str">
            <v>育休</v>
          </cell>
          <cell r="G658" t="str">
            <v/>
          </cell>
        </row>
        <row r="659">
          <cell r="A659" t="str">
            <v>8877743797</v>
          </cell>
          <cell r="B659" t="str">
            <v>88777</v>
          </cell>
          <cell r="C659" t="str">
            <v>黒田 奈菜子</v>
          </cell>
          <cell r="D659">
            <v>43797</v>
          </cell>
          <cell r="E659" t="str">
            <v>-</v>
          </cell>
          <cell r="F659" t="str">
            <v>育休</v>
          </cell>
          <cell r="G659" t="str">
            <v/>
          </cell>
        </row>
        <row r="660">
          <cell r="A660" t="str">
            <v>8877743798</v>
          </cell>
          <cell r="B660" t="str">
            <v>88777</v>
          </cell>
          <cell r="C660" t="str">
            <v>黒田 奈菜子</v>
          </cell>
          <cell r="D660">
            <v>43798</v>
          </cell>
          <cell r="E660" t="str">
            <v>-</v>
          </cell>
          <cell r="F660" t="str">
            <v>育休</v>
          </cell>
          <cell r="G660" t="str">
            <v/>
          </cell>
        </row>
        <row r="661">
          <cell r="A661" t="str">
            <v>8877743799</v>
          </cell>
          <cell r="B661" t="str">
            <v>88777</v>
          </cell>
          <cell r="C661" t="str">
            <v>黒田 奈菜子</v>
          </cell>
          <cell r="D661">
            <v>43799</v>
          </cell>
          <cell r="E661" t="str">
            <v>-</v>
          </cell>
          <cell r="F661" t="str">
            <v>育休</v>
          </cell>
          <cell r="G661" t="str">
            <v/>
          </cell>
        </row>
        <row r="662">
          <cell r="A662" t="str">
            <v>9490843770</v>
          </cell>
          <cell r="B662" t="str">
            <v>94908</v>
          </cell>
          <cell r="C662" t="str">
            <v>長迫 千寛</v>
          </cell>
          <cell r="D662">
            <v>43770</v>
          </cell>
          <cell r="E662" t="str">
            <v/>
          </cell>
          <cell r="F662" t="str">
            <v/>
          </cell>
          <cell r="G662">
            <v>23</v>
          </cell>
        </row>
        <row r="663">
          <cell r="A663" t="str">
            <v>9490843771</v>
          </cell>
          <cell r="B663" t="str">
            <v>94908</v>
          </cell>
          <cell r="C663" t="str">
            <v>長迫 千寛</v>
          </cell>
          <cell r="D663">
            <v>43771</v>
          </cell>
          <cell r="E663" t="str">
            <v>○</v>
          </cell>
          <cell r="F663" t="str">
            <v/>
          </cell>
          <cell r="G663" t="str">
            <v/>
          </cell>
        </row>
        <row r="664">
          <cell r="A664" t="str">
            <v>9490843772</v>
          </cell>
          <cell r="B664" t="str">
            <v>94908</v>
          </cell>
          <cell r="C664" t="str">
            <v>長迫 千寛</v>
          </cell>
          <cell r="D664">
            <v>43772</v>
          </cell>
          <cell r="E664" t="str">
            <v>●</v>
          </cell>
          <cell r="F664" t="str">
            <v/>
          </cell>
          <cell r="G664" t="str">
            <v/>
          </cell>
        </row>
        <row r="665">
          <cell r="A665" t="str">
            <v>9490843773</v>
          </cell>
          <cell r="B665" t="str">
            <v>94908</v>
          </cell>
          <cell r="C665" t="str">
            <v>長迫 千寛</v>
          </cell>
          <cell r="D665">
            <v>43773</v>
          </cell>
          <cell r="E665" t="str">
            <v>●</v>
          </cell>
          <cell r="F665" t="str">
            <v/>
          </cell>
          <cell r="G665" t="str">
            <v/>
          </cell>
        </row>
        <row r="666">
          <cell r="A666" t="str">
            <v>9490843774</v>
          </cell>
          <cell r="B666" t="str">
            <v>94908</v>
          </cell>
          <cell r="C666" t="str">
            <v>長迫 千寛</v>
          </cell>
          <cell r="D666">
            <v>43774</v>
          </cell>
          <cell r="E666" t="str">
            <v/>
          </cell>
          <cell r="F666" t="str">
            <v/>
          </cell>
          <cell r="G666" t="str">
            <v/>
          </cell>
        </row>
        <row r="667">
          <cell r="A667" t="str">
            <v>9490843775</v>
          </cell>
          <cell r="B667" t="str">
            <v>94908</v>
          </cell>
          <cell r="C667" t="str">
            <v>長迫 千寛</v>
          </cell>
          <cell r="D667">
            <v>43775</v>
          </cell>
          <cell r="E667" t="str">
            <v/>
          </cell>
          <cell r="F667" t="str">
            <v/>
          </cell>
          <cell r="G667" t="str">
            <v/>
          </cell>
        </row>
        <row r="668">
          <cell r="A668" t="str">
            <v>9490843776</v>
          </cell>
          <cell r="B668" t="str">
            <v>94908</v>
          </cell>
          <cell r="C668" t="str">
            <v>長迫 千寛</v>
          </cell>
          <cell r="D668">
            <v>43776</v>
          </cell>
          <cell r="E668" t="str">
            <v/>
          </cell>
          <cell r="F668" t="str">
            <v/>
          </cell>
          <cell r="G668" t="str">
            <v/>
          </cell>
        </row>
        <row r="669">
          <cell r="A669" t="str">
            <v>9490843777</v>
          </cell>
          <cell r="B669" t="str">
            <v>94908</v>
          </cell>
          <cell r="C669" t="str">
            <v>長迫 千寛</v>
          </cell>
          <cell r="D669">
            <v>43777</v>
          </cell>
          <cell r="E669" t="str">
            <v/>
          </cell>
          <cell r="F669" t="str">
            <v/>
          </cell>
          <cell r="G669" t="str">
            <v/>
          </cell>
        </row>
        <row r="670">
          <cell r="A670" t="str">
            <v>9490843778</v>
          </cell>
          <cell r="B670" t="str">
            <v>94908</v>
          </cell>
          <cell r="C670" t="str">
            <v>長迫 千寛</v>
          </cell>
          <cell r="D670">
            <v>43778</v>
          </cell>
          <cell r="E670" t="str">
            <v>／</v>
          </cell>
          <cell r="F670" t="str">
            <v/>
          </cell>
          <cell r="G670" t="str">
            <v/>
          </cell>
        </row>
        <row r="671">
          <cell r="A671" t="str">
            <v>9490843779</v>
          </cell>
          <cell r="B671" t="str">
            <v>94908</v>
          </cell>
          <cell r="C671" t="str">
            <v>長迫 千寛</v>
          </cell>
          <cell r="D671">
            <v>43779</v>
          </cell>
          <cell r="E671" t="str">
            <v>●</v>
          </cell>
          <cell r="F671" t="str">
            <v/>
          </cell>
          <cell r="G671" t="str">
            <v/>
          </cell>
        </row>
        <row r="672">
          <cell r="A672" t="str">
            <v>9490843780</v>
          </cell>
          <cell r="B672" t="str">
            <v>94908</v>
          </cell>
          <cell r="C672" t="str">
            <v>長迫 千寛</v>
          </cell>
          <cell r="D672">
            <v>43780</v>
          </cell>
          <cell r="E672" t="str">
            <v/>
          </cell>
          <cell r="F672" t="str">
            <v/>
          </cell>
          <cell r="G672" t="str">
            <v/>
          </cell>
        </row>
        <row r="673">
          <cell r="A673" t="str">
            <v>9490843781</v>
          </cell>
          <cell r="B673" t="str">
            <v>94908</v>
          </cell>
          <cell r="C673" t="str">
            <v>長迫 千寛</v>
          </cell>
          <cell r="D673">
            <v>43781</v>
          </cell>
          <cell r="E673" t="str">
            <v/>
          </cell>
          <cell r="F673" t="str">
            <v/>
          </cell>
          <cell r="G673" t="str">
            <v/>
          </cell>
        </row>
        <row r="674">
          <cell r="A674" t="str">
            <v>9490843782</v>
          </cell>
          <cell r="B674" t="str">
            <v>94908</v>
          </cell>
          <cell r="C674" t="str">
            <v>長迫 千寛</v>
          </cell>
          <cell r="D674">
            <v>43782</v>
          </cell>
          <cell r="E674" t="str">
            <v>当</v>
          </cell>
          <cell r="F674" t="str">
            <v/>
          </cell>
          <cell r="G674" t="str">
            <v/>
          </cell>
        </row>
        <row r="675">
          <cell r="A675" t="str">
            <v>9490843783</v>
          </cell>
          <cell r="B675" t="str">
            <v>94908</v>
          </cell>
          <cell r="C675" t="str">
            <v>長迫 千寛</v>
          </cell>
          <cell r="D675">
            <v>43783</v>
          </cell>
          <cell r="E675" t="str">
            <v>明</v>
          </cell>
          <cell r="F675" t="str">
            <v/>
          </cell>
          <cell r="G675" t="str">
            <v/>
          </cell>
        </row>
        <row r="676">
          <cell r="A676" t="str">
            <v>9490843784</v>
          </cell>
          <cell r="B676" t="str">
            <v>94908</v>
          </cell>
          <cell r="C676" t="str">
            <v>長迫 千寛</v>
          </cell>
          <cell r="D676">
            <v>43784</v>
          </cell>
          <cell r="E676" t="str">
            <v/>
          </cell>
          <cell r="F676" t="str">
            <v/>
          </cell>
          <cell r="G676" t="str">
            <v/>
          </cell>
        </row>
        <row r="677">
          <cell r="A677" t="str">
            <v>9490843785</v>
          </cell>
          <cell r="B677" t="str">
            <v>94908</v>
          </cell>
          <cell r="C677" t="str">
            <v>長迫 千寛</v>
          </cell>
          <cell r="D677">
            <v>43785</v>
          </cell>
          <cell r="E677" t="str">
            <v>○</v>
          </cell>
          <cell r="F677" t="str">
            <v/>
          </cell>
          <cell r="G677" t="str">
            <v/>
          </cell>
        </row>
        <row r="678">
          <cell r="A678" t="str">
            <v>9490843786</v>
          </cell>
          <cell r="B678" t="str">
            <v>94908</v>
          </cell>
          <cell r="C678" t="str">
            <v>長迫 千寛</v>
          </cell>
          <cell r="D678">
            <v>43786</v>
          </cell>
          <cell r="E678" t="str">
            <v>●</v>
          </cell>
          <cell r="F678" t="str">
            <v/>
          </cell>
          <cell r="G678" t="str">
            <v/>
          </cell>
        </row>
        <row r="679">
          <cell r="A679" t="str">
            <v>9490843787</v>
          </cell>
          <cell r="B679" t="str">
            <v>94908</v>
          </cell>
          <cell r="C679" t="str">
            <v>長迫 千寛</v>
          </cell>
          <cell r="D679">
            <v>43787</v>
          </cell>
          <cell r="E679" t="str">
            <v/>
          </cell>
          <cell r="F679" t="str">
            <v/>
          </cell>
          <cell r="G679" t="str">
            <v/>
          </cell>
        </row>
        <row r="680">
          <cell r="A680" t="str">
            <v>9490843788</v>
          </cell>
          <cell r="B680" t="str">
            <v>94908</v>
          </cell>
          <cell r="C680" t="str">
            <v>長迫 千寛</v>
          </cell>
          <cell r="D680">
            <v>43788</v>
          </cell>
          <cell r="E680" t="str">
            <v/>
          </cell>
          <cell r="F680" t="str">
            <v/>
          </cell>
          <cell r="G680" t="str">
            <v/>
          </cell>
        </row>
        <row r="681">
          <cell r="A681" t="str">
            <v>9490843789</v>
          </cell>
          <cell r="B681" t="str">
            <v>94908</v>
          </cell>
          <cell r="C681" t="str">
            <v>長迫 千寛</v>
          </cell>
          <cell r="D681">
            <v>43789</v>
          </cell>
          <cell r="E681" t="str">
            <v/>
          </cell>
          <cell r="F681" t="str">
            <v/>
          </cell>
          <cell r="G681" t="str">
            <v/>
          </cell>
        </row>
        <row r="682">
          <cell r="A682" t="str">
            <v>9490843790</v>
          </cell>
          <cell r="B682" t="str">
            <v>94908</v>
          </cell>
          <cell r="C682" t="str">
            <v>長迫 千寛</v>
          </cell>
          <cell r="D682">
            <v>43790</v>
          </cell>
          <cell r="E682" t="str">
            <v/>
          </cell>
          <cell r="F682" t="str">
            <v>年休</v>
          </cell>
          <cell r="G682" t="str">
            <v/>
          </cell>
        </row>
        <row r="683">
          <cell r="A683" t="str">
            <v>9490843791</v>
          </cell>
          <cell r="B683" t="str">
            <v>94908</v>
          </cell>
          <cell r="C683" t="str">
            <v>長迫 千寛</v>
          </cell>
          <cell r="D683">
            <v>43791</v>
          </cell>
          <cell r="E683" t="str">
            <v/>
          </cell>
          <cell r="F683" t="str">
            <v/>
          </cell>
          <cell r="G683" t="str">
            <v/>
          </cell>
        </row>
        <row r="684">
          <cell r="A684" t="str">
            <v>9490843792</v>
          </cell>
          <cell r="B684" t="str">
            <v>94908</v>
          </cell>
          <cell r="C684" t="str">
            <v>長迫 千寛</v>
          </cell>
          <cell r="D684">
            <v>43792</v>
          </cell>
          <cell r="E684" t="str">
            <v>●</v>
          </cell>
          <cell r="F684" t="str">
            <v/>
          </cell>
          <cell r="G684" t="str">
            <v/>
          </cell>
        </row>
        <row r="685">
          <cell r="A685" t="str">
            <v>9490843793</v>
          </cell>
          <cell r="B685" t="str">
            <v>94908</v>
          </cell>
          <cell r="C685" t="str">
            <v>長迫 千寛</v>
          </cell>
          <cell r="D685">
            <v>43793</v>
          </cell>
          <cell r="E685" t="str">
            <v>●</v>
          </cell>
          <cell r="F685" t="str">
            <v/>
          </cell>
          <cell r="G685" t="str">
            <v/>
          </cell>
        </row>
        <row r="686">
          <cell r="A686" t="str">
            <v>9490843794</v>
          </cell>
          <cell r="B686" t="str">
            <v>94908</v>
          </cell>
          <cell r="C686" t="str">
            <v>長迫 千寛</v>
          </cell>
          <cell r="D686">
            <v>43794</v>
          </cell>
          <cell r="E686" t="str">
            <v/>
          </cell>
          <cell r="F686" t="str">
            <v/>
          </cell>
          <cell r="G686" t="str">
            <v/>
          </cell>
        </row>
        <row r="687">
          <cell r="A687" t="str">
            <v>9490843795</v>
          </cell>
          <cell r="B687" t="str">
            <v>94908</v>
          </cell>
          <cell r="C687" t="str">
            <v>長迫 千寛</v>
          </cell>
          <cell r="D687">
            <v>43795</v>
          </cell>
          <cell r="E687" t="str">
            <v/>
          </cell>
          <cell r="F687" t="str">
            <v/>
          </cell>
          <cell r="G687" t="str">
            <v/>
          </cell>
        </row>
        <row r="688">
          <cell r="A688" t="str">
            <v>9490843796</v>
          </cell>
          <cell r="B688" t="str">
            <v>94908</v>
          </cell>
          <cell r="C688" t="str">
            <v>長迫 千寛</v>
          </cell>
          <cell r="D688">
            <v>43796</v>
          </cell>
          <cell r="E688" t="str">
            <v>当</v>
          </cell>
          <cell r="F688" t="str">
            <v/>
          </cell>
          <cell r="G688" t="str">
            <v/>
          </cell>
        </row>
        <row r="689">
          <cell r="A689" t="str">
            <v>9490843797</v>
          </cell>
          <cell r="B689" t="str">
            <v>94908</v>
          </cell>
          <cell r="C689" t="str">
            <v>長迫 千寛</v>
          </cell>
          <cell r="D689">
            <v>43797</v>
          </cell>
          <cell r="E689" t="str">
            <v>明</v>
          </cell>
          <cell r="F689" t="str">
            <v/>
          </cell>
          <cell r="G689" t="str">
            <v/>
          </cell>
        </row>
        <row r="690">
          <cell r="A690" t="str">
            <v>9490843798</v>
          </cell>
          <cell r="B690" t="str">
            <v>94908</v>
          </cell>
          <cell r="C690" t="str">
            <v>長迫 千寛</v>
          </cell>
          <cell r="D690">
            <v>43798</v>
          </cell>
          <cell r="E690" t="str">
            <v/>
          </cell>
          <cell r="F690" t="str">
            <v/>
          </cell>
          <cell r="G690" t="str">
            <v/>
          </cell>
        </row>
        <row r="691">
          <cell r="A691" t="str">
            <v>9490843799</v>
          </cell>
          <cell r="B691" t="str">
            <v>94908</v>
          </cell>
          <cell r="C691" t="str">
            <v>長迫 千寛</v>
          </cell>
          <cell r="D691">
            <v>43799</v>
          </cell>
          <cell r="E691" t="str">
            <v>○</v>
          </cell>
          <cell r="F691" t="str">
            <v/>
          </cell>
          <cell r="G691" t="str">
            <v/>
          </cell>
        </row>
        <row r="692">
          <cell r="A692" t="str">
            <v>9796243770</v>
          </cell>
          <cell r="B692" t="str">
            <v>97962</v>
          </cell>
          <cell r="C692" t="str">
            <v>林 亮子</v>
          </cell>
          <cell r="D692">
            <v>43770</v>
          </cell>
          <cell r="E692" t="str">
            <v/>
          </cell>
          <cell r="F692" t="str">
            <v/>
          </cell>
          <cell r="G692">
            <v>24</v>
          </cell>
        </row>
        <row r="693">
          <cell r="A693" t="str">
            <v>9796243771</v>
          </cell>
          <cell r="B693" t="str">
            <v>97962</v>
          </cell>
          <cell r="C693" t="str">
            <v>林 亮子</v>
          </cell>
          <cell r="D693">
            <v>43771</v>
          </cell>
          <cell r="E693" t="str">
            <v>○</v>
          </cell>
          <cell r="F693" t="str">
            <v/>
          </cell>
          <cell r="G693" t="str">
            <v/>
          </cell>
        </row>
        <row r="694">
          <cell r="A694" t="str">
            <v>9796243772</v>
          </cell>
          <cell r="B694" t="str">
            <v>97962</v>
          </cell>
          <cell r="C694" t="str">
            <v>林 亮子</v>
          </cell>
          <cell r="D694">
            <v>43772</v>
          </cell>
          <cell r="E694" t="str">
            <v/>
          </cell>
          <cell r="F694" t="str">
            <v/>
          </cell>
          <cell r="G694" t="str">
            <v/>
          </cell>
        </row>
        <row r="695">
          <cell r="A695" t="str">
            <v>9796243773</v>
          </cell>
          <cell r="B695" t="str">
            <v>97962</v>
          </cell>
          <cell r="C695" t="str">
            <v>林 亮子</v>
          </cell>
          <cell r="D695">
            <v>43773</v>
          </cell>
          <cell r="E695" t="str">
            <v>●</v>
          </cell>
          <cell r="F695" t="str">
            <v/>
          </cell>
          <cell r="G695" t="str">
            <v/>
          </cell>
        </row>
        <row r="696">
          <cell r="A696" t="str">
            <v>9796243774</v>
          </cell>
          <cell r="B696" t="str">
            <v>97962</v>
          </cell>
          <cell r="C696" t="str">
            <v>林 亮子</v>
          </cell>
          <cell r="D696">
            <v>43774</v>
          </cell>
          <cell r="E696" t="str">
            <v/>
          </cell>
          <cell r="F696" t="str">
            <v/>
          </cell>
          <cell r="G696" t="str">
            <v/>
          </cell>
        </row>
        <row r="697">
          <cell r="A697" t="str">
            <v>9796243775</v>
          </cell>
          <cell r="B697" t="str">
            <v>97962</v>
          </cell>
          <cell r="C697" t="str">
            <v>林 亮子</v>
          </cell>
          <cell r="D697">
            <v>43775</v>
          </cell>
          <cell r="E697" t="str">
            <v>●</v>
          </cell>
          <cell r="F697" t="str">
            <v/>
          </cell>
          <cell r="G697" t="str">
            <v/>
          </cell>
        </row>
        <row r="698">
          <cell r="A698" t="str">
            <v>9796243776</v>
          </cell>
          <cell r="B698" t="str">
            <v>97962</v>
          </cell>
          <cell r="C698" t="str">
            <v>林 亮子</v>
          </cell>
          <cell r="D698">
            <v>43776</v>
          </cell>
          <cell r="E698" t="str">
            <v/>
          </cell>
          <cell r="F698" t="str">
            <v/>
          </cell>
          <cell r="G698" t="str">
            <v/>
          </cell>
        </row>
        <row r="699">
          <cell r="A699" t="str">
            <v>9796243777</v>
          </cell>
          <cell r="B699" t="str">
            <v>97962</v>
          </cell>
          <cell r="C699" t="str">
            <v>林 亮子</v>
          </cell>
          <cell r="D699">
            <v>43777</v>
          </cell>
          <cell r="E699" t="str">
            <v/>
          </cell>
          <cell r="F699" t="str">
            <v/>
          </cell>
          <cell r="G699" t="str">
            <v/>
          </cell>
        </row>
        <row r="700">
          <cell r="A700" t="str">
            <v>9796243778</v>
          </cell>
          <cell r="B700" t="str">
            <v>97962</v>
          </cell>
          <cell r="C700" t="str">
            <v>林 亮子</v>
          </cell>
          <cell r="D700">
            <v>43778</v>
          </cell>
          <cell r="E700" t="str">
            <v>当</v>
          </cell>
          <cell r="F700" t="str">
            <v/>
          </cell>
          <cell r="G700" t="str">
            <v/>
          </cell>
        </row>
        <row r="701">
          <cell r="A701" t="str">
            <v>9796243779</v>
          </cell>
          <cell r="B701" t="str">
            <v>97962</v>
          </cell>
          <cell r="C701" t="str">
            <v>林 亮子</v>
          </cell>
          <cell r="D701">
            <v>43779</v>
          </cell>
          <cell r="E701" t="str">
            <v>明</v>
          </cell>
          <cell r="F701" t="str">
            <v/>
          </cell>
          <cell r="G701" t="str">
            <v/>
          </cell>
        </row>
        <row r="702">
          <cell r="A702" t="str">
            <v>9796243780</v>
          </cell>
          <cell r="B702" t="str">
            <v>97962</v>
          </cell>
          <cell r="C702" t="str">
            <v>林 亮子</v>
          </cell>
          <cell r="D702">
            <v>43780</v>
          </cell>
          <cell r="E702" t="str">
            <v/>
          </cell>
          <cell r="F702" t="str">
            <v/>
          </cell>
          <cell r="G702" t="str">
            <v/>
          </cell>
        </row>
        <row r="703">
          <cell r="A703" t="str">
            <v>9796243781</v>
          </cell>
          <cell r="B703" t="str">
            <v>97962</v>
          </cell>
          <cell r="C703" t="str">
            <v>林 亮子</v>
          </cell>
          <cell r="D703">
            <v>43781</v>
          </cell>
          <cell r="E703" t="str">
            <v/>
          </cell>
          <cell r="F703" t="str">
            <v/>
          </cell>
          <cell r="G703" t="str">
            <v/>
          </cell>
        </row>
        <row r="704">
          <cell r="A704" t="str">
            <v>9796243782</v>
          </cell>
          <cell r="B704" t="str">
            <v>97962</v>
          </cell>
          <cell r="C704" t="str">
            <v>林 亮子</v>
          </cell>
          <cell r="D704">
            <v>43782</v>
          </cell>
          <cell r="E704" t="str">
            <v/>
          </cell>
          <cell r="F704" t="str">
            <v/>
          </cell>
          <cell r="G704" t="str">
            <v/>
          </cell>
        </row>
        <row r="705">
          <cell r="A705" t="str">
            <v>9796243783</v>
          </cell>
          <cell r="B705" t="str">
            <v>97962</v>
          </cell>
          <cell r="C705" t="str">
            <v>林 亮子</v>
          </cell>
          <cell r="D705">
            <v>43783</v>
          </cell>
          <cell r="E705" t="str">
            <v>●</v>
          </cell>
          <cell r="F705" t="str">
            <v/>
          </cell>
          <cell r="G705" t="str">
            <v/>
          </cell>
        </row>
        <row r="706">
          <cell r="A706" t="str">
            <v>9796243784</v>
          </cell>
          <cell r="B706" t="str">
            <v>97962</v>
          </cell>
          <cell r="C706" t="str">
            <v>林 亮子</v>
          </cell>
          <cell r="D706">
            <v>43784</v>
          </cell>
          <cell r="E706" t="str">
            <v/>
          </cell>
          <cell r="F706" t="str">
            <v/>
          </cell>
          <cell r="G706" t="str">
            <v/>
          </cell>
        </row>
        <row r="707">
          <cell r="A707" t="str">
            <v>9796243785</v>
          </cell>
          <cell r="B707" t="str">
            <v>97962</v>
          </cell>
          <cell r="C707" t="str">
            <v>林 亮子</v>
          </cell>
          <cell r="D707">
            <v>43785</v>
          </cell>
          <cell r="E707" t="str">
            <v>○</v>
          </cell>
          <cell r="F707" t="str">
            <v/>
          </cell>
          <cell r="G707" t="str">
            <v/>
          </cell>
        </row>
        <row r="708">
          <cell r="A708" t="str">
            <v>9796243786</v>
          </cell>
          <cell r="B708" t="str">
            <v>97962</v>
          </cell>
          <cell r="C708" t="str">
            <v>林 亮子</v>
          </cell>
          <cell r="D708">
            <v>43786</v>
          </cell>
          <cell r="E708" t="str">
            <v>●</v>
          </cell>
          <cell r="F708" t="str">
            <v/>
          </cell>
          <cell r="G708" t="str">
            <v/>
          </cell>
        </row>
        <row r="709">
          <cell r="A709" t="str">
            <v>9796243787</v>
          </cell>
          <cell r="B709" t="str">
            <v>97962</v>
          </cell>
          <cell r="C709" t="str">
            <v>林 亮子</v>
          </cell>
          <cell r="D709">
            <v>43787</v>
          </cell>
          <cell r="E709" t="str">
            <v/>
          </cell>
          <cell r="F709" t="str">
            <v/>
          </cell>
          <cell r="G709" t="str">
            <v/>
          </cell>
        </row>
        <row r="710">
          <cell r="A710" t="str">
            <v>9796243788</v>
          </cell>
          <cell r="B710" t="str">
            <v>97962</v>
          </cell>
          <cell r="C710" t="str">
            <v>林 亮子</v>
          </cell>
          <cell r="D710">
            <v>43788</v>
          </cell>
          <cell r="E710" t="str">
            <v>当</v>
          </cell>
          <cell r="F710" t="str">
            <v/>
          </cell>
          <cell r="G710" t="str">
            <v/>
          </cell>
        </row>
        <row r="711">
          <cell r="A711" t="str">
            <v>9796243789</v>
          </cell>
          <cell r="B711" t="str">
            <v>97962</v>
          </cell>
          <cell r="C711" t="str">
            <v>林 亮子</v>
          </cell>
          <cell r="D711">
            <v>43789</v>
          </cell>
          <cell r="E711" t="str">
            <v>明</v>
          </cell>
          <cell r="F711" t="str">
            <v/>
          </cell>
          <cell r="G711" t="str">
            <v/>
          </cell>
        </row>
        <row r="712">
          <cell r="A712" t="str">
            <v>9796243790</v>
          </cell>
          <cell r="B712" t="str">
            <v>97962</v>
          </cell>
          <cell r="C712" t="str">
            <v>林 亮子</v>
          </cell>
          <cell r="D712">
            <v>43790</v>
          </cell>
          <cell r="E712" t="str">
            <v/>
          </cell>
          <cell r="F712" t="str">
            <v/>
          </cell>
          <cell r="G712" t="str">
            <v/>
          </cell>
        </row>
        <row r="713">
          <cell r="A713" t="str">
            <v>9796243791</v>
          </cell>
          <cell r="B713" t="str">
            <v>97962</v>
          </cell>
          <cell r="C713" t="str">
            <v>林 亮子</v>
          </cell>
          <cell r="D713">
            <v>43791</v>
          </cell>
          <cell r="E713" t="str">
            <v/>
          </cell>
          <cell r="F713" t="str">
            <v/>
          </cell>
          <cell r="G713" t="str">
            <v/>
          </cell>
        </row>
        <row r="714">
          <cell r="A714" t="str">
            <v>9796243792</v>
          </cell>
          <cell r="B714" t="str">
            <v>97962</v>
          </cell>
          <cell r="C714" t="str">
            <v>林 亮子</v>
          </cell>
          <cell r="D714">
            <v>43792</v>
          </cell>
          <cell r="E714" t="str">
            <v>●</v>
          </cell>
          <cell r="F714" t="str">
            <v/>
          </cell>
          <cell r="G714" t="str">
            <v/>
          </cell>
        </row>
        <row r="715">
          <cell r="A715" t="str">
            <v>9796243793</v>
          </cell>
          <cell r="B715" t="str">
            <v>97962</v>
          </cell>
          <cell r="C715" t="str">
            <v>林 亮子</v>
          </cell>
          <cell r="D715">
            <v>43793</v>
          </cell>
          <cell r="E715" t="str">
            <v>●</v>
          </cell>
          <cell r="F715" t="str">
            <v/>
          </cell>
          <cell r="G715" t="str">
            <v/>
          </cell>
        </row>
        <row r="716">
          <cell r="A716" t="str">
            <v>9796243794</v>
          </cell>
          <cell r="B716" t="str">
            <v>97962</v>
          </cell>
          <cell r="C716" t="str">
            <v>林 亮子</v>
          </cell>
          <cell r="D716">
            <v>43794</v>
          </cell>
          <cell r="E716" t="str">
            <v/>
          </cell>
          <cell r="F716" t="str">
            <v/>
          </cell>
          <cell r="G716" t="str">
            <v/>
          </cell>
        </row>
        <row r="717">
          <cell r="A717" t="str">
            <v>9796243795</v>
          </cell>
          <cell r="B717" t="str">
            <v>97962</v>
          </cell>
          <cell r="C717" t="str">
            <v>林 亮子</v>
          </cell>
          <cell r="D717">
            <v>43795</v>
          </cell>
          <cell r="E717" t="str">
            <v/>
          </cell>
          <cell r="F717" t="str">
            <v/>
          </cell>
          <cell r="G717" t="str">
            <v/>
          </cell>
        </row>
        <row r="718">
          <cell r="A718" t="str">
            <v>9796243796</v>
          </cell>
          <cell r="B718" t="str">
            <v>97962</v>
          </cell>
          <cell r="C718" t="str">
            <v>林 亮子</v>
          </cell>
          <cell r="D718">
            <v>43796</v>
          </cell>
          <cell r="E718" t="str">
            <v/>
          </cell>
          <cell r="F718" t="str">
            <v/>
          </cell>
          <cell r="G718" t="str">
            <v/>
          </cell>
        </row>
        <row r="719">
          <cell r="A719" t="str">
            <v>9796243797</v>
          </cell>
          <cell r="B719" t="str">
            <v>97962</v>
          </cell>
          <cell r="C719" t="str">
            <v>林 亮子</v>
          </cell>
          <cell r="D719">
            <v>43797</v>
          </cell>
          <cell r="E719" t="str">
            <v/>
          </cell>
          <cell r="F719" t="str">
            <v/>
          </cell>
          <cell r="G719" t="str">
            <v/>
          </cell>
        </row>
        <row r="720">
          <cell r="A720" t="str">
            <v>9796243798</v>
          </cell>
          <cell r="B720" t="str">
            <v>97962</v>
          </cell>
          <cell r="C720" t="str">
            <v>林 亮子</v>
          </cell>
          <cell r="D720">
            <v>43798</v>
          </cell>
          <cell r="E720" t="str">
            <v/>
          </cell>
          <cell r="F720" t="str">
            <v/>
          </cell>
          <cell r="G720" t="str">
            <v/>
          </cell>
        </row>
        <row r="721">
          <cell r="A721" t="str">
            <v>9796243799</v>
          </cell>
          <cell r="B721" t="str">
            <v>97962</v>
          </cell>
          <cell r="C721" t="str">
            <v>林 亮子</v>
          </cell>
          <cell r="D721">
            <v>43799</v>
          </cell>
          <cell r="E721" t="str">
            <v>○</v>
          </cell>
          <cell r="F721" t="str">
            <v/>
          </cell>
          <cell r="G721" t="str">
            <v/>
          </cell>
        </row>
        <row r="722">
          <cell r="A722" t="str">
            <v>9797443770</v>
          </cell>
          <cell r="B722" t="str">
            <v>97974</v>
          </cell>
          <cell r="C722" t="str">
            <v>吉田 汐里</v>
          </cell>
          <cell r="D722">
            <v>43770</v>
          </cell>
          <cell r="E722" t="str">
            <v>-</v>
          </cell>
          <cell r="F722" t="str">
            <v>育休</v>
          </cell>
          <cell r="G722">
            <v>25</v>
          </cell>
        </row>
        <row r="723">
          <cell r="A723" t="str">
            <v>9797443771</v>
          </cell>
          <cell r="B723" t="str">
            <v>97974</v>
          </cell>
          <cell r="C723" t="str">
            <v>吉田 汐里</v>
          </cell>
          <cell r="D723">
            <v>43771</v>
          </cell>
          <cell r="E723" t="str">
            <v>-</v>
          </cell>
          <cell r="F723" t="str">
            <v>育休</v>
          </cell>
          <cell r="G723" t="str">
            <v/>
          </cell>
        </row>
        <row r="724">
          <cell r="A724" t="str">
            <v>9797443772</v>
          </cell>
          <cell r="B724" t="str">
            <v>97974</v>
          </cell>
          <cell r="C724" t="str">
            <v>吉田 汐里</v>
          </cell>
          <cell r="D724">
            <v>43772</v>
          </cell>
          <cell r="E724" t="str">
            <v>-</v>
          </cell>
          <cell r="F724" t="str">
            <v>育休</v>
          </cell>
          <cell r="G724" t="str">
            <v/>
          </cell>
        </row>
        <row r="725">
          <cell r="A725" t="str">
            <v>9797443773</v>
          </cell>
          <cell r="B725" t="str">
            <v>97974</v>
          </cell>
          <cell r="C725" t="str">
            <v>吉田 汐里</v>
          </cell>
          <cell r="D725">
            <v>43773</v>
          </cell>
          <cell r="E725" t="str">
            <v>-</v>
          </cell>
          <cell r="F725" t="str">
            <v>育休</v>
          </cell>
          <cell r="G725" t="str">
            <v/>
          </cell>
        </row>
        <row r="726">
          <cell r="A726" t="str">
            <v>9797443774</v>
          </cell>
          <cell r="B726" t="str">
            <v>97974</v>
          </cell>
          <cell r="C726" t="str">
            <v>吉田 汐里</v>
          </cell>
          <cell r="D726">
            <v>43774</v>
          </cell>
          <cell r="E726" t="str">
            <v>-</v>
          </cell>
          <cell r="F726" t="str">
            <v>育休</v>
          </cell>
          <cell r="G726" t="str">
            <v/>
          </cell>
        </row>
        <row r="727">
          <cell r="A727" t="str">
            <v>9797443775</v>
          </cell>
          <cell r="B727" t="str">
            <v>97974</v>
          </cell>
          <cell r="C727" t="str">
            <v>吉田 汐里</v>
          </cell>
          <cell r="D727">
            <v>43775</v>
          </cell>
          <cell r="E727" t="str">
            <v>-</v>
          </cell>
          <cell r="F727" t="str">
            <v>育休</v>
          </cell>
          <cell r="G727" t="str">
            <v/>
          </cell>
        </row>
        <row r="728">
          <cell r="A728" t="str">
            <v>9797443776</v>
          </cell>
          <cell r="B728" t="str">
            <v>97974</v>
          </cell>
          <cell r="C728" t="str">
            <v>吉田 汐里</v>
          </cell>
          <cell r="D728">
            <v>43776</v>
          </cell>
          <cell r="E728" t="str">
            <v>-</v>
          </cell>
          <cell r="F728" t="str">
            <v>育休</v>
          </cell>
          <cell r="G728" t="str">
            <v/>
          </cell>
        </row>
        <row r="729">
          <cell r="A729" t="str">
            <v>9797443777</v>
          </cell>
          <cell r="B729" t="str">
            <v>97974</v>
          </cell>
          <cell r="C729" t="str">
            <v>吉田 汐里</v>
          </cell>
          <cell r="D729">
            <v>43777</v>
          </cell>
          <cell r="E729" t="str">
            <v>-</v>
          </cell>
          <cell r="F729" t="str">
            <v>育休</v>
          </cell>
          <cell r="G729" t="str">
            <v/>
          </cell>
        </row>
        <row r="730">
          <cell r="A730" t="str">
            <v>9797443778</v>
          </cell>
          <cell r="B730" t="str">
            <v>97974</v>
          </cell>
          <cell r="C730" t="str">
            <v>吉田 汐里</v>
          </cell>
          <cell r="D730">
            <v>43778</v>
          </cell>
          <cell r="E730" t="str">
            <v>-</v>
          </cell>
          <cell r="F730" t="str">
            <v>育休</v>
          </cell>
          <cell r="G730" t="str">
            <v/>
          </cell>
        </row>
        <row r="731">
          <cell r="A731" t="str">
            <v>9797443779</v>
          </cell>
          <cell r="B731" t="str">
            <v>97974</v>
          </cell>
          <cell r="C731" t="str">
            <v>吉田 汐里</v>
          </cell>
          <cell r="D731">
            <v>43779</v>
          </cell>
          <cell r="E731" t="str">
            <v>-</v>
          </cell>
          <cell r="F731" t="str">
            <v>育休</v>
          </cell>
          <cell r="G731" t="str">
            <v/>
          </cell>
        </row>
        <row r="732">
          <cell r="A732" t="str">
            <v>9797443780</v>
          </cell>
          <cell r="B732" t="str">
            <v>97974</v>
          </cell>
          <cell r="C732" t="str">
            <v>吉田 汐里</v>
          </cell>
          <cell r="D732">
            <v>43780</v>
          </cell>
          <cell r="E732" t="str">
            <v>-</v>
          </cell>
          <cell r="F732" t="str">
            <v>育休</v>
          </cell>
          <cell r="G732" t="str">
            <v/>
          </cell>
        </row>
        <row r="733">
          <cell r="A733" t="str">
            <v>9797443781</v>
          </cell>
          <cell r="B733" t="str">
            <v>97974</v>
          </cell>
          <cell r="C733" t="str">
            <v>吉田 汐里</v>
          </cell>
          <cell r="D733">
            <v>43781</v>
          </cell>
          <cell r="E733" t="str">
            <v>-</v>
          </cell>
          <cell r="F733" t="str">
            <v>育休</v>
          </cell>
          <cell r="G733" t="str">
            <v/>
          </cell>
        </row>
        <row r="734">
          <cell r="A734" t="str">
            <v>9797443782</v>
          </cell>
          <cell r="B734" t="str">
            <v>97974</v>
          </cell>
          <cell r="C734" t="str">
            <v>吉田 汐里</v>
          </cell>
          <cell r="D734">
            <v>43782</v>
          </cell>
          <cell r="E734" t="str">
            <v>-</v>
          </cell>
          <cell r="F734" t="str">
            <v>育休</v>
          </cell>
          <cell r="G734" t="str">
            <v/>
          </cell>
        </row>
        <row r="735">
          <cell r="A735" t="str">
            <v>9797443783</v>
          </cell>
          <cell r="B735" t="str">
            <v>97974</v>
          </cell>
          <cell r="C735" t="str">
            <v>吉田 汐里</v>
          </cell>
          <cell r="D735">
            <v>43783</v>
          </cell>
          <cell r="E735" t="str">
            <v>-</v>
          </cell>
          <cell r="F735" t="str">
            <v>育休</v>
          </cell>
          <cell r="G735" t="str">
            <v/>
          </cell>
        </row>
        <row r="736">
          <cell r="A736" t="str">
            <v>9797443784</v>
          </cell>
          <cell r="B736" t="str">
            <v>97974</v>
          </cell>
          <cell r="C736" t="str">
            <v>吉田 汐里</v>
          </cell>
          <cell r="D736">
            <v>43784</v>
          </cell>
          <cell r="E736" t="str">
            <v>-</v>
          </cell>
          <cell r="F736" t="str">
            <v>育休</v>
          </cell>
          <cell r="G736" t="str">
            <v/>
          </cell>
        </row>
        <row r="737">
          <cell r="A737" t="str">
            <v>9797443785</v>
          </cell>
          <cell r="B737" t="str">
            <v>97974</v>
          </cell>
          <cell r="C737" t="str">
            <v>吉田 汐里</v>
          </cell>
          <cell r="D737">
            <v>43785</v>
          </cell>
          <cell r="E737" t="str">
            <v>-</v>
          </cell>
          <cell r="F737" t="str">
            <v>育休</v>
          </cell>
          <cell r="G737" t="str">
            <v/>
          </cell>
        </row>
        <row r="738">
          <cell r="A738" t="str">
            <v>9797443786</v>
          </cell>
          <cell r="B738" t="str">
            <v>97974</v>
          </cell>
          <cell r="C738" t="str">
            <v>吉田 汐里</v>
          </cell>
          <cell r="D738">
            <v>43786</v>
          </cell>
          <cell r="E738" t="str">
            <v>-</v>
          </cell>
          <cell r="F738" t="str">
            <v>育休</v>
          </cell>
          <cell r="G738" t="str">
            <v/>
          </cell>
        </row>
        <row r="739">
          <cell r="A739" t="str">
            <v>9797443787</v>
          </cell>
          <cell r="B739" t="str">
            <v>97974</v>
          </cell>
          <cell r="C739" t="str">
            <v>吉田 汐里</v>
          </cell>
          <cell r="D739">
            <v>43787</v>
          </cell>
          <cell r="E739" t="str">
            <v>-</v>
          </cell>
          <cell r="F739" t="str">
            <v>育休</v>
          </cell>
          <cell r="G739" t="str">
            <v/>
          </cell>
        </row>
        <row r="740">
          <cell r="A740" t="str">
            <v>9797443788</v>
          </cell>
          <cell r="B740" t="str">
            <v>97974</v>
          </cell>
          <cell r="C740" t="str">
            <v>吉田 汐里</v>
          </cell>
          <cell r="D740">
            <v>43788</v>
          </cell>
          <cell r="E740" t="str">
            <v>-</v>
          </cell>
          <cell r="F740" t="str">
            <v>育休</v>
          </cell>
          <cell r="G740" t="str">
            <v/>
          </cell>
        </row>
        <row r="741">
          <cell r="A741" t="str">
            <v>9797443789</v>
          </cell>
          <cell r="B741" t="str">
            <v>97974</v>
          </cell>
          <cell r="C741" t="str">
            <v>吉田 汐里</v>
          </cell>
          <cell r="D741">
            <v>43789</v>
          </cell>
          <cell r="E741" t="str">
            <v>-</v>
          </cell>
          <cell r="F741" t="str">
            <v>育休</v>
          </cell>
          <cell r="G741" t="str">
            <v/>
          </cell>
        </row>
        <row r="742">
          <cell r="A742" t="str">
            <v>9797443790</v>
          </cell>
          <cell r="B742" t="str">
            <v>97974</v>
          </cell>
          <cell r="C742" t="str">
            <v>吉田 汐里</v>
          </cell>
          <cell r="D742">
            <v>43790</v>
          </cell>
          <cell r="E742" t="str">
            <v>-</v>
          </cell>
          <cell r="F742" t="str">
            <v>育休</v>
          </cell>
          <cell r="G742" t="str">
            <v/>
          </cell>
        </row>
        <row r="743">
          <cell r="A743" t="str">
            <v>9797443791</v>
          </cell>
          <cell r="B743" t="str">
            <v>97974</v>
          </cell>
          <cell r="C743" t="str">
            <v>吉田 汐里</v>
          </cell>
          <cell r="D743">
            <v>43791</v>
          </cell>
          <cell r="E743" t="str">
            <v>-</v>
          </cell>
          <cell r="F743" t="str">
            <v>育休</v>
          </cell>
          <cell r="G743" t="str">
            <v/>
          </cell>
        </row>
        <row r="744">
          <cell r="A744" t="str">
            <v>9797443792</v>
          </cell>
          <cell r="B744" t="str">
            <v>97974</v>
          </cell>
          <cell r="C744" t="str">
            <v>吉田 汐里</v>
          </cell>
          <cell r="D744">
            <v>43792</v>
          </cell>
          <cell r="E744" t="str">
            <v>-</v>
          </cell>
          <cell r="F744" t="str">
            <v>育休</v>
          </cell>
          <cell r="G744" t="str">
            <v/>
          </cell>
        </row>
        <row r="745">
          <cell r="A745" t="str">
            <v>9797443793</v>
          </cell>
          <cell r="B745" t="str">
            <v>97974</v>
          </cell>
          <cell r="C745" t="str">
            <v>吉田 汐里</v>
          </cell>
          <cell r="D745">
            <v>43793</v>
          </cell>
          <cell r="E745" t="str">
            <v>-</v>
          </cell>
          <cell r="F745" t="str">
            <v>育休</v>
          </cell>
          <cell r="G745" t="str">
            <v/>
          </cell>
        </row>
        <row r="746">
          <cell r="A746" t="str">
            <v>9797443794</v>
          </cell>
          <cell r="B746" t="str">
            <v>97974</v>
          </cell>
          <cell r="C746" t="str">
            <v>吉田 汐里</v>
          </cell>
          <cell r="D746">
            <v>43794</v>
          </cell>
          <cell r="E746" t="str">
            <v>-</v>
          </cell>
          <cell r="F746" t="str">
            <v>育休</v>
          </cell>
          <cell r="G746" t="str">
            <v/>
          </cell>
        </row>
        <row r="747">
          <cell r="A747" t="str">
            <v>9797443795</v>
          </cell>
          <cell r="B747" t="str">
            <v>97974</v>
          </cell>
          <cell r="C747" t="str">
            <v>吉田 汐里</v>
          </cell>
          <cell r="D747">
            <v>43795</v>
          </cell>
          <cell r="E747" t="str">
            <v>-</v>
          </cell>
          <cell r="F747" t="str">
            <v>育休</v>
          </cell>
          <cell r="G747" t="str">
            <v/>
          </cell>
        </row>
        <row r="748">
          <cell r="A748" t="str">
            <v>9797443796</v>
          </cell>
          <cell r="B748" t="str">
            <v>97974</v>
          </cell>
          <cell r="C748" t="str">
            <v>吉田 汐里</v>
          </cell>
          <cell r="D748">
            <v>43796</v>
          </cell>
          <cell r="E748" t="str">
            <v>-</v>
          </cell>
          <cell r="F748" t="str">
            <v>育休</v>
          </cell>
          <cell r="G748" t="str">
            <v/>
          </cell>
        </row>
        <row r="749">
          <cell r="A749" t="str">
            <v>9797443797</v>
          </cell>
          <cell r="B749" t="str">
            <v>97974</v>
          </cell>
          <cell r="C749" t="str">
            <v>吉田 汐里</v>
          </cell>
          <cell r="D749">
            <v>43797</v>
          </cell>
          <cell r="E749" t="str">
            <v>-</v>
          </cell>
          <cell r="F749" t="str">
            <v>育休</v>
          </cell>
          <cell r="G749" t="str">
            <v/>
          </cell>
        </row>
        <row r="750">
          <cell r="A750" t="str">
            <v>9797443798</v>
          </cell>
          <cell r="B750" t="str">
            <v>97974</v>
          </cell>
          <cell r="C750" t="str">
            <v>吉田 汐里</v>
          </cell>
          <cell r="D750">
            <v>43798</v>
          </cell>
          <cell r="E750" t="str">
            <v>-</v>
          </cell>
          <cell r="F750" t="str">
            <v>育休</v>
          </cell>
          <cell r="G750" t="str">
            <v/>
          </cell>
        </row>
        <row r="751">
          <cell r="A751" t="str">
            <v>9797443799</v>
          </cell>
          <cell r="B751" t="str">
            <v>97974</v>
          </cell>
          <cell r="C751" t="str">
            <v>吉田 汐里</v>
          </cell>
          <cell r="D751">
            <v>43799</v>
          </cell>
          <cell r="E751" t="str">
            <v>-</v>
          </cell>
          <cell r="F751" t="str">
            <v>育休</v>
          </cell>
          <cell r="G751" t="str">
            <v/>
          </cell>
        </row>
        <row r="752">
          <cell r="A752" t="str">
            <v>10381443770</v>
          </cell>
          <cell r="B752" t="str">
            <v>103814</v>
          </cell>
          <cell r="C752" t="str">
            <v>田村 能之</v>
          </cell>
          <cell r="D752">
            <v>43770</v>
          </cell>
          <cell r="E752" t="str">
            <v/>
          </cell>
          <cell r="F752" t="str">
            <v/>
          </cell>
          <cell r="G752">
            <v>26</v>
          </cell>
        </row>
        <row r="753">
          <cell r="A753" t="str">
            <v>10381443771</v>
          </cell>
          <cell r="B753" t="str">
            <v>103814</v>
          </cell>
          <cell r="C753" t="str">
            <v>田村 能之</v>
          </cell>
          <cell r="D753">
            <v>43771</v>
          </cell>
          <cell r="E753" t="str">
            <v>○</v>
          </cell>
          <cell r="F753" t="str">
            <v/>
          </cell>
          <cell r="G753" t="str">
            <v/>
          </cell>
        </row>
        <row r="754">
          <cell r="A754" t="str">
            <v>10381443772</v>
          </cell>
          <cell r="B754" t="str">
            <v>103814</v>
          </cell>
          <cell r="C754" t="str">
            <v>田村 能之</v>
          </cell>
          <cell r="D754">
            <v>43772</v>
          </cell>
          <cell r="E754" t="str">
            <v>●</v>
          </cell>
          <cell r="F754" t="str">
            <v/>
          </cell>
          <cell r="G754" t="str">
            <v/>
          </cell>
        </row>
        <row r="755">
          <cell r="A755" t="str">
            <v>10381443773</v>
          </cell>
          <cell r="B755" t="str">
            <v>103814</v>
          </cell>
          <cell r="C755" t="str">
            <v>田村 能之</v>
          </cell>
          <cell r="D755">
            <v>43773</v>
          </cell>
          <cell r="E755" t="str">
            <v/>
          </cell>
          <cell r="F755" t="str">
            <v/>
          </cell>
          <cell r="G755" t="str">
            <v/>
          </cell>
        </row>
        <row r="756">
          <cell r="A756" t="str">
            <v>10381443774</v>
          </cell>
          <cell r="B756" t="str">
            <v>103814</v>
          </cell>
          <cell r="C756" t="str">
            <v>田村 能之</v>
          </cell>
          <cell r="D756">
            <v>43774</v>
          </cell>
          <cell r="E756" t="str">
            <v/>
          </cell>
          <cell r="F756" t="str">
            <v/>
          </cell>
          <cell r="G756" t="str">
            <v/>
          </cell>
        </row>
        <row r="757">
          <cell r="A757" t="str">
            <v>10381443775</v>
          </cell>
          <cell r="B757" t="str">
            <v>103814</v>
          </cell>
          <cell r="C757" t="str">
            <v>田村 能之</v>
          </cell>
          <cell r="D757">
            <v>43775</v>
          </cell>
          <cell r="E757" t="str">
            <v>●</v>
          </cell>
          <cell r="F757" t="str">
            <v/>
          </cell>
          <cell r="G757" t="str">
            <v/>
          </cell>
        </row>
        <row r="758">
          <cell r="A758" t="str">
            <v>10381443776</v>
          </cell>
          <cell r="B758" t="str">
            <v>103814</v>
          </cell>
          <cell r="C758" t="str">
            <v>田村 能之</v>
          </cell>
          <cell r="D758">
            <v>43776</v>
          </cell>
          <cell r="E758" t="str">
            <v/>
          </cell>
          <cell r="F758" t="str">
            <v/>
          </cell>
          <cell r="G758" t="str">
            <v/>
          </cell>
        </row>
        <row r="759">
          <cell r="A759" t="str">
            <v>10381443777</v>
          </cell>
          <cell r="B759" t="str">
            <v>103814</v>
          </cell>
          <cell r="C759" t="str">
            <v>田村 能之</v>
          </cell>
          <cell r="D759">
            <v>43777</v>
          </cell>
          <cell r="E759" t="str">
            <v/>
          </cell>
          <cell r="F759" t="str">
            <v/>
          </cell>
          <cell r="G759" t="str">
            <v/>
          </cell>
        </row>
        <row r="760">
          <cell r="A760" t="str">
            <v>10381443778</v>
          </cell>
          <cell r="B760" t="str">
            <v>103814</v>
          </cell>
          <cell r="C760" t="str">
            <v>田村 能之</v>
          </cell>
          <cell r="D760">
            <v>43778</v>
          </cell>
          <cell r="E760" t="str">
            <v>／</v>
          </cell>
          <cell r="F760" t="str">
            <v/>
          </cell>
          <cell r="G760" t="str">
            <v/>
          </cell>
        </row>
        <row r="761">
          <cell r="A761" t="str">
            <v>10381443779</v>
          </cell>
          <cell r="B761" t="str">
            <v>103814</v>
          </cell>
          <cell r="C761" t="str">
            <v>田村 能之</v>
          </cell>
          <cell r="D761">
            <v>43779</v>
          </cell>
          <cell r="E761" t="str">
            <v>●</v>
          </cell>
          <cell r="F761" t="str">
            <v/>
          </cell>
          <cell r="G761" t="str">
            <v/>
          </cell>
        </row>
        <row r="762">
          <cell r="A762" t="str">
            <v>10381443780</v>
          </cell>
          <cell r="B762" t="str">
            <v>103814</v>
          </cell>
          <cell r="C762" t="str">
            <v>田村 能之</v>
          </cell>
          <cell r="D762">
            <v>43780</v>
          </cell>
          <cell r="E762" t="str">
            <v>当</v>
          </cell>
          <cell r="F762" t="str">
            <v/>
          </cell>
          <cell r="G762" t="str">
            <v/>
          </cell>
        </row>
        <row r="763">
          <cell r="A763" t="str">
            <v>10381443781</v>
          </cell>
          <cell r="B763" t="str">
            <v>103814</v>
          </cell>
          <cell r="C763" t="str">
            <v>田村 能之</v>
          </cell>
          <cell r="D763">
            <v>43781</v>
          </cell>
          <cell r="E763" t="str">
            <v>明</v>
          </cell>
          <cell r="F763" t="str">
            <v/>
          </cell>
          <cell r="G763" t="str">
            <v/>
          </cell>
        </row>
        <row r="764">
          <cell r="A764" t="str">
            <v>10381443782</v>
          </cell>
          <cell r="B764" t="str">
            <v>103814</v>
          </cell>
          <cell r="C764" t="str">
            <v>田村 能之</v>
          </cell>
          <cell r="D764">
            <v>43782</v>
          </cell>
          <cell r="E764" t="str">
            <v/>
          </cell>
          <cell r="F764" t="str">
            <v/>
          </cell>
          <cell r="G764" t="str">
            <v/>
          </cell>
        </row>
        <row r="765">
          <cell r="A765" t="str">
            <v>10381443783</v>
          </cell>
          <cell r="B765" t="str">
            <v>103814</v>
          </cell>
          <cell r="C765" t="str">
            <v>田村 能之</v>
          </cell>
          <cell r="D765">
            <v>43783</v>
          </cell>
          <cell r="E765" t="str">
            <v/>
          </cell>
          <cell r="F765" t="str">
            <v>指PM</v>
          </cell>
          <cell r="G765" t="str">
            <v/>
          </cell>
        </row>
        <row r="766">
          <cell r="A766" t="str">
            <v>10381443784</v>
          </cell>
          <cell r="B766" t="str">
            <v>103814</v>
          </cell>
          <cell r="C766" t="str">
            <v>田村 能之</v>
          </cell>
          <cell r="D766">
            <v>43784</v>
          </cell>
          <cell r="E766" t="str">
            <v/>
          </cell>
          <cell r="F766" t="str">
            <v/>
          </cell>
          <cell r="G766" t="str">
            <v/>
          </cell>
        </row>
        <row r="767">
          <cell r="A767" t="str">
            <v>10381443785</v>
          </cell>
          <cell r="B767" t="str">
            <v>103814</v>
          </cell>
          <cell r="C767" t="str">
            <v>田村 能之</v>
          </cell>
          <cell r="D767">
            <v>43785</v>
          </cell>
          <cell r="E767" t="str">
            <v>○</v>
          </cell>
          <cell r="F767" t="str">
            <v/>
          </cell>
          <cell r="G767" t="str">
            <v/>
          </cell>
        </row>
        <row r="768">
          <cell r="A768" t="str">
            <v>10381443786</v>
          </cell>
          <cell r="B768" t="str">
            <v>103814</v>
          </cell>
          <cell r="C768" t="str">
            <v>田村 能之</v>
          </cell>
          <cell r="D768">
            <v>43786</v>
          </cell>
          <cell r="E768" t="str">
            <v>●</v>
          </cell>
          <cell r="F768" t="str">
            <v/>
          </cell>
          <cell r="G768" t="str">
            <v/>
          </cell>
        </row>
        <row r="769">
          <cell r="A769" t="str">
            <v>10381443787</v>
          </cell>
          <cell r="B769" t="str">
            <v>103814</v>
          </cell>
          <cell r="C769" t="str">
            <v>田村 能之</v>
          </cell>
          <cell r="D769">
            <v>43787</v>
          </cell>
          <cell r="E769" t="str">
            <v/>
          </cell>
          <cell r="F769" t="str">
            <v/>
          </cell>
          <cell r="G769" t="str">
            <v/>
          </cell>
        </row>
        <row r="770">
          <cell r="A770" t="str">
            <v>10381443788</v>
          </cell>
          <cell r="B770" t="str">
            <v>103814</v>
          </cell>
          <cell r="C770" t="str">
            <v>田村 能之</v>
          </cell>
          <cell r="D770">
            <v>43788</v>
          </cell>
          <cell r="E770" t="str">
            <v/>
          </cell>
          <cell r="F770" t="str">
            <v/>
          </cell>
          <cell r="G770" t="str">
            <v/>
          </cell>
        </row>
        <row r="771">
          <cell r="A771" t="str">
            <v>10381443789</v>
          </cell>
          <cell r="B771" t="str">
            <v>103814</v>
          </cell>
          <cell r="C771" t="str">
            <v>田村 能之</v>
          </cell>
          <cell r="D771">
            <v>43789</v>
          </cell>
          <cell r="E771" t="str">
            <v/>
          </cell>
          <cell r="F771" t="str">
            <v/>
          </cell>
          <cell r="G771" t="str">
            <v/>
          </cell>
        </row>
        <row r="772">
          <cell r="A772" t="str">
            <v>10381443790</v>
          </cell>
          <cell r="B772" t="str">
            <v>103814</v>
          </cell>
          <cell r="C772" t="str">
            <v>田村 能之</v>
          </cell>
          <cell r="D772">
            <v>43790</v>
          </cell>
          <cell r="E772" t="str">
            <v/>
          </cell>
          <cell r="F772" t="str">
            <v/>
          </cell>
          <cell r="G772" t="str">
            <v/>
          </cell>
        </row>
        <row r="773">
          <cell r="A773" t="str">
            <v>10381443791</v>
          </cell>
          <cell r="B773" t="str">
            <v>103814</v>
          </cell>
          <cell r="C773" t="str">
            <v>田村 能之</v>
          </cell>
          <cell r="D773">
            <v>43791</v>
          </cell>
          <cell r="E773" t="str">
            <v/>
          </cell>
          <cell r="F773" t="str">
            <v/>
          </cell>
          <cell r="G773" t="str">
            <v/>
          </cell>
        </row>
        <row r="774">
          <cell r="A774" t="str">
            <v>10381443792</v>
          </cell>
          <cell r="B774" t="str">
            <v>103814</v>
          </cell>
          <cell r="C774" t="str">
            <v>田村 能之</v>
          </cell>
          <cell r="D774">
            <v>43792</v>
          </cell>
          <cell r="E774" t="str">
            <v>●</v>
          </cell>
          <cell r="F774" t="str">
            <v/>
          </cell>
          <cell r="G774" t="str">
            <v/>
          </cell>
        </row>
        <row r="775">
          <cell r="A775" t="str">
            <v>10381443793</v>
          </cell>
          <cell r="B775" t="str">
            <v>103814</v>
          </cell>
          <cell r="C775" t="str">
            <v>田村 能之</v>
          </cell>
          <cell r="D775">
            <v>43793</v>
          </cell>
          <cell r="E775" t="str">
            <v>当</v>
          </cell>
          <cell r="F775" t="str">
            <v/>
          </cell>
          <cell r="G775" t="str">
            <v/>
          </cell>
        </row>
        <row r="776">
          <cell r="A776" t="str">
            <v>10381443794</v>
          </cell>
          <cell r="B776" t="str">
            <v>103814</v>
          </cell>
          <cell r="C776" t="str">
            <v>田村 能之</v>
          </cell>
          <cell r="D776">
            <v>43794</v>
          </cell>
          <cell r="E776" t="str">
            <v>明</v>
          </cell>
          <cell r="F776" t="str">
            <v/>
          </cell>
          <cell r="G776" t="str">
            <v/>
          </cell>
        </row>
        <row r="777">
          <cell r="A777" t="str">
            <v>10381443795</v>
          </cell>
          <cell r="B777" t="str">
            <v>103814</v>
          </cell>
          <cell r="C777" t="str">
            <v>田村 能之</v>
          </cell>
          <cell r="D777">
            <v>43795</v>
          </cell>
          <cell r="E777" t="str">
            <v/>
          </cell>
          <cell r="F777" t="str">
            <v/>
          </cell>
          <cell r="G777" t="str">
            <v/>
          </cell>
        </row>
        <row r="778">
          <cell r="A778" t="str">
            <v>10381443796</v>
          </cell>
          <cell r="B778" t="str">
            <v>103814</v>
          </cell>
          <cell r="C778" t="str">
            <v>田村 能之</v>
          </cell>
          <cell r="D778">
            <v>43796</v>
          </cell>
          <cell r="E778" t="str">
            <v/>
          </cell>
          <cell r="F778" t="str">
            <v/>
          </cell>
          <cell r="G778" t="str">
            <v/>
          </cell>
        </row>
        <row r="779">
          <cell r="A779" t="str">
            <v>10381443797</v>
          </cell>
          <cell r="B779" t="str">
            <v>103814</v>
          </cell>
          <cell r="C779" t="str">
            <v>田村 能之</v>
          </cell>
          <cell r="D779">
            <v>43797</v>
          </cell>
          <cell r="E779" t="str">
            <v/>
          </cell>
          <cell r="F779" t="str">
            <v/>
          </cell>
          <cell r="G779" t="str">
            <v/>
          </cell>
        </row>
        <row r="780">
          <cell r="A780" t="str">
            <v>10381443798</v>
          </cell>
          <cell r="B780" t="str">
            <v>103814</v>
          </cell>
          <cell r="C780" t="str">
            <v>田村 能之</v>
          </cell>
          <cell r="D780">
            <v>43798</v>
          </cell>
          <cell r="E780" t="str">
            <v>●</v>
          </cell>
          <cell r="F780" t="str">
            <v/>
          </cell>
          <cell r="G780" t="str">
            <v/>
          </cell>
        </row>
        <row r="781">
          <cell r="A781" t="str">
            <v>10381443799</v>
          </cell>
          <cell r="B781" t="str">
            <v>103814</v>
          </cell>
          <cell r="C781" t="str">
            <v>田村 能之</v>
          </cell>
          <cell r="D781">
            <v>43799</v>
          </cell>
          <cell r="E781" t="str">
            <v>／</v>
          </cell>
          <cell r="F781" t="str">
            <v/>
          </cell>
          <cell r="G781" t="str">
            <v/>
          </cell>
        </row>
        <row r="782">
          <cell r="A782" t="str">
            <v>10927243770</v>
          </cell>
          <cell r="B782" t="str">
            <v>109272</v>
          </cell>
          <cell r="C782" t="str">
            <v>齊藤 久紘</v>
          </cell>
          <cell r="D782">
            <v>43770</v>
          </cell>
          <cell r="E782" t="str">
            <v/>
          </cell>
          <cell r="F782" t="str">
            <v/>
          </cell>
          <cell r="G782">
            <v>27</v>
          </cell>
        </row>
        <row r="783">
          <cell r="A783" t="str">
            <v>10927243771</v>
          </cell>
          <cell r="B783" t="str">
            <v>109272</v>
          </cell>
          <cell r="C783" t="str">
            <v>齊藤 久紘</v>
          </cell>
          <cell r="D783">
            <v>43771</v>
          </cell>
          <cell r="E783" t="str">
            <v>／</v>
          </cell>
          <cell r="F783" t="str">
            <v/>
          </cell>
          <cell r="G783" t="str">
            <v/>
          </cell>
        </row>
        <row r="784">
          <cell r="A784" t="str">
            <v>10927243772</v>
          </cell>
          <cell r="B784" t="str">
            <v>109272</v>
          </cell>
          <cell r="C784" t="str">
            <v>齊藤 久紘</v>
          </cell>
          <cell r="D784">
            <v>43772</v>
          </cell>
          <cell r="E784" t="str">
            <v>●</v>
          </cell>
          <cell r="F784" t="str">
            <v/>
          </cell>
          <cell r="G784" t="str">
            <v/>
          </cell>
        </row>
        <row r="785">
          <cell r="A785" t="str">
            <v>10927243773</v>
          </cell>
          <cell r="B785" t="str">
            <v>109272</v>
          </cell>
          <cell r="C785" t="str">
            <v>齊藤 久紘</v>
          </cell>
          <cell r="D785">
            <v>43773</v>
          </cell>
          <cell r="E785" t="str">
            <v>●</v>
          </cell>
          <cell r="F785" t="str">
            <v/>
          </cell>
          <cell r="G785" t="str">
            <v/>
          </cell>
        </row>
        <row r="786">
          <cell r="A786" t="str">
            <v>10927243774</v>
          </cell>
          <cell r="B786" t="str">
            <v>109272</v>
          </cell>
          <cell r="C786" t="str">
            <v>齊藤 久紘</v>
          </cell>
          <cell r="D786">
            <v>43774</v>
          </cell>
          <cell r="E786" t="str">
            <v/>
          </cell>
          <cell r="F786" t="str">
            <v/>
          </cell>
          <cell r="G786" t="str">
            <v/>
          </cell>
        </row>
        <row r="787">
          <cell r="A787" t="str">
            <v>10927243775</v>
          </cell>
          <cell r="B787" t="str">
            <v>109272</v>
          </cell>
          <cell r="C787" t="str">
            <v>齊藤 久紘</v>
          </cell>
          <cell r="D787">
            <v>43775</v>
          </cell>
          <cell r="E787" t="str">
            <v/>
          </cell>
          <cell r="F787" t="str">
            <v/>
          </cell>
          <cell r="G787" t="str">
            <v/>
          </cell>
        </row>
        <row r="788">
          <cell r="A788" t="str">
            <v>10927243776</v>
          </cell>
          <cell r="B788" t="str">
            <v>109272</v>
          </cell>
          <cell r="C788" t="str">
            <v>齊藤 久紘</v>
          </cell>
          <cell r="D788">
            <v>43776</v>
          </cell>
          <cell r="E788" t="str">
            <v/>
          </cell>
          <cell r="F788" t="str">
            <v/>
          </cell>
          <cell r="G788" t="str">
            <v/>
          </cell>
        </row>
        <row r="789">
          <cell r="A789" t="str">
            <v>10927243777</v>
          </cell>
          <cell r="B789" t="str">
            <v>109272</v>
          </cell>
          <cell r="C789" t="str">
            <v>齊藤 久紘</v>
          </cell>
          <cell r="D789">
            <v>43777</v>
          </cell>
          <cell r="E789" t="str">
            <v/>
          </cell>
          <cell r="F789" t="str">
            <v/>
          </cell>
          <cell r="G789" t="str">
            <v/>
          </cell>
        </row>
        <row r="790">
          <cell r="A790" t="str">
            <v>10927243778</v>
          </cell>
          <cell r="B790" t="str">
            <v>109272</v>
          </cell>
          <cell r="C790" t="str">
            <v>齊藤 久紘</v>
          </cell>
          <cell r="D790">
            <v>43778</v>
          </cell>
          <cell r="E790" t="str">
            <v>○</v>
          </cell>
          <cell r="F790" t="str">
            <v/>
          </cell>
          <cell r="G790" t="str">
            <v/>
          </cell>
        </row>
        <row r="791">
          <cell r="A791" t="str">
            <v>10927243779</v>
          </cell>
          <cell r="B791" t="str">
            <v>109272</v>
          </cell>
          <cell r="C791" t="str">
            <v>齊藤 久紘</v>
          </cell>
          <cell r="D791">
            <v>43779</v>
          </cell>
          <cell r="E791" t="str">
            <v>●</v>
          </cell>
          <cell r="F791" t="str">
            <v/>
          </cell>
          <cell r="G791" t="str">
            <v/>
          </cell>
        </row>
        <row r="792">
          <cell r="A792" t="str">
            <v>10927243780</v>
          </cell>
          <cell r="B792" t="str">
            <v>109272</v>
          </cell>
          <cell r="C792" t="str">
            <v>齊藤 久紘</v>
          </cell>
          <cell r="D792">
            <v>43780</v>
          </cell>
          <cell r="E792" t="str">
            <v/>
          </cell>
          <cell r="F792" t="str">
            <v/>
          </cell>
          <cell r="G792" t="str">
            <v/>
          </cell>
        </row>
        <row r="793">
          <cell r="A793" t="str">
            <v>10927243781</v>
          </cell>
          <cell r="B793" t="str">
            <v>109272</v>
          </cell>
          <cell r="C793" t="str">
            <v>齊藤 久紘</v>
          </cell>
          <cell r="D793">
            <v>43781</v>
          </cell>
          <cell r="E793" t="str">
            <v/>
          </cell>
          <cell r="F793" t="str">
            <v/>
          </cell>
          <cell r="G793" t="str">
            <v/>
          </cell>
        </row>
        <row r="794">
          <cell r="A794" t="str">
            <v>10927243782</v>
          </cell>
          <cell r="B794" t="str">
            <v>109272</v>
          </cell>
          <cell r="C794" t="str">
            <v>齊藤 久紘</v>
          </cell>
          <cell r="D794">
            <v>43782</v>
          </cell>
          <cell r="E794" t="str">
            <v/>
          </cell>
          <cell r="F794" t="str">
            <v>年休</v>
          </cell>
          <cell r="G794" t="str">
            <v/>
          </cell>
        </row>
        <row r="795">
          <cell r="A795" t="str">
            <v>10927243783</v>
          </cell>
          <cell r="B795" t="str">
            <v>109272</v>
          </cell>
          <cell r="C795" t="str">
            <v>齊藤 久紘</v>
          </cell>
          <cell r="D795">
            <v>43783</v>
          </cell>
          <cell r="E795" t="str">
            <v/>
          </cell>
          <cell r="F795" t="str">
            <v/>
          </cell>
          <cell r="G795" t="str">
            <v/>
          </cell>
        </row>
        <row r="796">
          <cell r="A796" t="str">
            <v>10927243784</v>
          </cell>
          <cell r="B796" t="str">
            <v>109272</v>
          </cell>
          <cell r="C796" t="str">
            <v>齊藤 久紘</v>
          </cell>
          <cell r="D796">
            <v>43784</v>
          </cell>
          <cell r="E796" t="str">
            <v/>
          </cell>
          <cell r="F796" t="str">
            <v/>
          </cell>
          <cell r="G796" t="str">
            <v/>
          </cell>
        </row>
        <row r="797">
          <cell r="A797" t="str">
            <v>10927243785</v>
          </cell>
          <cell r="B797" t="str">
            <v>109272</v>
          </cell>
          <cell r="C797" t="str">
            <v>齊藤 久紘</v>
          </cell>
          <cell r="D797">
            <v>43785</v>
          </cell>
          <cell r="E797" t="str">
            <v>／</v>
          </cell>
          <cell r="F797" t="str">
            <v/>
          </cell>
          <cell r="G797" t="str">
            <v/>
          </cell>
        </row>
        <row r="798">
          <cell r="A798" t="str">
            <v>10927243786</v>
          </cell>
          <cell r="B798" t="str">
            <v>109272</v>
          </cell>
          <cell r="C798" t="str">
            <v>齊藤 久紘</v>
          </cell>
          <cell r="D798">
            <v>43786</v>
          </cell>
          <cell r="E798" t="str">
            <v>●</v>
          </cell>
          <cell r="F798" t="str">
            <v/>
          </cell>
          <cell r="G798" t="str">
            <v/>
          </cell>
        </row>
        <row r="799">
          <cell r="A799" t="str">
            <v>10927243787</v>
          </cell>
          <cell r="B799" t="str">
            <v>109272</v>
          </cell>
          <cell r="C799" t="str">
            <v>齊藤 久紘</v>
          </cell>
          <cell r="D799">
            <v>43787</v>
          </cell>
          <cell r="E799" t="str">
            <v>当</v>
          </cell>
          <cell r="F799" t="str">
            <v/>
          </cell>
          <cell r="G799" t="str">
            <v/>
          </cell>
        </row>
        <row r="800">
          <cell r="A800" t="str">
            <v>10927243788</v>
          </cell>
          <cell r="B800" t="str">
            <v>109272</v>
          </cell>
          <cell r="C800" t="str">
            <v>齊藤 久紘</v>
          </cell>
          <cell r="D800">
            <v>43788</v>
          </cell>
          <cell r="E800" t="str">
            <v>明</v>
          </cell>
          <cell r="F800" t="str">
            <v/>
          </cell>
          <cell r="G800" t="str">
            <v/>
          </cell>
        </row>
        <row r="801">
          <cell r="A801" t="str">
            <v>10927243789</v>
          </cell>
          <cell r="B801" t="str">
            <v>109272</v>
          </cell>
          <cell r="C801" t="str">
            <v>齊藤 久紘</v>
          </cell>
          <cell r="D801">
            <v>43789</v>
          </cell>
          <cell r="E801" t="str">
            <v/>
          </cell>
          <cell r="F801" t="str">
            <v/>
          </cell>
          <cell r="G801" t="str">
            <v/>
          </cell>
        </row>
        <row r="802">
          <cell r="A802" t="str">
            <v>10927243790</v>
          </cell>
          <cell r="B802" t="str">
            <v>109272</v>
          </cell>
          <cell r="C802" t="str">
            <v>齊藤 久紘</v>
          </cell>
          <cell r="D802">
            <v>43790</v>
          </cell>
          <cell r="E802" t="str">
            <v/>
          </cell>
          <cell r="F802" t="str">
            <v/>
          </cell>
          <cell r="G802" t="str">
            <v/>
          </cell>
        </row>
        <row r="803">
          <cell r="A803" t="str">
            <v>10927243791</v>
          </cell>
          <cell r="B803" t="str">
            <v>109272</v>
          </cell>
          <cell r="C803" t="str">
            <v>齊藤 久紘</v>
          </cell>
          <cell r="D803">
            <v>43791</v>
          </cell>
          <cell r="E803" t="str">
            <v/>
          </cell>
          <cell r="F803" t="str">
            <v/>
          </cell>
          <cell r="G803" t="str">
            <v/>
          </cell>
        </row>
        <row r="804">
          <cell r="A804" t="str">
            <v>10927243792</v>
          </cell>
          <cell r="B804" t="str">
            <v>109272</v>
          </cell>
          <cell r="C804" t="str">
            <v>齊藤 久紘</v>
          </cell>
          <cell r="D804">
            <v>43792</v>
          </cell>
          <cell r="E804" t="str">
            <v>●</v>
          </cell>
          <cell r="F804" t="str">
            <v/>
          </cell>
          <cell r="G804" t="str">
            <v/>
          </cell>
        </row>
        <row r="805">
          <cell r="A805" t="str">
            <v>10927243793</v>
          </cell>
          <cell r="B805" t="str">
            <v>109272</v>
          </cell>
          <cell r="C805" t="str">
            <v>齊藤 久紘</v>
          </cell>
          <cell r="D805">
            <v>43793</v>
          </cell>
          <cell r="E805" t="str">
            <v>当</v>
          </cell>
          <cell r="F805" t="str">
            <v/>
          </cell>
          <cell r="G805" t="str">
            <v/>
          </cell>
        </row>
        <row r="806">
          <cell r="A806" t="str">
            <v>10927243794</v>
          </cell>
          <cell r="B806" t="str">
            <v>109272</v>
          </cell>
          <cell r="C806" t="str">
            <v>齊藤 久紘</v>
          </cell>
          <cell r="D806">
            <v>43794</v>
          </cell>
          <cell r="E806" t="str">
            <v>明</v>
          </cell>
          <cell r="F806" t="str">
            <v/>
          </cell>
          <cell r="G806" t="str">
            <v/>
          </cell>
        </row>
        <row r="807">
          <cell r="A807" t="str">
            <v>10927243795</v>
          </cell>
          <cell r="B807" t="str">
            <v>109272</v>
          </cell>
          <cell r="C807" t="str">
            <v>齊藤 久紘</v>
          </cell>
          <cell r="D807">
            <v>43795</v>
          </cell>
          <cell r="E807" t="str">
            <v/>
          </cell>
          <cell r="F807" t="str">
            <v/>
          </cell>
          <cell r="G807" t="str">
            <v/>
          </cell>
        </row>
        <row r="808">
          <cell r="A808" t="str">
            <v>10927243796</v>
          </cell>
          <cell r="B808" t="str">
            <v>109272</v>
          </cell>
          <cell r="C808" t="str">
            <v>齊藤 久紘</v>
          </cell>
          <cell r="D808">
            <v>43796</v>
          </cell>
          <cell r="E808" t="str">
            <v/>
          </cell>
          <cell r="F808" t="str">
            <v/>
          </cell>
          <cell r="G808" t="str">
            <v/>
          </cell>
        </row>
        <row r="809">
          <cell r="A809" t="str">
            <v>10927243797</v>
          </cell>
          <cell r="B809" t="str">
            <v>109272</v>
          </cell>
          <cell r="C809" t="str">
            <v>齊藤 久紘</v>
          </cell>
          <cell r="D809">
            <v>43797</v>
          </cell>
          <cell r="E809" t="str">
            <v/>
          </cell>
          <cell r="F809" t="str">
            <v/>
          </cell>
          <cell r="G809" t="str">
            <v/>
          </cell>
        </row>
        <row r="810">
          <cell r="A810" t="str">
            <v>10927243798</v>
          </cell>
          <cell r="B810" t="str">
            <v>109272</v>
          </cell>
          <cell r="C810" t="str">
            <v>齊藤 久紘</v>
          </cell>
          <cell r="D810">
            <v>43798</v>
          </cell>
          <cell r="E810" t="str">
            <v>●</v>
          </cell>
          <cell r="F810" t="str">
            <v/>
          </cell>
          <cell r="G810" t="str">
            <v/>
          </cell>
        </row>
        <row r="811">
          <cell r="A811" t="str">
            <v>10927243799</v>
          </cell>
          <cell r="B811" t="str">
            <v>109272</v>
          </cell>
          <cell r="C811" t="str">
            <v>齊藤 久紘</v>
          </cell>
          <cell r="D811">
            <v>43799</v>
          </cell>
          <cell r="E811" t="str">
            <v>／</v>
          </cell>
          <cell r="F811" t="str">
            <v/>
          </cell>
          <cell r="G811" t="str">
            <v/>
          </cell>
        </row>
        <row r="812">
          <cell r="A812" t="str">
            <v>10999743770</v>
          </cell>
          <cell r="B812" t="str">
            <v>109997</v>
          </cell>
          <cell r="C812" t="str">
            <v>庵 緋沙子</v>
          </cell>
          <cell r="D812">
            <v>43770</v>
          </cell>
          <cell r="E812" t="str">
            <v/>
          </cell>
          <cell r="F812" t="str">
            <v/>
          </cell>
          <cell r="G812">
            <v>28</v>
          </cell>
        </row>
        <row r="813">
          <cell r="A813" t="str">
            <v>10999743771</v>
          </cell>
          <cell r="B813" t="str">
            <v>109997</v>
          </cell>
          <cell r="C813" t="str">
            <v>庵 緋沙子</v>
          </cell>
          <cell r="D813">
            <v>43771</v>
          </cell>
          <cell r="E813" t="str">
            <v>当</v>
          </cell>
          <cell r="F813" t="str">
            <v/>
          </cell>
          <cell r="G813" t="str">
            <v/>
          </cell>
        </row>
        <row r="814">
          <cell r="A814" t="str">
            <v>10999743772</v>
          </cell>
          <cell r="B814" t="str">
            <v>109997</v>
          </cell>
          <cell r="C814" t="str">
            <v>庵 緋沙子</v>
          </cell>
          <cell r="D814">
            <v>43772</v>
          </cell>
          <cell r="E814" t="str">
            <v>明</v>
          </cell>
          <cell r="F814" t="str">
            <v/>
          </cell>
          <cell r="G814" t="str">
            <v/>
          </cell>
        </row>
        <row r="815">
          <cell r="A815" t="str">
            <v>10999743773</v>
          </cell>
          <cell r="B815" t="str">
            <v>109997</v>
          </cell>
          <cell r="C815" t="str">
            <v>庵 緋沙子</v>
          </cell>
          <cell r="D815">
            <v>43773</v>
          </cell>
          <cell r="E815" t="str">
            <v>●</v>
          </cell>
          <cell r="F815" t="str">
            <v/>
          </cell>
          <cell r="G815" t="str">
            <v/>
          </cell>
        </row>
        <row r="816">
          <cell r="A816" t="str">
            <v>10999743774</v>
          </cell>
          <cell r="B816" t="str">
            <v>109997</v>
          </cell>
          <cell r="C816" t="str">
            <v>庵 緋沙子</v>
          </cell>
          <cell r="D816">
            <v>43774</v>
          </cell>
          <cell r="E816" t="str">
            <v/>
          </cell>
          <cell r="F816" t="str">
            <v/>
          </cell>
          <cell r="G816" t="str">
            <v/>
          </cell>
        </row>
        <row r="817">
          <cell r="A817" t="str">
            <v>10999743775</v>
          </cell>
          <cell r="B817" t="str">
            <v>109997</v>
          </cell>
          <cell r="C817" t="str">
            <v>庵 緋沙子</v>
          </cell>
          <cell r="D817">
            <v>43775</v>
          </cell>
          <cell r="E817" t="str">
            <v>●</v>
          </cell>
          <cell r="F817" t="str">
            <v/>
          </cell>
          <cell r="G817" t="str">
            <v/>
          </cell>
        </row>
        <row r="818">
          <cell r="A818" t="str">
            <v>10999743776</v>
          </cell>
          <cell r="B818" t="str">
            <v>109997</v>
          </cell>
          <cell r="C818" t="str">
            <v>庵 緋沙子</v>
          </cell>
          <cell r="D818">
            <v>43776</v>
          </cell>
          <cell r="E818" t="str">
            <v/>
          </cell>
          <cell r="F818" t="str">
            <v/>
          </cell>
          <cell r="G818" t="str">
            <v/>
          </cell>
        </row>
        <row r="819">
          <cell r="A819" t="str">
            <v>10999743777</v>
          </cell>
          <cell r="B819" t="str">
            <v>109997</v>
          </cell>
          <cell r="C819" t="str">
            <v>庵 緋沙子</v>
          </cell>
          <cell r="D819">
            <v>43777</v>
          </cell>
          <cell r="E819" t="str">
            <v/>
          </cell>
          <cell r="F819" t="str">
            <v/>
          </cell>
          <cell r="G819" t="str">
            <v/>
          </cell>
        </row>
        <row r="820">
          <cell r="A820" t="str">
            <v>10999743778</v>
          </cell>
          <cell r="B820" t="str">
            <v>109997</v>
          </cell>
          <cell r="C820" t="str">
            <v>庵 緋沙子</v>
          </cell>
          <cell r="D820">
            <v>43778</v>
          </cell>
          <cell r="E820" t="str">
            <v>○</v>
          </cell>
          <cell r="F820" t="str">
            <v/>
          </cell>
          <cell r="G820" t="str">
            <v/>
          </cell>
        </row>
        <row r="821">
          <cell r="A821" t="str">
            <v>10999743779</v>
          </cell>
          <cell r="B821" t="str">
            <v>109997</v>
          </cell>
          <cell r="C821" t="str">
            <v>庵 緋沙子</v>
          </cell>
          <cell r="D821">
            <v>43779</v>
          </cell>
          <cell r="E821" t="str">
            <v>●</v>
          </cell>
          <cell r="F821" t="str">
            <v/>
          </cell>
          <cell r="G821" t="str">
            <v/>
          </cell>
        </row>
        <row r="822">
          <cell r="A822" t="str">
            <v>10999743780</v>
          </cell>
          <cell r="B822" t="str">
            <v>109997</v>
          </cell>
          <cell r="C822" t="str">
            <v>庵 緋沙子</v>
          </cell>
          <cell r="D822">
            <v>43780</v>
          </cell>
          <cell r="E822" t="str">
            <v/>
          </cell>
          <cell r="F822" t="str">
            <v/>
          </cell>
          <cell r="G822" t="str">
            <v/>
          </cell>
        </row>
        <row r="823">
          <cell r="A823" t="str">
            <v>10999743781</v>
          </cell>
          <cell r="B823" t="str">
            <v>109997</v>
          </cell>
          <cell r="C823" t="str">
            <v>庵 緋沙子</v>
          </cell>
          <cell r="D823">
            <v>43781</v>
          </cell>
          <cell r="E823" t="str">
            <v/>
          </cell>
          <cell r="F823" t="str">
            <v/>
          </cell>
          <cell r="G823" t="str">
            <v/>
          </cell>
        </row>
        <row r="824">
          <cell r="A824" t="str">
            <v>10999743782</v>
          </cell>
          <cell r="B824" t="str">
            <v>109997</v>
          </cell>
          <cell r="C824" t="str">
            <v>庵 緋沙子</v>
          </cell>
          <cell r="D824">
            <v>43782</v>
          </cell>
          <cell r="E824" t="str">
            <v/>
          </cell>
          <cell r="F824" t="str">
            <v/>
          </cell>
          <cell r="G824" t="str">
            <v/>
          </cell>
        </row>
        <row r="825">
          <cell r="A825" t="str">
            <v>10999743783</v>
          </cell>
          <cell r="B825" t="str">
            <v>109997</v>
          </cell>
          <cell r="C825" t="str">
            <v>庵 緋沙子</v>
          </cell>
          <cell r="D825">
            <v>43783</v>
          </cell>
          <cell r="E825" t="str">
            <v/>
          </cell>
          <cell r="F825" t="str">
            <v>指PM</v>
          </cell>
          <cell r="G825" t="str">
            <v/>
          </cell>
        </row>
        <row r="826">
          <cell r="A826" t="str">
            <v>10999743784</v>
          </cell>
          <cell r="B826" t="str">
            <v>109997</v>
          </cell>
          <cell r="C826" t="str">
            <v>庵 緋沙子</v>
          </cell>
          <cell r="D826">
            <v>43784</v>
          </cell>
          <cell r="E826" t="str">
            <v/>
          </cell>
          <cell r="F826" t="str">
            <v/>
          </cell>
          <cell r="G826" t="str">
            <v/>
          </cell>
        </row>
        <row r="827">
          <cell r="A827" t="str">
            <v>10999743785</v>
          </cell>
          <cell r="B827" t="str">
            <v>109997</v>
          </cell>
          <cell r="C827" t="str">
            <v>庵 緋沙子</v>
          </cell>
          <cell r="D827">
            <v>43785</v>
          </cell>
          <cell r="E827" t="str">
            <v>／</v>
          </cell>
          <cell r="F827" t="str">
            <v/>
          </cell>
          <cell r="G827" t="str">
            <v/>
          </cell>
        </row>
        <row r="828">
          <cell r="A828" t="str">
            <v>10999743786</v>
          </cell>
          <cell r="B828" t="str">
            <v>109997</v>
          </cell>
          <cell r="C828" t="str">
            <v>庵 緋沙子</v>
          </cell>
          <cell r="D828">
            <v>43786</v>
          </cell>
          <cell r="E828" t="str">
            <v>●</v>
          </cell>
          <cell r="F828" t="str">
            <v/>
          </cell>
          <cell r="G828" t="str">
            <v/>
          </cell>
        </row>
        <row r="829">
          <cell r="A829" t="str">
            <v>10999743787</v>
          </cell>
          <cell r="B829" t="str">
            <v>109997</v>
          </cell>
          <cell r="C829" t="str">
            <v>庵 緋沙子</v>
          </cell>
          <cell r="D829">
            <v>43787</v>
          </cell>
          <cell r="E829" t="str">
            <v>当</v>
          </cell>
          <cell r="F829" t="str">
            <v/>
          </cell>
          <cell r="G829" t="str">
            <v/>
          </cell>
        </row>
        <row r="830">
          <cell r="A830" t="str">
            <v>10999743788</v>
          </cell>
          <cell r="B830" t="str">
            <v>109997</v>
          </cell>
          <cell r="C830" t="str">
            <v>庵 緋沙子</v>
          </cell>
          <cell r="D830">
            <v>43788</v>
          </cell>
          <cell r="E830" t="str">
            <v>明</v>
          </cell>
          <cell r="F830" t="str">
            <v/>
          </cell>
          <cell r="G830" t="str">
            <v/>
          </cell>
        </row>
        <row r="831">
          <cell r="A831" t="str">
            <v>10999743789</v>
          </cell>
          <cell r="B831" t="str">
            <v>109997</v>
          </cell>
          <cell r="C831" t="str">
            <v>庵 緋沙子</v>
          </cell>
          <cell r="D831">
            <v>43789</v>
          </cell>
          <cell r="E831" t="str">
            <v/>
          </cell>
          <cell r="F831" t="str">
            <v/>
          </cell>
          <cell r="G831" t="str">
            <v/>
          </cell>
        </row>
        <row r="832">
          <cell r="A832" t="str">
            <v>10999743790</v>
          </cell>
          <cell r="B832" t="str">
            <v>109997</v>
          </cell>
          <cell r="C832" t="str">
            <v>庵 緋沙子</v>
          </cell>
          <cell r="D832">
            <v>43790</v>
          </cell>
          <cell r="E832" t="str">
            <v/>
          </cell>
          <cell r="F832" t="str">
            <v/>
          </cell>
          <cell r="G832" t="str">
            <v/>
          </cell>
        </row>
        <row r="833">
          <cell r="A833" t="str">
            <v>10999743791</v>
          </cell>
          <cell r="B833" t="str">
            <v>109997</v>
          </cell>
          <cell r="C833" t="str">
            <v>庵 緋沙子</v>
          </cell>
          <cell r="D833">
            <v>43791</v>
          </cell>
          <cell r="E833" t="str">
            <v/>
          </cell>
          <cell r="F833" t="str">
            <v/>
          </cell>
          <cell r="G833" t="str">
            <v/>
          </cell>
        </row>
        <row r="834">
          <cell r="A834" t="str">
            <v>10999743792</v>
          </cell>
          <cell r="B834" t="str">
            <v>109997</v>
          </cell>
          <cell r="C834" t="str">
            <v>庵 緋沙子</v>
          </cell>
          <cell r="D834">
            <v>43792</v>
          </cell>
          <cell r="E834" t="str">
            <v>●</v>
          </cell>
          <cell r="F834" t="str">
            <v/>
          </cell>
          <cell r="G834" t="str">
            <v/>
          </cell>
        </row>
        <row r="835">
          <cell r="A835" t="str">
            <v>10999743793</v>
          </cell>
          <cell r="B835" t="str">
            <v>109997</v>
          </cell>
          <cell r="C835" t="str">
            <v>庵 緋沙子</v>
          </cell>
          <cell r="D835">
            <v>43793</v>
          </cell>
          <cell r="E835" t="str">
            <v>●</v>
          </cell>
          <cell r="F835" t="str">
            <v/>
          </cell>
          <cell r="G835" t="str">
            <v/>
          </cell>
        </row>
        <row r="836">
          <cell r="A836" t="str">
            <v>10999743794</v>
          </cell>
          <cell r="B836" t="str">
            <v>109997</v>
          </cell>
          <cell r="C836" t="str">
            <v>庵 緋沙子</v>
          </cell>
          <cell r="D836">
            <v>43794</v>
          </cell>
          <cell r="E836" t="str">
            <v/>
          </cell>
          <cell r="F836" t="str">
            <v/>
          </cell>
          <cell r="G836" t="str">
            <v/>
          </cell>
        </row>
        <row r="837">
          <cell r="A837" t="str">
            <v>10999743795</v>
          </cell>
          <cell r="B837" t="str">
            <v>109997</v>
          </cell>
          <cell r="C837" t="str">
            <v>庵 緋沙子</v>
          </cell>
          <cell r="D837">
            <v>43795</v>
          </cell>
          <cell r="E837" t="str">
            <v>当</v>
          </cell>
          <cell r="F837" t="str">
            <v/>
          </cell>
          <cell r="G837" t="str">
            <v/>
          </cell>
        </row>
        <row r="838">
          <cell r="A838" t="str">
            <v>10999743796</v>
          </cell>
          <cell r="B838" t="str">
            <v>109997</v>
          </cell>
          <cell r="C838" t="str">
            <v>庵 緋沙子</v>
          </cell>
          <cell r="D838">
            <v>43796</v>
          </cell>
          <cell r="E838" t="str">
            <v>明</v>
          </cell>
          <cell r="F838" t="str">
            <v/>
          </cell>
          <cell r="G838" t="str">
            <v/>
          </cell>
        </row>
        <row r="839">
          <cell r="A839" t="str">
            <v>10999743797</v>
          </cell>
          <cell r="B839" t="str">
            <v>109997</v>
          </cell>
          <cell r="C839" t="str">
            <v>庵 緋沙子</v>
          </cell>
          <cell r="D839">
            <v>43797</v>
          </cell>
          <cell r="E839" t="str">
            <v/>
          </cell>
          <cell r="F839" t="str">
            <v/>
          </cell>
          <cell r="G839" t="str">
            <v/>
          </cell>
        </row>
        <row r="840">
          <cell r="A840" t="str">
            <v>10999743798</v>
          </cell>
          <cell r="B840" t="str">
            <v>109997</v>
          </cell>
          <cell r="C840" t="str">
            <v>庵 緋沙子</v>
          </cell>
          <cell r="D840">
            <v>43798</v>
          </cell>
          <cell r="E840" t="str">
            <v/>
          </cell>
          <cell r="F840" t="str">
            <v/>
          </cell>
          <cell r="G840" t="str">
            <v/>
          </cell>
        </row>
        <row r="841">
          <cell r="A841" t="str">
            <v>10999743799</v>
          </cell>
          <cell r="B841" t="str">
            <v>109997</v>
          </cell>
          <cell r="C841" t="str">
            <v>庵 緋沙子</v>
          </cell>
          <cell r="D841">
            <v>43799</v>
          </cell>
          <cell r="E841" t="str">
            <v>／</v>
          </cell>
          <cell r="F841" t="str">
            <v/>
          </cell>
          <cell r="G841" t="str">
            <v/>
          </cell>
        </row>
        <row r="842">
          <cell r="A842" t="str">
            <v>11249943770</v>
          </cell>
          <cell r="B842" t="str">
            <v>112499</v>
          </cell>
          <cell r="C842" t="str">
            <v>佐藤 恵梨子</v>
          </cell>
          <cell r="D842">
            <v>43770</v>
          </cell>
          <cell r="E842" t="str">
            <v/>
          </cell>
          <cell r="F842" t="str">
            <v/>
          </cell>
          <cell r="G842">
            <v>29</v>
          </cell>
        </row>
        <row r="843">
          <cell r="A843" t="str">
            <v>11249943771</v>
          </cell>
          <cell r="B843" t="str">
            <v>112499</v>
          </cell>
          <cell r="C843" t="str">
            <v>佐藤 恵梨子</v>
          </cell>
          <cell r="D843">
            <v>43771</v>
          </cell>
          <cell r="E843" t="str">
            <v>／</v>
          </cell>
          <cell r="F843" t="str">
            <v/>
          </cell>
          <cell r="G843" t="str">
            <v/>
          </cell>
        </row>
        <row r="844">
          <cell r="A844" t="str">
            <v>11249943772</v>
          </cell>
          <cell r="B844" t="str">
            <v>112499</v>
          </cell>
          <cell r="C844" t="str">
            <v>佐藤 恵梨子</v>
          </cell>
          <cell r="D844">
            <v>43772</v>
          </cell>
          <cell r="E844" t="str">
            <v>●</v>
          </cell>
          <cell r="F844" t="str">
            <v/>
          </cell>
          <cell r="G844" t="str">
            <v/>
          </cell>
        </row>
        <row r="845">
          <cell r="A845" t="str">
            <v>11249943773</v>
          </cell>
          <cell r="B845" t="str">
            <v>112499</v>
          </cell>
          <cell r="C845" t="str">
            <v>佐藤 恵梨子</v>
          </cell>
          <cell r="D845">
            <v>43773</v>
          </cell>
          <cell r="E845" t="str">
            <v>●</v>
          </cell>
          <cell r="F845" t="str">
            <v/>
          </cell>
          <cell r="G845" t="str">
            <v/>
          </cell>
        </row>
        <row r="846">
          <cell r="A846" t="str">
            <v>11249943774</v>
          </cell>
          <cell r="B846" t="str">
            <v>112499</v>
          </cell>
          <cell r="C846" t="str">
            <v>佐藤 恵梨子</v>
          </cell>
          <cell r="D846">
            <v>43774</v>
          </cell>
          <cell r="E846" t="str">
            <v/>
          </cell>
          <cell r="F846" t="str">
            <v/>
          </cell>
          <cell r="G846" t="str">
            <v/>
          </cell>
        </row>
        <row r="847">
          <cell r="A847" t="str">
            <v>11249943775</v>
          </cell>
          <cell r="B847" t="str">
            <v>112499</v>
          </cell>
          <cell r="C847" t="str">
            <v>佐藤 恵梨子</v>
          </cell>
          <cell r="D847">
            <v>43775</v>
          </cell>
          <cell r="E847" t="str">
            <v/>
          </cell>
          <cell r="F847" t="str">
            <v/>
          </cell>
          <cell r="G847" t="str">
            <v/>
          </cell>
        </row>
        <row r="848">
          <cell r="A848" t="str">
            <v>11249943776</v>
          </cell>
          <cell r="B848" t="str">
            <v>112499</v>
          </cell>
          <cell r="C848" t="str">
            <v>佐藤 恵梨子</v>
          </cell>
          <cell r="D848">
            <v>43776</v>
          </cell>
          <cell r="E848" t="str">
            <v/>
          </cell>
          <cell r="F848" t="str">
            <v/>
          </cell>
          <cell r="G848" t="str">
            <v/>
          </cell>
        </row>
        <row r="849">
          <cell r="A849" t="str">
            <v>11249943777</v>
          </cell>
          <cell r="B849" t="str">
            <v>112499</v>
          </cell>
          <cell r="C849" t="str">
            <v>佐藤 恵梨子</v>
          </cell>
          <cell r="D849">
            <v>43777</v>
          </cell>
          <cell r="E849" t="str">
            <v/>
          </cell>
          <cell r="F849" t="str">
            <v/>
          </cell>
          <cell r="G849" t="str">
            <v/>
          </cell>
        </row>
        <row r="850">
          <cell r="A850" t="str">
            <v>11249943778</v>
          </cell>
          <cell r="B850" t="str">
            <v>112499</v>
          </cell>
          <cell r="C850" t="str">
            <v>佐藤 恵梨子</v>
          </cell>
          <cell r="D850">
            <v>43778</v>
          </cell>
          <cell r="E850" t="str">
            <v>○</v>
          </cell>
          <cell r="F850" t="str">
            <v/>
          </cell>
          <cell r="G850" t="str">
            <v/>
          </cell>
        </row>
        <row r="851">
          <cell r="A851" t="str">
            <v>11249943779</v>
          </cell>
          <cell r="B851" t="str">
            <v>112499</v>
          </cell>
          <cell r="C851" t="str">
            <v>佐藤 恵梨子</v>
          </cell>
          <cell r="D851">
            <v>43779</v>
          </cell>
          <cell r="E851" t="str">
            <v>●</v>
          </cell>
          <cell r="F851" t="str">
            <v/>
          </cell>
          <cell r="G851" t="str">
            <v/>
          </cell>
        </row>
        <row r="852">
          <cell r="A852" t="str">
            <v>11249943780</v>
          </cell>
          <cell r="B852" t="str">
            <v>112499</v>
          </cell>
          <cell r="C852" t="str">
            <v>佐藤 恵梨子</v>
          </cell>
          <cell r="D852">
            <v>43780</v>
          </cell>
          <cell r="E852" t="str">
            <v/>
          </cell>
          <cell r="F852" t="str">
            <v/>
          </cell>
          <cell r="G852" t="str">
            <v/>
          </cell>
        </row>
        <row r="853">
          <cell r="A853" t="str">
            <v>11249943781</v>
          </cell>
          <cell r="B853" t="str">
            <v>112499</v>
          </cell>
          <cell r="C853" t="str">
            <v>佐藤 恵梨子</v>
          </cell>
          <cell r="D853">
            <v>43781</v>
          </cell>
          <cell r="E853" t="str">
            <v/>
          </cell>
          <cell r="F853" t="str">
            <v/>
          </cell>
          <cell r="G853" t="str">
            <v/>
          </cell>
        </row>
        <row r="854">
          <cell r="A854" t="str">
            <v>11249943782</v>
          </cell>
          <cell r="B854" t="str">
            <v>112499</v>
          </cell>
          <cell r="C854" t="str">
            <v>佐藤 恵梨子</v>
          </cell>
          <cell r="D854">
            <v>43782</v>
          </cell>
          <cell r="E854" t="str">
            <v/>
          </cell>
          <cell r="F854" t="str">
            <v/>
          </cell>
          <cell r="G854" t="str">
            <v/>
          </cell>
        </row>
        <row r="855">
          <cell r="A855" t="str">
            <v>11249943783</v>
          </cell>
          <cell r="B855" t="str">
            <v>112499</v>
          </cell>
          <cell r="C855" t="str">
            <v>佐藤 恵梨子</v>
          </cell>
          <cell r="D855">
            <v>43783</v>
          </cell>
          <cell r="E855" t="str">
            <v/>
          </cell>
          <cell r="F855" t="str">
            <v/>
          </cell>
          <cell r="G855" t="str">
            <v/>
          </cell>
        </row>
        <row r="856">
          <cell r="A856" t="str">
            <v>11249943784</v>
          </cell>
          <cell r="B856" t="str">
            <v>112499</v>
          </cell>
          <cell r="C856" t="str">
            <v>佐藤 恵梨子</v>
          </cell>
          <cell r="D856">
            <v>43784</v>
          </cell>
          <cell r="E856" t="str">
            <v/>
          </cell>
          <cell r="F856" t="str">
            <v/>
          </cell>
          <cell r="G856" t="str">
            <v/>
          </cell>
        </row>
        <row r="857">
          <cell r="A857" t="str">
            <v>11249943785</v>
          </cell>
          <cell r="B857" t="str">
            <v>112499</v>
          </cell>
          <cell r="C857" t="str">
            <v>佐藤 恵梨子</v>
          </cell>
          <cell r="D857">
            <v>43785</v>
          </cell>
          <cell r="E857" t="str">
            <v>／</v>
          </cell>
          <cell r="F857" t="str">
            <v/>
          </cell>
          <cell r="G857" t="str">
            <v/>
          </cell>
        </row>
        <row r="858">
          <cell r="A858" t="str">
            <v>11249943786</v>
          </cell>
          <cell r="B858" t="str">
            <v>112499</v>
          </cell>
          <cell r="C858" t="str">
            <v>佐藤 恵梨子</v>
          </cell>
          <cell r="D858">
            <v>43786</v>
          </cell>
          <cell r="E858" t="str">
            <v>当</v>
          </cell>
          <cell r="F858" t="str">
            <v/>
          </cell>
          <cell r="G858" t="str">
            <v/>
          </cell>
        </row>
        <row r="859">
          <cell r="A859" t="str">
            <v>11249943787</v>
          </cell>
          <cell r="B859" t="str">
            <v>112499</v>
          </cell>
          <cell r="C859" t="str">
            <v>佐藤 恵梨子</v>
          </cell>
          <cell r="D859">
            <v>43787</v>
          </cell>
          <cell r="E859" t="str">
            <v>明</v>
          </cell>
          <cell r="F859" t="str">
            <v/>
          </cell>
          <cell r="G859" t="str">
            <v/>
          </cell>
        </row>
        <row r="860">
          <cell r="A860" t="str">
            <v>11249943788</v>
          </cell>
          <cell r="B860" t="str">
            <v>112499</v>
          </cell>
          <cell r="C860" t="str">
            <v>佐藤 恵梨子</v>
          </cell>
          <cell r="D860">
            <v>43788</v>
          </cell>
          <cell r="E860" t="str">
            <v/>
          </cell>
          <cell r="F860" t="str">
            <v/>
          </cell>
          <cell r="G860" t="str">
            <v/>
          </cell>
        </row>
        <row r="861">
          <cell r="A861" t="str">
            <v>11249943789</v>
          </cell>
          <cell r="B861" t="str">
            <v>112499</v>
          </cell>
          <cell r="C861" t="str">
            <v>佐藤 恵梨子</v>
          </cell>
          <cell r="D861">
            <v>43789</v>
          </cell>
          <cell r="E861" t="str">
            <v/>
          </cell>
          <cell r="F861" t="str">
            <v>忌引</v>
          </cell>
          <cell r="G861" t="str">
            <v/>
          </cell>
        </row>
        <row r="862">
          <cell r="A862" t="str">
            <v>11249943790</v>
          </cell>
          <cell r="B862" t="str">
            <v>112499</v>
          </cell>
          <cell r="C862" t="str">
            <v>佐藤 恵梨子</v>
          </cell>
          <cell r="D862">
            <v>43790</v>
          </cell>
          <cell r="E862" t="str">
            <v>●</v>
          </cell>
          <cell r="F862" t="str">
            <v/>
          </cell>
          <cell r="G862" t="str">
            <v/>
          </cell>
        </row>
        <row r="863">
          <cell r="A863" t="str">
            <v>11249943791</v>
          </cell>
          <cell r="B863" t="str">
            <v>112499</v>
          </cell>
          <cell r="C863" t="str">
            <v>佐藤 恵梨子</v>
          </cell>
          <cell r="D863">
            <v>43791</v>
          </cell>
          <cell r="E863" t="str">
            <v>●</v>
          </cell>
          <cell r="F863" t="str">
            <v/>
          </cell>
          <cell r="G863" t="str">
            <v/>
          </cell>
        </row>
        <row r="864">
          <cell r="A864" t="str">
            <v>11249943792</v>
          </cell>
          <cell r="B864" t="str">
            <v>112499</v>
          </cell>
          <cell r="C864" t="str">
            <v>佐藤 恵梨子</v>
          </cell>
          <cell r="D864">
            <v>43792</v>
          </cell>
          <cell r="E864" t="str">
            <v>●</v>
          </cell>
          <cell r="F864" t="str">
            <v/>
          </cell>
          <cell r="G864" t="str">
            <v/>
          </cell>
        </row>
        <row r="865">
          <cell r="A865" t="str">
            <v>11249943793</v>
          </cell>
          <cell r="B865" t="str">
            <v>112499</v>
          </cell>
          <cell r="C865" t="str">
            <v>佐藤 恵梨子</v>
          </cell>
          <cell r="D865">
            <v>43793</v>
          </cell>
          <cell r="E865" t="str">
            <v>●</v>
          </cell>
          <cell r="F865" t="str">
            <v/>
          </cell>
          <cell r="G865" t="str">
            <v/>
          </cell>
        </row>
        <row r="866">
          <cell r="A866" t="str">
            <v>11249943794</v>
          </cell>
          <cell r="B866" t="str">
            <v>112499</v>
          </cell>
          <cell r="C866" t="str">
            <v>佐藤 恵梨子</v>
          </cell>
          <cell r="D866">
            <v>43794</v>
          </cell>
          <cell r="E866" t="str">
            <v/>
          </cell>
          <cell r="F866" t="str">
            <v>年休</v>
          </cell>
          <cell r="G866" t="str">
            <v/>
          </cell>
        </row>
        <row r="867">
          <cell r="A867" t="str">
            <v>11249943795</v>
          </cell>
          <cell r="B867" t="str">
            <v>112499</v>
          </cell>
          <cell r="C867" t="str">
            <v>佐藤 恵梨子</v>
          </cell>
          <cell r="D867">
            <v>43795</v>
          </cell>
          <cell r="E867" t="str">
            <v/>
          </cell>
          <cell r="F867" t="str">
            <v/>
          </cell>
          <cell r="G867" t="str">
            <v/>
          </cell>
        </row>
        <row r="868">
          <cell r="A868" t="str">
            <v>11249943796</v>
          </cell>
          <cell r="B868" t="str">
            <v>112499</v>
          </cell>
          <cell r="C868" t="str">
            <v>佐藤 恵梨子</v>
          </cell>
          <cell r="D868">
            <v>43796</v>
          </cell>
          <cell r="E868" t="str">
            <v/>
          </cell>
          <cell r="F868" t="str">
            <v/>
          </cell>
          <cell r="G868" t="str">
            <v/>
          </cell>
        </row>
        <row r="869">
          <cell r="A869" t="str">
            <v>11249943797</v>
          </cell>
          <cell r="B869" t="str">
            <v>112499</v>
          </cell>
          <cell r="C869" t="str">
            <v>佐藤 恵梨子</v>
          </cell>
          <cell r="D869">
            <v>43797</v>
          </cell>
          <cell r="E869" t="str">
            <v/>
          </cell>
          <cell r="F869" t="str">
            <v/>
          </cell>
          <cell r="G869" t="str">
            <v/>
          </cell>
        </row>
        <row r="870">
          <cell r="A870" t="str">
            <v>11249943798</v>
          </cell>
          <cell r="B870" t="str">
            <v>112499</v>
          </cell>
          <cell r="C870" t="str">
            <v>佐藤 恵梨子</v>
          </cell>
          <cell r="D870">
            <v>43798</v>
          </cell>
          <cell r="E870" t="str">
            <v/>
          </cell>
          <cell r="F870" t="str">
            <v/>
          </cell>
          <cell r="G870" t="str">
            <v/>
          </cell>
        </row>
        <row r="871">
          <cell r="A871" t="str">
            <v>11249943799</v>
          </cell>
          <cell r="B871" t="str">
            <v>112499</v>
          </cell>
          <cell r="C871" t="str">
            <v>佐藤 恵梨子</v>
          </cell>
          <cell r="D871">
            <v>43799</v>
          </cell>
          <cell r="E871" t="str">
            <v>当</v>
          </cell>
          <cell r="F871" t="str">
            <v/>
          </cell>
          <cell r="G871" t="str">
            <v/>
          </cell>
        </row>
        <row r="872">
          <cell r="A872" t="str">
            <v>11250443770</v>
          </cell>
          <cell r="B872" t="str">
            <v>112504</v>
          </cell>
          <cell r="C872" t="str">
            <v>村崎 祐一</v>
          </cell>
          <cell r="D872">
            <v>43770</v>
          </cell>
          <cell r="E872" t="str">
            <v>当</v>
          </cell>
          <cell r="F872" t="str">
            <v/>
          </cell>
          <cell r="G872">
            <v>30</v>
          </cell>
        </row>
        <row r="873">
          <cell r="A873" t="str">
            <v>11250443771</v>
          </cell>
          <cell r="B873" t="str">
            <v>112504</v>
          </cell>
          <cell r="C873" t="str">
            <v>村崎 祐一</v>
          </cell>
          <cell r="D873">
            <v>43771</v>
          </cell>
          <cell r="E873" t="str">
            <v>明</v>
          </cell>
          <cell r="F873" t="str">
            <v>指PM</v>
          </cell>
          <cell r="G873" t="str">
            <v/>
          </cell>
        </row>
        <row r="874">
          <cell r="A874" t="str">
            <v>11250443772</v>
          </cell>
          <cell r="B874" t="str">
            <v>112504</v>
          </cell>
          <cell r="C874" t="str">
            <v>村崎 祐一</v>
          </cell>
          <cell r="D874">
            <v>43772</v>
          </cell>
          <cell r="E874" t="str">
            <v>●</v>
          </cell>
          <cell r="F874" t="str">
            <v/>
          </cell>
          <cell r="G874" t="str">
            <v/>
          </cell>
        </row>
        <row r="875">
          <cell r="A875" t="str">
            <v>11250443773</v>
          </cell>
          <cell r="B875" t="str">
            <v>112504</v>
          </cell>
          <cell r="C875" t="str">
            <v>村崎 祐一</v>
          </cell>
          <cell r="D875">
            <v>43773</v>
          </cell>
          <cell r="E875" t="str">
            <v>●</v>
          </cell>
          <cell r="F875" t="str">
            <v/>
          </cell>
          <cell r="G875" t="str">
            <v/>
          </cell>
        </row>
        <row r="876">
          <cell r="A876" t="str">
            <v>11250443774</v>
          </cell>
          <cell r="B876" t="str">
            <v>112504</v>
          </cell>
          <cell r="C876" t="str">
            <v>村崎 祐一</v>
          </cell>
          <cell r="D876">
            <v>43774</v>
          </cell>
          <cell r="E876" t="str">
            <v>●</v>
          </cell>
          <cell r="F876" t="str">
            <v/>
          </cell>
          <cell r="G876" t="str">
            <v/>
          </cell>
        </row>
        <row r="877">
          <cell r="A877" t="str">
            <v>11250443775</v>
          </cell>
          <cell r="B877" t="str">
            <v>112504</v>
          </cell>
          <cell r="C877" t="str">
            <v>村崎 祐一</v>
          </cell>
          <cell r="D877">
            <v>43775</v>
          </cell>
          <cell r="E877" t="str">
            <v/>
          </cell>
          <cell r="F877" t="str">
            <v/>
          </cell>
          <cell r="G877" t="str">
            <v/>
          </cell>
        </row>
        <row r="878">
          <cell r="A878" t="str">
            <v>11250443776</v>
          </cell>
          <cell r="B878" t="str">
            <v>112504</v>
          </cell>
          <cell r="C878" t="str">
            <v>村崎 祐一</v>
          </cell>
          <cell r="D878">
            <v>43776</v>
          </cell>
          <cell r="E878" t="str">
            <v/>
          </cell>
          <cell r="F878" t="str">
            <v/>
          </cell>
          <cell r="G878" t="str">
            <v/>
          </cell>
        </row>
        <row r="879">
          <cell r="A879" t="str">
            <v>11250443777</v>
          </cell>
          <cell r="B879" t="str">
            <v>112504</v>
          </cell>
          <cell r="C879" t="str">
            <v>村崎 祐一</v>
          </cell>
          <cell r="D879">
            <v>43777</v>
          </cell>
          <cell r="E879" t="str">
            <v/>
          </cell>
          <cell r="F879" t="str">
            <v/>
          </cell>
          <cell r="G879" t="str">
            <v/>
          </cell>
        </row>
        <row r="880">
          <cell r="A880" t="str">
            <v>11250443778</v>
          </cell>
          <cell r="B880" t="str">
            <v>112504</v>
          </cell>
          <cell r="C880" t="str">
            <v>村崎 祐一</v>
          </cell>
          <cell r="D880">
            <v>43778</v>
          </cell>
          <cell r="E880" t="str">
            <v>／</v>
          </cell>
          <cell r="F880" t="str">
            <v/>
          </cell>
          <cell r="G880" t="str">
            <v/>
          </cell>
        </row>
        <row r="881">
          <cell r="A881" t="str">
            <v>11250443779</v>
          </cell>
          <cell r="B881" t="str">
            <v>112504</v>
          </cell>
          <cell r="C881" t="str">
            <v>村崎 祐一</v>
          </cell>
          <cell r="D881">
            <v>43779</v>
          </cell>
          <cell r="E881" t="str">
            <v>●</v>
          </cell>
          <cell r="F881" t="str">
            <v/>
          </cell>
          <cell r="G881" t="str">
            <v/>
          </cell>
        </row>
        <row r="882">
          <cell r="A882" t="str">
            <v>11250443780</v>
          </cell>
          <cell r="B882" t="str">
            <v>112504</v>
          </cell>
          <cell r="C882" t="str">
            <v>村崎 祐一</v>
          </cell>
          <cell r="D882">
            <v>43780</v>
          </cell>
          <cell r="E882" t="str">
            <v/>
          </cell>
          <cell r="F882" t="str">
            <v/>
          </cell>
          <cell r="G882" t="str">
            <v/>
          </cell>
        </row>
        <row r="883">
          <cell r="A883" t="str">
            <v>11250443781</v>
          </cell>
          <cell r="B883" t="str">
            <v>112504</v>
          </cell>
          <cell r="C883" t="str">
            <v>村崎 祐一</v>
          </cell>
          <cell r="D883">
            <v>43781</v>
          </cell>
          <cell r="E883" t="str">
            <v>当</v>
          </cell>
          <cell r="F883" t="str">
            <v/>
          </cell>
          <cell r="G883" t="str">
            <v/>
          </cell>
        </row>
        <row r="884">
          <cell r="A884" t="str">
            <v>11250443782</v>
          </cell>
          <cell r="B884" t="str">
            <v>112504</v>
          </cell>
          <cell r="C884" t="str">
            <v>村崎 祐一</v>
          </cell>
          <cell r="D884">
            <v>43782</v>
          </cell>
          <cell r="E884" t="str">
            <v>明</v>
          </cell>
          <cell r="F884" t="str">
            <v/>
          </cell>
          <cell r="G884" t="str">
            <v/>
          </cell>
        </row>
        <row r="885">
          <cell r="A885" t="str">
            <v>11250443783</v>
          </cell>
          <cell r="B885" t="str">
            <v>112504</v>
          </cell>
          <cell r="C885" t="str">
            <v>村崎 祐一</v>
          </cell>
          <cell r="D885">
            <v>43783</v>
          </cell>
          <cell r="E885" t="str">
            <v/>
          </cell>
          <cell r="F885" t="str">
            <v/>
          </cell>
          <cell r="G885" t="str">
            <v/>
          </cell>
        </row>
        <row r="886">
          <cell r="A886" t="str">
            <v>11250443784</v>
          </cell>
          <cell r="B886" t="str">
            <v>112504</v>
          </cell>
          <cell r="C886" t="str">
            <v>村崎 祐一</v>
          </cell>
          <cell r="D886">
            <v>43784</v>
          </cell>
          <cell r="E886" t="str">
            <v/>
          </cell>
          <cell r="F886" t="str">
            <v/>
          </cell>
          <cell r="G886" t="str">
            <v/>
          </cell>
        </row>
        <row r="887">
          <cell r="A887" t="str">
            <v>11250443785</v>
          </cell>
          <cell r="B887" t="str">
            <v>112504</v>
          </cell>
          <cell r="C887" t="str">
            <v>村崎 祐一</v>
          </cell>
          <cell r="D887">
            <v>43785</v>
          </cell>
          <cell r="E887" t="str">
            <v>○</v>
          </cell>
          <cell r="F887" t="str">
            <v/>
          </cell>
          <cell r="G887" t="str">
            <v/>
          </cell>
        </row>
        <row r="888">
          <cell r="A888" t="str">
            <v>11250443786</v>
          </cell>
          <cell r="B888" t="str">
            <v>112504</v>
          </cell>
          <cell r="C888" t="str">
            <v>村崎 祐一</v>
          </cell>
          <cell r="D888">
            <v>43786</v>
          </cell>
          <cell r="E888" t="str">
            <v>●</v>
          </cell>
          <cell r="F888" t="str">
            <v/>
          </cell>
          <cell r="G888" t="str">
            <v/>
          </cell>
        </row>
        <row r="889">
          <cell r="A889" t="str">
            <v>11250443787</v>
          </cell>
          <cell r="B889" t="str">
            <v>112504</v>
          </cell>
          <cell r="C889" t="str">
            <v>村崎 祐一</v>
          </cell>
          <cell r="D889">
            <v>43787</v>
          </cell>
          <cell r="E889" t="str">
            <v/>
          </cell>
          <cell r="F889" t="str">
            <v/>
          </cell>
          <cell r="G889" t="str">
            <v/>
          </cell>
        </row>
        <row r="890">
          <cell r="A890" t="str">
            <v>11250443788</v>
          </cell>
          <cell r="B890" t="str">
            <v>112504</v>
          </cell>
          <cell r="C890" t="str">
            <v>村崎 祐一</v>
          </cell>
          <cell r="D890">
            <v>43788</v>
          </cell>
          <cell r="E890" t="str">
            <v/>
          </cell>
          <cell r="F890" t="str">
            <v/>
          </cell>
          <cell r="G890" t="str">
            <v/>
          </cell>
        </row>
        <row r="891">
          <cell r="A891" t="str">
            <v>11250443789</v>
          </cell>
          <cell r="B891" t="str">
            <v>112504</v>
          </cell>
          <cell r="C891" t="str">
            <v>村崎 祐一</v>
          </cell>
          <cell r="D891">
            <v>43789</v>
          </cell>
          <cell r="E891" t="str">
            <v/>
          </cell>
          <cell r="F891" t="str">
            <v/>
          </cell>
          <cell r="G891" t="str">
            <v/>
          </cell>
        </row>
        <row r="892">
          <cell r="A892" t="str">
            <v>11250443790</v>
          </cell>
          <cell r="B892" t="str">
            <v>112504</v>
          </cell>
          <cell r="C892" t="str">
            <v>村崎 祐一</v>
          </cell>
          <cell r="D892">
            <v>43790</v>
          </cell>
          <cell r="E892" t="str">
            <v/>
          </cell>
          <cell r="F892" t="str">
            <v/>
          </cell>
          <cell r="G892" t="str">
            <v/>
          </cell>
        </row>
        <row r="893">
          <cell r="A893" t="str">
            <v>11250443791</v>
          </cell>
          <cell r="B893" t="str">
            <v>112504</v>
          </cell>
          <cell r="C893" t="str">
            <v>村崎 祐一</v>
          </cell>
          <cell r="D893">
            <v>43791</v>
          </cell>
          <cell r="E893" t="str">
            <v/>
          </cell>
          <cell r="F893" t="str">
            <v/>
          </cell>
          <cell r="G893" t="str">
            <v/>
          </cell>
        </row>
        <row r="894">
          <cell r="A894" t="str">
            <v>11250443792</v>
          </cell>
          <cell r="B894" t="str">
            <v>112504</v>
          </cell>
          <cell r="C894" t="str">
            <v>村崎 祐一</v>
          </cell>
          <cell r="D894">
            <v>43792</v>
          </cell>
          <cell r="E894" t="str">
            <v>●</v>
          </cell>
          <cell r="F894" t="str">
            <v/>
          </cell>
          <cell r="G894" t="str">
            <v/>
          </cell>
        </row>
        <row r="895">
          <cell r="A895" t="str">
            <v>11250443793</v>
          </cell>
          <cell r="B895" t="str">
            <v>112504</v>
          </cell>
          <cell r="C895" t="str">
            <v>村崎 祐一</v>
          </cell>
          <cell r="D895">
            <v>43793</v>
          </cell>
          <cell r="E895" t="str">
            <v>●</v>
          </cell>
          <cell r="F895" t="str">
            <v/>
          </cell>
          <cell r="G895" t="str">
            <v/>
          </cell>
        </row>
        <row r="896">
          <cell r="A896" t="str">
            <v>11250443794</v>
          </cell>
          <cell r="B896" t="str">
            <v>112504</v>
          </cell>
          <cell r="C896" t="str">
            <v>村崎 祐一</v>
          </cell>
          <cell r="D896">
            <v>43794</v>
          </cell>
          <cell r="E896" t="str">
            <v/>
          </cell>
          <cell r="F896" t="str">
            <v/>
          </cell>
          <cell r="G896" t="str">
            <v/>
          </cell>
        </row>
        <row r="897">
          <cell r="A897" t="str">
            <v>11250443795</v>
          </cell>
          <cell r="B897" t="str">
            <v>112504</v>
          </cell>
          <cell r="C897" t="str">
            <v>村崎 祐一</v>
          </cell>
          <cell r="D897">
            <v>43795</v>
          </cell>
          <cell r="E897" t="str">
            <v/>
          </cell>
          <cell r="F897" t="str">
            <v/>
          </cell>
          <cell r="G897" t="str">
            <v/>
          </cell>
        </row>
        <row r="898">
          <cell r="A898" t="str">
            <v>11250443796</v>
          </cell>
          <cell r="B898" t="str">
            <v>112504</v>
          </cell>
          <cell r="C898" t="str">
            <v>村崎 祐一</v>
          </cell>
          <cell r="D898">
            <v>43796</v>
          </cell>
          <cell r="E898" t="str">
            <v/>
          </cell>
          <cell r="F898" t="str">
            <v/>
          </cell>
          <cell r="G898" t="str">
            <v/>
          </cell>
        </row>
        <row r="899">
          <cell r="A899" t="str">
            <v>11250443797</v>
          </cell>
          <cell r="B899" t="str">
            <v>112504</v>
          </cell>
          <cell r="C899" t="str">
            <v>村崎 祐一</v>
          </cell>
          <cell r="D899">
            <v>43797</v>
          </cell>
          <cell r="E899" t="str">
            <v>当</v>
          </cell>
          <cell r="F899" t="str">
            <v/>
          </cell>
          <cell r="G899" t="str">
            <v/>
          </cell>
        </row>
        <row r="900">
          <cell r="A900" t="str">
            <v>11250443798</v>
          </cell>
          <cell r="B900" t="str">
            <v>112504</v>
          </cell>
          <cell r="C900" t="str">
            <v>村崎 祐一</v>
          </cell>
          <cell r="D900">
            <v>43798</v>
          </cell>
          <cell r="E900" t="str">
            <v>明</v>
          </cell>
          <cell r="F900" t="str">
            <v/>
          </cell>
          <cell r="G900" t="str">
            <v/>
          </cell>
        </row>
        <row r="901">
          <cell r="A901" t="str">
            <v>11250443799</v>
          </cell>
          <cell r="B901" t="str">
            <v>112504</v>
          </cell>
          <cell r="C901" t="str">
            <v>村崎 祐一</v>
          </cell>
          <cell r="D901">
            <v>43799</v>
          </cell>
          <cell r="E901" t="str">
            <v>○</v>
          </cell>
          <cell r="F901" t="str">
            <v/>
          </cell>
          <cell r="G901" t="str">
            <v/>
          </cell>
        </row>
        <row r="902">
          <cell r="A902" t="str">
            <v>11486343770</v>
          </cell>
          <cell r="B902" t="str">
            <v>114863</v>
          </cell>
          <cell r="C902" t="str">
            <v>加藤 靖博</v>
          </cell>
          <cell r="D902">
            <v>43770</v>
          </cell>
          <cell r="E902" t="str">
            <v/>
          </cell>
          <cell r="F902" t="str">
            <v/>
          </cell>
          <cell r="G902">
            <v>31</v>
          </cell>
        </row>
        <row r="903">
          <cell r="A903" t="str">
            <v>11486343771</v>
          </cell>
          <cell r="B903" t="str">
            <v>114863</v>
          </cell>
          <cell r="C903" t="str">
            <v>加藤 靖博</v>
          </cell>
          <cell r="D903">
            <v>43771</v>
          </cell>
          <cell r="E903" t="str">
            <v>○</v>
          </cell>
          <cell r="F903" t="str">
            <v/>
          </cell>
          <cell r="G903" t="str">
            <v/>
          </cell>
        </row>
        <row r="904">
          <cell r="A904" t="str">
            <v>11486343772</v>
          </cell>
          <cell r="B904" t="str">
            <v>114863</v>
          </cell>
          <cell r="C904" t="str">
            <v>加藤 靖博</v>
          </cell>
          <cell r="D904">
            <v>43772</v>
          </cell>
          <cell r="E904" t="str">
            <v>●</v>
          </cell>
          <cell r="F904" t="str">
            <v/>
          </cell>
          <cell r="G904" t="str">
            <v/>
          </cell>
        </row>
        <row r="905">
          <cell r="A905" t="str">
            <v>11486343773</v>
          </cell>
          <cell r="B905" t="str">
            <v>114863</v>
          </cell>
          <cell r="C905" t="str">
            <v>加藤 靖博</v>
          </cell>
          <cell r="D905">
            <v>43773</v>
          </cell>
          <cell r="E905" t="str">
            <v>●</v>
          </cell>
          <cell r="F905" t="str">
            <v/>
          </cell>
          <cell r="G905" t="str">
            <v/>
          </cell>
        </row>
        <row r="906">
          <cell r="A906" t="str">
            <v>11486343774</v>
          </cell>
          <cell r="B906" t="str">
            <v>114863</v>
          </cell>
          <cell r="C906" t="str">
            <v>加藤 靖博</v>
          </cell>
          <cell r="D906">
            <v>43774</v>
          </cell>
          <cell r="E906" t="str">
            <v/>
          </cell>
          <cell r="F906" t="str">
            <v/>
          </cell>
          <cell r="G906" t="str">
            <v/>
          </cell>
        </row>
        <row r="907">
          <cell r="A907" t="str">
            <v>11486343775</v>
          </cell>
          <cell r="B907" t="str">
            <v>114863</v>
          </cell>
          <cell r="C907" t="str">
            <v>加藤 靖博</v>
          </cell>
          <cell r="D907">
            <v>43775</v>
          </cell>
          <cell r="E907" t="str">
            <v/>
          </cell>
          <cell r="F907" t="str">
            <v/>
          </cell>
          <cell r="G907" t="str">
            <v/>
          </cell>
        </row>
        <row r="908">
          <cell r="A908" t="str">
            <v>11486343776</v>
          </cell>
          <cell r="B908" t="str">
            <v>114863</v>
          </cell>
          <cell r="C908" t="str">
            <v>加藤 靖博</v>
          </cell>
          <cell r="D908">
            <v>43776</v>
          </cell>
          <cell r="E908" t="str">
            <v/>
          </cell>
          <cell r="F908" t="str">
            <v/>
          </cell>
          <cell r="G908" t="str">
            <v/>
          </cell>
        </row>
        <row r="909">
          <cell r="A909" t="str">
            <v>11486343777</v>
          </cell>
          <cell r="B909" t="str">
            <v>114863</v>
          </cell>
          <cell r="C909" t="str">
            <v>加藤 靖博</v>
          </cell>
          <cell r="D909">
            <v>43777</v>
          </cell>
          <cell r="E909" t="str">
            <v/>
          </cell>
          <cell r="F909" t="str">
            <v/>
          </cell>
          <cell r="G909" t="str">
            <v/>
          </cell>
        </row>
        <row r="910">
          <cell r="A910" t="str">
            <v>11486343778</v>
          </cell>
          <cell r="B910" t="str">
            <v>114863</v>
          </cell>
          <cell r="C910" t="str">
            <v>加藤 靖博</v>
          </cell>
          <cell r="D910">
            <v>43778</v>
          </cell>
          <cell r="E910" t="str">
            <v>／</v>
          </cell>
          <cell r="F910" t="str">
            <v/>
          </cell>
          <cell r="G910" t="str">
            <v/>
          </cell>
        </row>
        <row r="911">
          <cell r="A911" t="str">
            <v>11486343779</v>
          </cell>
          <cell r="B911" t="str">
            <v>114863</v>
          </cell>
          <cell r="C911" t="str">
            <v>加藤 靖博</v>
          </cell>
          <cell r="D911">
            <v>43779</v>
          </cell>
          <cell r="E911" t="str">
            <v>当</v>
          </cell>
          <cell r="F911" t="str">
            <v/>
          </cell>
          <cell r="G911" t="str">
            <v/>
          </cell>
        </row>
        <row r="912">
          <cell r="A912" t="str">
            <v>11486343780</v>
          </cell>
          <cell r="B912" t="str">
            <v>114863</v>
          </cell>
          <cell r="C912" t="str">
            <v>加藤 靖博</v>
          </cell>
          <cell r="D912">
            <v>43780</v>
          </cell>
          <cell r="E912" t="str">
            <v>明</v>
          </cell>
          <cell r="F912" t="str">
            <v/>
          </cell>
          <cell r="G912" t="str">
            <v/>
          </cell>
        </row>
        <row r="913">
          <cell r="A913" t="str">
            <v>11486343781</v>
          </cell>
          <cell r="B913" t="str">
            <v>114863</v>
          </cell>
          <cell r="C913" t="str">
            <v>加藤 靖博</v>
          </cell>
          <cell r="D913">
            <v>43781</v>
          </cell>
          <cell r="E913" t="str">
            <v/>
          </cell>
          <cell r="F913" t="str">
            <v/>
          </cell>
          <cell r="G913" t="str">
            <v/>
          </cell>
        </row>
        <row r="914">
          <cell r="A914" t="str">
            <v>11486343782</v>
          </cell>
          <cell r="B914" t="str">
            <v>114863</v>
          </cell>
          <cell r="C914" t="str">
            <v>加藤 靖博</v>
          </cell>
          <cell r="D914">
            <v>43782</v>
          </cell>
          <cell r="E914" t="str">
            <v/>
          </cell>
          <cell r="F914" t="str">
            <v>年休</v>
          </cell>
          <cell r="G914" t="str">
            <v/>
          </cell>
        </row>
        <row r="915">
          <cell r="A915" t="str">
            <v>11486343783</v>
          </cell>
          <cell r="B915" t="str">
            <v>114863</v>
          </cell>
          <cell r="C915" t="str">
            <v>加藤 靖博</v>
          </cell>
          <cell r="D915">
            <v>43783</v>
          </cell>
          <cell r="E915" t="str">
            <v/>
          </cell>
          <cell r="F915" t="str">
            <v>年休</v>
          </cell>
          <cell r="G915" t="str">
            <v/>
          </cell>
        </row>
        <row r="916">
          <cell r="A916" t="str">
            <v>11486343784</v>
          </cell>
          <cell r="B916" t="str">
            <v>114863</v>
          </cell>
          <cell r="C916" t="str">
            <v>加藤 靖博</v>
          </cell>
          <cell r="D916">
            <v>43784</v>
          </cell>
          <cell r="E916" t="str">
            <v>●</v>
          </cell>
          <cell r="F916" t="str">
            <v/>
          </cell>
          <cell r="G916" t="str">
            <v/>
          </cell>
        </row>
        <row r="917">
          <cell r="A917" t="str">
            <v>11486343785</v>
          </cell>
          <cell r="B917" t="str">
            <v>114863</v>
          </cell>
          <cell r="C917" t="str">
            <v>加藤 靖博</v>
          </cell>
          <cell r="D917">
            <v>43785</v>
          </cell>
          <cell r="E917" t="str">
            <v>○</v>
          </cell>
          <cell r="F917" t="str">
            <v/>
          </cell>
          <cell r="G917" t="str">
            <v/>
          </cell>
        </row>
        <row r="918">
          <cell r="A918" t="str">
            <v>11486343786</v>
          </cell>
          <cell r="B918" t="str">
            <v>114863</v>
          </cell>
          <cell r="C918" t="str">
            <v>加藤 靖博</v>
          </cell>
          <cell r="D918">
            <v>43786</v>
          </cell>
          <cell r="E918" t="str">
            <v>●</v>
          </cell>
          <cell r="F918" t="str">
            <v/>
          </cell>
          <cell r="G918" t="str">
            <v/>
          </cell>
        </row>
        <row r="919">
          <cell r="A919" t="str">
            <v>11486343787</v>
          </cell>
          <cell r="B919" t="str">
            <v>114863</v>
          </cell>
          <cell r="C919" t="str">
            <v>加藤 靖博</v>
          </cell>
          <cell r="D919">
            <v>43787</v>
          </cell>
          <cell r="E919" t="str">
            <v/>
          </cell>
          <cell r="F919" t="str">
            <v/>
          </cell>
          <cell r="G919" t="str">
            <v/>
          </cell>
        </row>
        <row r="920">
          <cell r="A920" t="str">
            <v>11486343788</v>
          </cell>
          <cell r="B920" t="str">
            <v>114863</v>
          </cell>
          <cell r="C920" t="str">
            <v>加藤 靖博</v>
          </cell>
          <cell r="D920">
            <v>43788</v>
          </cell>
          <cell r="E920" t="str">
            <v>当</v>
          </cell>
          <cell r="F920" t="str">
            <v/>
          </cell>
          <cell r="G920" t="str">
            <v/>
          </cell>
        </row>
        <row r="921">
          <cell r="A921" t="str">
            <v>11486343789</v>
          </cell>
          <cell r="B921" t="str">
            <v>114863</v>
          </cell>
          <cell r="C921" t="str">
            <v>加藤 靖博</v>
          </cell>
          <cell r="D921">
            <v>43789</v>
          </cell>
          <cell r="E921" t="str">
            <v>明</v>
          </cell>
          <cell r="F921" t="str">
            <v/>
          </cell>
          <cell r="G921" t="str">
            <v/>
          </cell>
        </row>
        <row r="922">
          <cell r="A922" t="str">
            <v>11486343790</v>
          </cell>
          <cell r="B922" t="str">
            <v>114863</v>
          </cell>
          <cell r="C922" t="str">
            <v>加藤 靖博</v>
          </cell>
          <cell r="D922">
            <v>43790</v>
          </cell>
          <cell r="E922" t="str">
            <v/>
          </cell>
          <cell r="F922" t="str">
            <v/>
          </cell>
          <cell r="G922" t="str">
            <v/>
          </cell>
        </row>
        <row r="923">
          <cell r="A923" t="str">
            <v>11486343791</v>
          </cell>
          <cell r="B923" t="str">
            <v>114863</v>
          </cell>
          <cell r="C923" t="str">
            <v>加藤 靖博</v>
          </cell>
          <cell r="D923">
            <v>43791</v>
          </cell>
          <cell r="E923" t="str">
            <v/>
          </cell>
          <cell r="F923" t="str">
            <v/>
          </cell>
          <cell r="G923" t="str">
            <v/>
          </cell>
        </row>
        <row r="924">
          <cell r="A924" t="str">
            <v>11486343792</v>
          </cell>
          <cell r="B924" t="str">
            <v>114863</v>
          </cell>
          <cell r="C924" t="str">
            <v>加藤 靖博</v>
          </cell>
          <cell r="D924">
            <v>43792</v>
          </cell>
          <cell r="E924" t="str">
            <v>●</v>
          </cell>
          <cell r="F924" t="str">
            <v/>
          </cell>
          <cell r="G924" t="str">
            <v/>
          </cell>
        </row>
        <row r="925">
          <cell r="A925" t="str">
            <v>11486343793</v>
          </cell>
          <cell r="B925" t="str">
            <v>114863</v>
          </cell>
          <cell r="C925" t="str">
            <v>加藤 靖博</v>
          </cell>
          <cell r="D925">
            <v>43793</v>
          </cell>
          <cell r="E925" t="str">
            <v>●</v>
          </cell>
          <cell r="F925" t="str">
            <v/>
          </cell>
          <cell r="G925" t="str">
            <v/>
          </cell>
        </row>
        <row r="926">
          <cell r="A926" t="str">
            <v>11486343794</v>
          </cell>
          <cell r="B926" t="str">
            <v>114863</v>
          </cell>
          <cell r="C926" t="str">
            <v>加藤 靖博</v>
          </cell>
          <cell r="D926">
            <v>43794</v>
          </cell>
          <cell r="E926" t="str">
            <v/>
          </cell>
          <cell r="F926" t="str">
            <v/>
          </cell>
          <cell r="G926" t="str">
            <v/>
          </cell>
        </row>
        <row r="927">
          <cell r="A927" t="str">
            <v>11486343795</v>
          </cell>
          <cell r="B927" t="str">
            <v>114863</v>
          </cell>
          <cell r="C927" t="str">
            <v>加藤 靖博</v>
          </cell>
          <cell r="D927">
            <v>43795</v>
          </cell>
          <cell r="E927" t="str">
            <v/>
          </cell>
          <cell r="F927" t="str">
            <v/>
          </cell>
          <cell r="G927" t="str">
            <v/>
          </cell>
        </row>
        <row r="928">
          <cell r="A928" t="str">
            <v>11486343796</v>
          </cell>
          <cell r="B928" t="str">
            <v>114863</v>
          </cell>
          <cell r="C928" t="str">
            <v>加藤 靖博</v>
          </cell>
          <cell r="D928">
            <v>43796</v>
          </cell>
          <cell r="E928" t="str">
            <v/>
          </cell>
          <cell r="F928" t="str">
            <v/>
          </cell>
          <cell r="G928" t="str">
            <v/>
          </cell>
        </row>
        <row r="929">
          <cell r="A929" t="str">
            <v>11486343797</v>
          </cell>
          <cell r="B929" t="str">
            <v>114863</v>
          </cell>
          <cell r="C929" t="str">
            <v>加藤 靖博</v>
          </cell>
          <cell r="D929">
            <v>43797</v>
          </cell>
          <cell r="E929" t="str">
            <v/>
          </cell>
          <cell r="F929" t="str">
            <v/>
          </cell>
          <cell r="G929" t="str">
            <v/>
          </cell>
        </row>
        <row r="930">
          <cell r="A930" t="str">
            <v>11486343798</v>
          </cell>
          <cell r="B930" t="str">
            <v>114863</v>
          </cell>
          <cell r="C930" t="str">
            <v>加藤 靖博</v>
          </cell>
          <cell r="D930">
            <v>43798</v>
          </cell>
          <cell r="E930" t="str">
            <v/>
          </cell>
          <cell r="F930" t="str">
            <v/>
          </cell>
          <cell r="G930" t="str">
            <v/>
          </cell>
        </row>
        <row r="931">
          <cell r="A931" t="str">
            <v>11486343799</v>
          </cell>
          <cell r="B931" t="str">
            <v>114863</v>
          </cell>
          <cell r="C931" t="str">
            <v>加藤 靖博</v>
          </cell>
          <cell r="D931">
            <v>43799</v>
          </cell>
          <cell r="E931" t="str">
            <v>○</v>
          </cell>
          <cell r="F931" t="str">
            <v/>
          </cell>
          <cell r="G931" t="str">
            <v/>
          </cell>
        </row>
        <row r="932">
          <cell r="A932" t="str">
            <v>11487543770</v>
          </cell>
          <cell r="B932" t="str">
            <v>114875</v>
          </cell>
          <cell r="C932" t="str">
            <v>本田 梨沙子</v>
          </cell>
          <cell r="D932">
            <v>43770</v>
          </cell>
          <cell r="E932" t="str">
            <v>明</v>
          </cell>
          <cell r="F932" t="str">
            <v/>
          </cell>
          <cell r="G932">
            <v>32</v>
          </cell>
        </row>
        <row r="933">
          <cell r="A933" t="str">
            <v>11487543771</v>
          </cell>
          <cell r="B933" t="str">
            <v>114875</v>
          </cell>
          <cell r="C933" t="str">
            <v>本田 梨沙子</v>
          </cell>
          <cell r="D933">
            <v>43771</v>
          </cell>
          <cell r="E933" t="str">
            <v>○</v>
          </cell>
          <cell r="F933" t="str">
            <v/>
          </cell>
          <cell r="G933" t="str">
            <v/>
          </cell>
        </row>
        <row r="934">
          <cell r="A934" t="str">
            <v>11487543772</v>
          </cell>
          <cell r="B934" t="str">
            <v>114875</v>
          </cell>
          <cell r="C934" t="str">
            <v>本田 梨沙子</v>
          </cell>
          <cell r="D934">
            <v>43772</v>
          </cell>
          <cell r="E934" t="str">
            <v>●</v>
          </cell>
          <cell r="F934" t="str">
            <v/>
          </cell>
          <cell r="G934" t="str">
            <v/>
          </cell>
        </row>
        <row r="935">
          <cell r="A935" t="str">
            <v>11487543773</v>
          </cell>
          <cell r="B935" t="str">
            <v>114875</v>
          </cell>
          <cell r="C935" t="str">
            <v>本田 梨沙子</v>
          </cell>
          <cell r="D935">
            <v>43773</v>
          </cell>
          <cell r="E935" t="str">
            <v>●</v>
          </cell>
          <cell r="F935" t="str">
            <v/>
          </cell>
          <cell r="G935" t="str">
            <v/>
          </cell>
        </row>
        <row r="936">
          <cell r="A936" t="str">
            <v>11487543774</v>
          </cell>
          <cell r="B936" t="str">
            <v>114875</v>
          </cell>
          <cell r="C936" t="str">
            <v>本田 梨沙子</v>
          </cell>
          <cell r="D936">
            <v>43774</v>
          </cell>
          <cell r="E936" t="str">
            <v/>
          </cell>
          <cell r="F936" t="str">
            <v/>
          </cell>
          <cell r="G936" t="str">
            <v/>
          </cell>
        </row>
        <row r="937">
          <cell r="A937" t="str">
            <v>11487543775</v>
          </cell>
          <cell r="B937" t="str">
            <v>114875</v>
          </cell>
          <cell r="C937" t="str">
            <v>本田 梨沙子</v>
          </cell>
          <cell r="D937">
            <v>43775</v>
          </cell>
          <cell r="E937" t="str">
            <v/>
          </cell>
          <cell r="F937" t="str">
            <v/>
          </cell>
          <cell r="G937" t="str">
            <v/>
          </cell>
        </row>
        <row r="938">
          <cell r="A938" t="str">
            <v>11487543776</v>
          </cell>
          <cell r="B938" t="str">
            <v>114875</v>
          </cell>
          <cell r="C938" t="str">
            <v>本田 梨沙子</v>
          </cell>
          <cell r="D938">
            <v>43776</v>
          </cell>
          <cell r="E938" t="str">
            <v>当</v>
          </cell>
          <cell r="F938" t="str">
            <v/>
          </cell>
          <cell r="G938" t="str">
            <v/>
          </cell>
        </row>
        <row r="939">
          <cell r="A939" t="str">
            <v>11487543777</v>
          </cell>
          <cell r="B939" t="str">
            <v>114875</v>
          </cell>
          <cell r="C939" t="str">
            <v>本田 梨沙子</v>
          </cell>
          <cell r="D939">
            <v>43777</v>
          </cell>
          <cell r="E939" t="str">
            <v>明</v>
          </cell>
          <cell r="F939" t="str">
            <v/>
          </cell>
          <cell r="G939" t="str">
            <v/>
          </cell>
        </row>
        <row r="940">
          <cell r="A940" t="str">
            <v>11487543778</v>
          </cell>
          <cell r="B940" t="str">
            <v>114875</v>
          </cell>
          <cell r="C940" t="str">
            <v>本田 梨沙子</v>
          </cell>
          <cell r="D940">
            <v>43778</v>
          </cell>
          <cell r="E940" t="str">
            <v>／</v>
          </cell>
          <cell r="F940" t="str">
            <v/>
          </cell>
          <cell r="G940" t="str">
            <v/>
          </cell>
        </row>
        <row r="941">
          <cell r="A941" t="str">
            <v>11487543779</v>
          </cell>
          <cell r="B941" t="str">
            <v>114875</v>
          </cell>
          <cell r="C941" t="str">
            <v>本田 梨沙子</v>
          </cell>
          <cell r="D941">
            <v>43779</v>
          </cell>
          <cell r="E941" t="str">
            <v>●</v>
          </cell>
          <cell r="F941" t="str">
            <v/>
          </cell>
          <cell r="G941" t="str">
            <v/>
          </cell>
        </row>
        <row r="942">
          <cell r="A942" t="str">
            <v>11487543780</v>
          </cell>
          <cell r="B942" t="str">
            <v>114875</v>
          </cell>
          <cell r="C942" t="str">
            <v>本田 梨沙子</v>
          </cell>
          <cell r="D942">
            <v>43780</v>
          </cell>
          <cell r="E942" t="str">
            <v/>
          </cell>
          <cell r="F942" t="str">
            <v>年休</v>
          </cell>
          <cell r="G942" t="str">
            <v/>
          </cell>
        </row>
        <row r="943">
          <cell r="A943" t="str">
            <v>11487543781</v>
          </cell>
          <cell r="B943" t="str">
            <v>114875</v>
          </cell>
          <cell r="C943" t="str">
            <v>本田 梨沙子</v>
          </cell>
          <cell r="D943">
            <v>43781</v>
          </cell>
          <cell r="E943" t="str">
            <v/>
          </cell>
          <cell r="F943" t="str">
            <v/>
          </cell>
          <cell r="G943" t="str">
            <v/>
          </cell>
        </row>
        <row r="944">
          <cell r="A944" t="str">
            <v>11487543782</v>
          </cell>
          <cell r="B944" t="str">
            <v>114875</v>
          </cell>
          <cell r="C944" t="str">
            <v>本田 梨沙子</v>
          </cell>
          <cell r="D944">
            <v>43782</v>
          </cell>
          <cell r="E944" t="str">
            <v/>
          </cell>
          <cell r="F944" t="str">
            <v/>
          </cell>
          <cell r="G944" t="str">
            <v/>
          </cell>
        </row>
        <row r="945">
          <cell r="A945" t="str">
            <v>11487543783</v>
          </cell>
          <cell r="B945" t="str">
            <v>114875</v>
          </cell>
          <cell r="C945" t="str">
            <v>本田 梨沙子</v>
          </cell>
          <cell r="D945">
            <v>43783</v>
          </cell>
          <cell r="E945" t="str">
            <v/>
          </cell>
          <cell r="F945" t="str">
            <v/>
          </cell>
          <cell r="G945" t="str">
            <v/>
          </cell>
        </row>
        <row r="946">
          <cell r="A946" t="str">
            <v>11487543784</v>
          </cell>
          <cell r="B946" t="str">
            <v>114875</v>
          </cell>
          <cell r="C946" t="str">
            <v>本田 梨沙子</v>
          </cell>
          <cell r="D946">
            <v>43784</v>
          </cell>
          <cell r="E946" t="str">
            <v/>
          </cell>
          <cell r="F946" t="str">
            <v>年休</v>
          </cell>
          <cell r="G946" t="str">
            <v/>
          </cell>
        </row>
        <row r="947">
          <cell r="A947" t="str">
            <v>11487543785</v>
          </cell>
          <cell r="B947" t="str">
            <v>114875</v>
          </cell>
          <cell r="C947" t="str">
            <v>本田 梨沙子</v>
          </cell>
          <cell r="D947">
            <v>43785</v>
          </cell>
          <cell r="E947" t="str">
            <v>○</v>
          </cell>
          <cell r="F947" t="str">
            <v/>
          </cell>
          <cell r="G947" t="str">
            <v/>
          </cell>
        </row>
        <row r="948">
          <cell r="A948" t="str">
            <v>11487543786</v>
          </cell>
          <cell r="B948" t="str">
            <v>114875</v>
          </cell>
          <cell r="C948" t="str">
            <v>本田 梨沙子</v>
          </cell>
          <cell r="D948">
            <v>43786</v>
          </cell>
          <cell r="E948" t="str">
            <v>●</v>
          </cell>
          <cell r="F948" t="str">
            <v/>
          </cell>
          <cell r="G948" t="str">
            <v/>
          </cell>
        </row>
        <row r="949">
          <cell r="A949" t="str">
            <v>11487543787</v>
          </cell>
          <cell r="B949" t="str">
            <v>114875</v>
          </cell>
          <cell r="C949" t="str">
            <v>本田 梨沙子</v>
          </cell>
          <cell r="D949">
            <v>43787</v>
          </cell>
          <cell r="E949" t="str">
            <v/>
          </cell>
          <cell r="F949" t="str">
            <v/>
          </cell>
          <cell r="G949" t="str">
            <v/>
          </cell>
        </row>
        <row r="950">
          <cell r="A950" t="str">
            <v>11487543788</v>
          </cell>
          <cell r="B950" t="str">
            <v>114875</v>
          </cell>
          <cell r="C950" t="str">
            <v>本田 梨沙子</v>
          </cell>
          <cell r="D950">
            <v>43788</v>
          </cell>
          <cell r="E950" t="str">
            <v/>
          </cell>
          <cell r="F950" t="str">
            <v/>
          </cell>
          <cell r="G950" t="str">
            <v/>
          </cell>
        </row>
        <row r="951">
          <cell r="A951" t="str">
            <v>11487543789</v>
          </cell>
          <cell r="B951" t="str">
            <v>114875</v>
          </cell>
          <cell r="C951" t="str">
            <v>本田 梨沙子</v>
          </cell>
          <cell r="D951">
            <v>43789</v>
          </cell>
          <cell r="E951" t="str">
            <v>●</v>
          </cell>
          <cell r="F951" t="str">
            <v/>
          </cell>
          <cell r="G951" t="str">
            <v/>
          </cell>
        </row>
        <row r="952">
          <cell r="A952" t="str">
            <v>11487543790</v>
          </cell>
          <cell r="B952" t="str">
            <v>114875</v>
          </cell>
          <cell r="C952" t="str">
            <v>本田 梨沙子</v>
          </cell>
          <cell r="D952">
            <v>43790</v>
          </cell>
          <cell r="E952" t="str">
            <v/>
          </cell>
          <cell r="F952" t="str">
            <v/>
          </cell>
          <cell r="G952" t="str">
            <v/>
          </cell>
        </row>
        <row r="953">
          <cell r="A953" t="str">
            <v>11487543791</v>
          </cell>
          <cell r="B953" t="str">
            <v>114875</v>
          </cell>
          <cell r="C953" t="str">
            <v>本田 梨沙子</v>
          </cell>
          <cell r="D953">
            <v>43791</v>
          </cell>
          <cell r="E953" t="str">
            <v/>
          </cell>
          <cell r="F953" t="str">
            <v/>
          </cell>
          <cell r="G953" t="str">
            <v/>
          </cell>
        </row>
        <row r="954">
          <cell r="A954" t="str">
            <v>11487543792</v>
          </cell>
          <cell r="B954" t="str">
            <v>114875</v>
          </cell>
          <cell r="C954" t="str">
            <v>本田 梨沙子</v>
          </cell>
          <cell r="D954">
            <v>43792</v>
          </cell>
          <cell r="E954" t="str">
            <v>●</v>
          </cell>
          <cell r="F954" t="str">
            <v/>
          </cell>
          <cell r="G954" t="str">
            <v/>
          </cell>
        </row>
        <row r="955">
          <cell r="A955" t="str">
            <v>11487543793</v>
          </cell>
          <cell r="B955" t="str">
            <v>114875</v>
          </cell>
          <cell r="C955" t="str">
            <v>本田 梨沙子</v>
          </cell>
          <cell r="D955">
            <v>43793</v>
          </cell>
          <cell r="E955" t="str">
            <v>●</v>
          </cell>
          <cell r="F955" t="str">
            <v/>
          </cell>
          <cell r="G955" t="str">
            <v/>
          </cell>
        </row>
        <row r="956">
          <cell r="A956" t="str">
            <v>11487543794</v>
          </cell>
          <cell r="B956" t="str">
            <v>114875</v>
          </cell>
          <cell r="C956" t="str">
            <v>本田 梨沙子</v>
          </cell>
          <cell r="D956">
            <v>43794</v>
          </cell>
          <cell r="E956" t="str">
            <v/>
          </cell>
          <cell r="F956" t="str">
            <v/>
          </cell>
          <cell r="G956" t="str">
            <v/>
          </cell>
        </row>
        <row r="957">
          <cell r="A957" t="str">
            <v>11487543795</v>
          </cell>
          <cell r="B957" t="str">
            <v>114875</v>
          </cell>
          <cell r="C957" t="str">
            <v>本田 梨沙子</v>
          </cell>
          <cell r="D957">
            <v>43795</v>
          </cell>
          <cell r="E957" t="str">
            <v/>
          </cell>
          <cell r="F957" t="str">
            <v/>
          </cell>
          <cell r="G957" t="str">
            <v/>
          </cell>
        </row>
        <row r="958">
          <cell r="A958" t="str">
            <v>11487543796</v>
          </cell>
          <cell r="B958" t="str">
            <v>114875</v>
          </cell>
          <cell r="C958" t="str">
            <v>本田 梨沙子</v>
          </cell>
          <cell r="D958">
            <v>43796</v>
          </cell>
          <cell r="E958" t="str">
            <v/>
          </cell>
          <cell r="F958" t="str">
            <v/>
          </cell>
          <cell r="G958" t="str">
            <v/>
          </cell>
        </row>
        <row r="959">
          <cell r="A959" t="str">
            <v>11487543797</v>
          </cell>
          <cell r="B959" t="str">
            <v>114875</v>
          </cell>
          <cell r="C959" t="str">
            <v>本田 梨沙子</v>
          </cell>
          <cell r="D959">
            <v>43797</v>
          </cell>
          <cell r="E959" t="str">
            <v/>
          </cell>
          <cell r="F959" t="str">
            <v/>
          </cell>
          <cell r="G959" t="str">
            <v/>
          </cell>
        </row>
        <row r="960">
          <cell r="A960" t="str">
            <v>11487543798</v>
          </cell>
          <cell r="B960" t="str">
            <v>114875</v>
          </cell>
          <cell r="C960" t="str">
            <v>本田 梨沙子</v>
          </cell>
          <cell r="D960">
            <v>43798</v>
          </cell>
          <cell r="E960" t="str">
            <v>当</v>
          </cell>
          <cell r="F960" t="str">
            <v/>
          </cell>
          <cell r="G960" t="str">
            <v/>
          </cell>
        </row>
        <row r="961">
          <cell r="A961" t="str">
            <v>11487543799</v>
          </cell>
          <cell r="B961" t="str">
            <v>114875</v>
          </cell>
          <cell r="C961" t="str">
            <v>本田 梨沙子</v>
          </cell>
          <cell r="D961">
            <v>43799</v>
          </cell>
          <cell r="E961" t="str">
            <v>明</v>
          </cell>
          <cell r="F961" t="str">
            <v>指PM</v>
          </cell>
          <cell r="G961" t="str">
            <v/>
          </cell>
        </row>
        <row r="962">
          <cell r="A962" t="str">
            <v>11885743770</v>
          </cell>
          <cell r="B962" t="str">
            <v>118857</v>
          </cell>
          <cell r="C962" t="str">
            <v>佐藤 穂波</v>
          </cell>
          <cell r="D962">
            <v>43770</v>
          </cell>
          <cell r="E962" t="str">
            <v/>
          </cell>
          <cell r="F962" t="str">
            <v/>
          </cell>
          <cell r="G962">
            <v>33</v>
          </cell>
        </row>
        <row r="963">
          <cell r="A963" t="str">
            <v>11885743771</v>
          </cell>
          <cell r="B963" t="str">
            <v>118857</v>
          </cell>
          <cell r="C963" t="str">
            <v>佐藤 穂波</v>
          </cell>
          <cell r="D963">
            <v>43771</v>
          </cell>
          <cell r="E963" t="str">
            <v>／</v>
          </cell>
          <cell r="F963" t="str">
            <v/>
          </cell>
          <cell r="G963" t="str">
            <v/>
          </cell>
        </row>
        <row r="964">
          <cell r="A964" t="str">
            <v>11885743772</v>
          </cell>
          <cell r="B964" t="str">
            <v>118857</v>
          </cell>
          <cell r="C964" t="str">
            <v>佐藤 穂波</v>
          </cell>
          <cell r="D964">
            <v>43772</v>
          </cell>
          <cell r="E964" t="str">
            <v>●</v>
          </cell>
          <cell r="F964" t="str">
            <v/>
          </cell>
          <cell r="G964" t="str">
            <v/>
          </cell>
        </row>
        <row r="965">
          <cell r="A965" t="str">
            <v>11885743773</v>
          </cell>
          <cell r="B965" t="str">
            <v>118857</v>
          </cell>
          <cell r="C965" t="str">
            <v>佐藤 穂波</v>
          </cell>
          <cell r="D965">
            <v>43773</v>
          </cell>
          <cell r="E965" t="str">
            <v>●</v>
          </cell>
          <cell r="F965" t="str">
            <v/>
          </cell>
          <cell r="G965" t="str">
            <v/>
          </cell>
        </row>
        <row r="966">
          <cell r="A966" t="str">
            <v>11885743774</v>
          </cell>
          <cell r="B966" t="str">
            <v>118857</v>
          </cell>
          <cell r="C966" t="str">
            <v>佐藤 穂波</v>
          </cell>
          <cell r="D966">
            <v>43774</v>
          </cell>
          <cell r="E966" t="str">
            <v/>
          </cell>
          <cell r="F966" t="str">
            <v/>
          </cell>
          <cell r="G966" t="str">
            <v/>
          </cell>
        </row>
        <row r="967">
          <cell r="A967" t="str">
            <v>11885743775</v>
          </cell>
          <cell r="B967" t="str">
            <v>118857</v>
          </cell>
          <cell r="C967" t="str">
            <v>佐藤 穂波</v>
          </cell>
          <cell r="D967">
            <v>43775</v>
          </cell>
          <cell r="E967" t="str">
            <v/>
          </cell>
          <cell r="F967" t="str">
            <v/>
          </cell>
          <cell r="G967" t="str">
            <v/>
          </cell>
        </row>
        <row r="968">
          <cell r="A968" t="str">
            <v>11885743776</v>
          </cell>
          <cell r="B968" t="str">
            <v>118857</v>
          </cell>
          <cell r="C968" t="str">
            <v>佐藤 穂波</v>
          </cell>
          <cell r="D968">
            <v>43776</v>
          </cell>
          <cell r="E968" t="str">
            <v/>
          </cell>
          <cell r="F968" t="str">
            <v/>
          </cell>
          <cell r="G968" t="str">
            <v/>
          </cell>
        </row>
        <row r="969">
          <cell r="A969" t="str">
            <v>11885743777</v>
          </cell>
          <cell r="B969" t="str">
            <v>118857</v>
          </cell>
          <cell r="C969" t="str">
            <v>佐藤 穂波</v>
          </cell>
          <cell r="D969">
            <v>43777</v>
          </cell>
          <cell r="E969" t="str">
            <v>当</v>
          </cell>
          <cell r="F969" t="str">
            <v/>
          </cell>
          <cell r="G969" t="str">
            <v/>
          </cell>
        </row>
        <row r="970">
          <cell r="A970" t="str">
            <v>11885743778</v>
          </cell>
          <cell r="B970" t="str">
            <v>118857</v>
          </cell>
          <cell r="C970" t="str">
            <v>佐藤 穂波</v>
          </cell>
          <cell r="D970">
            <v>43778</v>
          </cell>
          <cell r="E970" t="str">
            <v>明</v>
          </cell>
          <cell r="F970" t="str">
            <v>指PM</v>
          </cell>
          <cell r="G970" t="str">
            <v/>
          </cell>
        </row>
        <row r="971">
          <cell r="A971" t="str">
            <v>11885743779</v>
          </cell>
          <cell r="B971" t="str">
            <v>118857</v>
          </cell>
          <cell r="C971" t="str">
            <v>佐藤 穂波</v>
          </cell>
          <cell r="D971">
            <v>43779</v>
          </cell>
          <cell r="E971" t="str">
            <v>●</v>
          </cell>
          <cell r="F971" t="str">
            <v/>
          </cell>
          <cell r="G971" t="str">
            <v/>
          </cell>
        </row>
        <row r="972">
          <cell r="A972" t="str">
            <v>11885743780</v>
          </cell>
          <cell r="B972" t="str">
            <v>118857</v>
          </cell>
          <cell r="C972" t="str">
            <v>佐藤 穂波</v>
          </cell>
          <cell r="D972">
            <v>43780</v>
          </cell>
          <cell r="E972" t="str">
            <v/>
          </cell>
          <cell r="F972" t="str">
            <v/>
          </cell>
          <cell r="G972" t="str">
            <v/>
          </cell>
        </row>
        <row r="973">
          <cell r="A973" t="str">
            <v>11885743781</v>
          </cell>
          <cell r="B973" t="str">
            <v>118857</v>
          </cell>
          <cell r="C973" t="str">
            <v>佐藤 穂波</v>
          </cell>
          <cell r="D973">
            <v>43781</v>
          </cell>
          <cell r="E973" t="str">
            <v/>
          </cell>
          <cell r="F973" t="str">
            <v/>
          </cell>
          <cell r="G973" t="str">
            <v/>
          </cell>
        </row>
        <row r="974">
          <cell r="A974" t="str">
            <v>11885743782</v>
          </cell>
          <cell r="B974" t="str">
            <v>118857</v>
          </cell>
          <cell r="C974" t="str">
            <v>佐藤 穂波</v>
          </cell>
          <cell r="D974">
            <v>43782</v>
          </cell>
          <cell r="E974" t="str">
            <v/>
          </cell>
          <cell r="F974" t="str">
            <v/>
          </cell>
          <cell r="G974" t="str">
            <v/>
          </cell>
        </row>
        <row r="975">
          <cell r="A975" t="str">
            <v>11885743783</v>
          </cell>
          <cell r="B975" t="str">
            <v>118857</v>
          </cell>
          <cell r="C975" t="str">
            <v>佐藤 穂波</v>
          </cell>
          <cell r="D975">
            <v>43783</v>
          </cell>
          <cell r="E975" t="str">
            <v/>
          </cell>
          <cell r="F975" t="str">
            <v/>
          </cell>
          <cell r="G975" t="str">
            <v/>
          </cell>
        </row>
        <row r="976">
          <cell r="A976" t="str">
            <v>11885743784</v>
          </cell>
          <cell r="B976" t="str">
            <v>118857</v>
          </cell>
          <cell r="C976" t="str">
            <v>佐藤 穂波</v>
          </cell>
          <cell r="D976">
            <v>43784</v>
          </cell>
          <cell r="E976" t="str">
            <v>●</v>
          </cell>
          <cell r="F976" t="str">
            <v/>
          </cell>
          <cell r="G976" t="str">
            <v/>
          </cell>
        </row>
        <row r="977">
          <cell r="A977" t="str">
            <v>11885743785</v>
          </cell>
          <cell r="B977" t="str">
            <v>118857</v>
          </cell>
          <cell r="C977" t="str">
            <v>佐藤 穂波</v>
          </cell>
          <cell r="D977">
            <v>43785</v>
          </cell>
          <cell r="E977" t="str">
            <v>○</v>
          </cell>
          <cell r="F977" t="str">
            <v/>
          </cell>
          <cell r="G977" t="str">
            <v/>
          </cell>
        </row>
        <row r="978">
          <cell r="A978" t="str">
            <v>11885743786</v>
          </cell>
          <cell r="B978" t="str">
            <v>118857</v>
          </cell>
          <cell r="C978" t="str">
            <v>佐藤 穂波</v>
          </cell>
          <cell r="D978">
            <v>43786</v>
          </cell>
          <cell r="E978" t="str">
            <v>●</v>
          </cell>
          <cell r="F978" t="str">
            <v/>
          </cell>
          <cell r="G978" t="str">
            <v/>
          </cell>
        </row>
        <row r="979">
          <cell r="A979" t="str">
            <v>11885743787</v>
          </cell>
          <cell r="B979" t="str">
            <v>118857</v>
          </cell>
          <cell r="C979" t="str">
            <v>佐藤 穂波</v>
          </cell>
          <cell r="D979">
            <v>43787</v>
          </cell>
          <cell r="E979" t="str">
            <v/>
          </cell>
          <cell r="F979" t="str">
            <v/>
          </cell>
          <cell r="G979" t="str">
            <v/>
          </cell>
        </row>
        <row r="980">
          <cell r="A980" t="str">
            <v>11885743788</v>
          </cell>
          <cell r="B980" t="str">
            <v>118857</v>
          </cell>
          <cell r="C980" t="str">
            <v>佐藤 穂波</v>
          </cell>
          <cell r="D980">
            <v>43788</v>
          </cell>
          <cell r="E980" t="str">
            <v/>
          </cell>
          <cell r="F980" t="str">
            <v/>
          </cell>
          <cell r="G980" t="str">
            <v/>
          </cell>
        </row>
        <row r="981">
          <cell r="A981" t="str">
            <v>11885743789</v>
          </cell>
          <cell r="B981" t="str">
            <v>118857</v>
          </cell>
          <cell r="C981" t="str">
            <v>佐藤 穂波</v>
          </cell>
          <cell r="D981">
            <v>43789</v>
          </cell>
          <cell r="E981" t="str">
            <v/>
          </cell>
          <cell r="F981" t="str">
            <v/>
          </cell>
          <cell r="G981" t="str">
            <v/>
          </cell>
        </row>
        <row r="982">
          <cell r="A982" t="str">
            <v>11885743790</v>
          </cell>
          <cell r="B982" t="str">
            <v>118857</v>
          </cell>
          <cell r="C982" t="str">
            <v>佐藤 穂波</v>
          </cell>
          <cell r="D982">
            <v>43790</v>
          </cell>
          <cell r="E982" t="str">
            <v/>
          </cell>
          <cell r="F982" t="str">
            <v/>
          </cell>
          <cell r="G982" t="str">
            <v/>
          </cell>
        </row>
        <row r="983">
          <cell r="A983" t="str">
            <v>11885743791</v>
          </cell>
          <cell r="B983" t="str">
            <v>118857</v>
          </cell>
          <cell r="C983" t="str">
            <v>佐藤 穂波</v>
          </cell>
          <cell r="D983">
            <v>43791</v>
          </cell>
          <cell r="E983" t="str">
            <v/>
          </cell>
          <cell r="F983" t="str">
            <v/>
          </cell>
          <cell r="G983" t="str">
            <v/>
          </cell>
        </row>
        <row r="984">
          <cell r="A984" t="str">
            <v>11885743792</v>
          </cell>
          <cell r="B984" t="str">
            <v>118857</v>
          </cell>
          <cell r="C984" t="str">
            <v>佐藤 穂波</v>
          </cell>
          <cell r="D984">
            <v>43792</v>
          </cell>
          <cell r="E984" t="str">
            <v>当</v>
          </cell>
          <cell r="F984" t="str">
            <v/>
          </cell>
          <cell r="G984" t="str">
            <v/>
          </cell>
        </row>
        <row r="985">
          <cell r="A985" t="str">
            <v>11885743793</v>
          </cell>
          <cell r="B985" t="str">
            <v>118857</v>
          </cell>
          <cell r="C985" t="str">
            <v>佐藤 穂波</v>
          </cell>
          <cell r="D985">
            <v>43793</v>
          </cell>
          <cell r="E985" t="str">
            <v>明</v>
          </cell>
          <cell r="F985" t="str">
            <v/>
          </cell>
          <cell r="G985" t="str">
            <v/>
          </cell>
        </row>
        <row r="986">
          <cell r="A986" t="str">
            <v>11885743794</v>
          </cell>
          <cell r="B986" t="str">
            <v>118857</v>
          </cell>
          <cell r="C986" t="str">
            <v>佐藤 穂波</v>
          </cell>
          <cell r="D986">
            <v>43794</v>
          </cell>
          <cell r="E986" t="str">
            <v/>
          </cell>
          <cell r="F986" t="str">
            <v/>
          </cell>
          <cell r="G986" t="str">
            <v/>
          </cell>
        </row>
        <row r="987">
          <cell r="A987" t="str">
            <v>11885743795</v>
          </cell>
          <cell r="B987" t="str">
            <v>118857</v>
          </cell>
          <cell r="C987" t="str">
            <v>佐藤 穂波</v>
          </cell>
          <cell r="D987">
            <v>43795</v>
          </cell>
          <cell r="E987" t="str">
            <v/>
          </cell>
          <cell r="F987" t="str">
            <v/>
          </cell>
          <cell r="G987" t="str">
            <v/>
          </cell>
        </row>
        <row r="988">
          <cell r="A988" t="str">
            <v>11885743796</v>
          </cell>
          <cell r="B988" t="str">
            <v>118857</v>
          </cell>
          <cell r="C988" t="str">
            <v>佐藤 穂波</v>
          </cell>
          <cell r="D988">
            <v>43796</v>
          </cell>
          <cell r="E988" t="str">
            <v>●</v>
          </cell>
          <cell r="F988" t="str">
            <v/>
          </cell>
          <cell r="G988" t="str">
            <v/>
          </cell>
        </row>
        <row r="989">
          <cell r="A989" t="str">
            <v>11885743797</v>
          </cell>
          <cell r="B989" t="str">
            <v>118857</v>
          </cell>
          <cell r="C989" t="str">
            <v>佐藤 穂波</v>
          </cell>
          <cell r="D989">
            <v>43797</v>
          </cell>
          <cell r="E989" t="str">
            <v>●</v>
          </cell>
          <cell r="F989" t="str">
            <v/>
          </cell>
          <cell r="G989" t="str">
            <v/>
          </cell>
        </row>
        <row r="990">
          <cell r="A990" t="str">
            <v>11885743798</v>
          </cell>
          <cell r="B990" t="str">
            <v>118857</v>
          </cell>
          <cell r="C990" t="str">
            <v>佐藤 穂波</v>
          </cell>
          <cell r="D990">
            <v>43798</v>
          </cell>
          <cell r="E990" t="str">
            <v/>
          </cell>
          <cell r="F990" t="str">
            <v/>
          </cell>
          <cell r="G990" t="str">
            <v/>
          </cell>
        </row>
        <row r="991">
          <cell r="A991" t="str">
            <v>11885743799</v>
          </cell>
          <cell r="B991" t="str">
            <v>118857</v>
          </cell>
          <cell r="C991" t="str">
            <v>佐藤 穂波</v>
          </cell>
          <cell r="D991">
            <v>43799</v>
          </cell>
          <cell r="E991" t="str">
            <v>○</v>
          </cell>
          <cell r="F991" t="str">
            <v/>
          </cell>
          <cell r="G991" t="str">
            <v/>
          </cell>
        </row>
        <row r="992">
          <cell r="A992" t="str">
            <v>11886943770</v>
          </cell>
          <cell r="B992" t="str">
            <v>118869</v>
          </cell>
          <cell r="C992" t="str">
            <v>薬司 康平</v>
          </cell>
          <cell r="D992">
            <v>43770</v>
          </cell>
          <cell r="E992" t="str">
            <v/>
          </cell>
          <cell r="F992" t="str">
            <v/>
          </cell>
          <cell r="G992">
            <v>34</v>
          </cell>
        </row>
        <row r="993">
          <cell r="A993" t="str">
            <v>11886943771</v>
          </cell>
          <cell r="B993" t="str">
            <v>118869</v>
          </cell>
          <cell r="C993" t="str">
            <v>薬司 康平</v>
          </cell>
          <cell r="D993">
            <v>43771</v>
          </cell>
          <cell r="E993" t="str">
            <v>○</v>
          </cell>
          <cell r="F993" t="str">
            <v/>
          </cell>
          <cell r="G993" t="str">
            <v/>
          </cell>
        </row>
        <row r="994">
          <cell r="A994" t="str">
            <v>11886943772</v>
          </cell>
          <cell r="B994" t="str">
            <v>118869</v>
          </cell>
          <cell r="C994" t="str">
            <v>薬司 康平</v>
          </cell>
          <cell r="D994">
            <v>43772</v>
          </cell>
          <cell r="E994" t="str">
            <v>●</v>
          </cell>
          <cell r="F994" t="str">
            <v/>
          </cell>
          <cell r="G994" t="str">
            <v/>
          </cell>
        </row>
        <row r="995">
          <cell r="A995" t="str">
            <v>11886943773</v>
          </cell>
          <cell r="B995" t="str">
            <v>118869</v>
          </cell>
          <cell r="C995" t="str">
            <v>薬司 康平</v>
          </cell>
          <cell r="D995">
            <v>43773</v>
          </cell>
          <cell r="E995" t="str">
            <v>●</v>
          </cell>
          <cell r="F995" t="str">
            <v/>
          </cell>
          <cell r="G995" t="str">
            <v/>
          </cell>
        </row>
        <row r="996">
          <cell r="A996" t="str">
            <v>11886943774</v>
          </cell>
          <cell r="B996" t="str">
            <v>118869</v>
          </cell>
          <cell r="C996" t="str">
            <v>薬司 康平</v>
          </cell>
          <cell r="D996">
            <v>43774</v>
          </cell>
          <cell r="E996" t="str">
            <v>●</v>
          </cell>
          <cell r="F996" t="str">
            <v/>
          </cell>
          <cell r="G996" t="str">
            <v/>
          </cell>
        </row>
        <row r="997">
          <cell r="A997" t="str">
            <v>11886943775</v>
          </cell>
          <cell r="B997" t="str">
            <v>118869</v>
          </cell>
          <cell r="C997" t="str">
            <v>薬司 康平</v>
          </cell>
          <cell r="D997">
            <v>43775</v>
          </cell>
          <cell r="E997" t="str">
            <v/>
          </cell>
          <cell r="F997" t="str">
            <v/>
          </cell>
          <cell r="G997" t="str">
            <v/>
          </cell>
        </row>
        <row r="998">
          <cell r="A998" t="str">
            <v>11886943776</v>
          </cell>
          <cell r="B998" t="str">
            <v>118869</v>
          </cell>
          <cell r="C998" t="str">
            <v>薬司 康平</v>
          </cell>
          <cell r="D998">
            <v>43776</v>
          </cell>
          <cell r="E998" t="str">
            <v/>
          </cell>
          <cell r="F998" t="str">
            <v/>
          </cell>
          <cell r="G998" t="str">
            <v/>
          </cell>
        </row>
        <row r="999">
          <cell r="A999" t="str">
            <v>11886943777</v>
          </cell>
          <cell r="B999" t="str">
            <v>118869</v>
          </cell>
          <cell r="C999" t="str">
            <v>薬司 康平</v>
          </cell>
          <cell r="D999">
            <v>43777</v>
          </cell>
          <cell r="E999" t="str">
            <v/>
          </cell>
          <cell r="F999" t="str">
            <v>年PM</v>
          </cell>
          <cell r="G999" t="str">
            <v/>
          </cell>
        </row>
        <row r="1000">
          <cell r="A1000" t="str">
            <v>11886943778</v>
          </cell>
          <cell r="B1000" t="str">
            <v>118869</v>
          </cell>
          <cell r="C1000" t="str">
            <v>薬司 康平</v>
          </cell>
          <cell r="D1000">
            <v>43778</v>
          </cell>
          <cell r="E1000" t="str">
            <v>／</v>
          </cell>
          <cell r="F1000" t="str">
            <v/>
          </cell>
          <cell r="G1000" t="str">
            <v/>
          </cell>
        </row>
        <row r="1001">
          <cell r="A1001" t="str">
            <v>11886943779</v>
          </cell>
          <cell r="B1001" t="str">
            <v>118869</v>
          </cell>
          <cell r="C1001" t="str">
            <v>薬司 康平</v>
          </cell>
          <cell r="D1001">
            <v>43779</v>
          </cell>
          <cell r="E1001" t="str">
            <v>当</v>
          </cell>
          <cell r="F1001" t="str">
            <v/>
          </cell>
          <cell r="G1001" t="str">
            <v/>
          </cell>
        </row>
        <row r="1002">
          <cell r="A1002" t="str">
            <v>11886943780</v>
          </cell>
          <cell r="B1002" t="str">
            <v>118869</v>
          </cell>
          <cell r="C1002" t="str">
            <v>薬司 康平</v>
          </cell>
          <cell r="D1002">
            <v>43780</v>
          </cell>
          <cell r="E1002" t="str">
            <v>明</v>
          </cell>
          <cell r="F1002" t="str">
            <v/>
          </cell>
          <cell r="G1002" t="str">
            <v/>
          </cell>
        </row>
        <row r="1003">
          <cell r="A1003" t="str">
            <v>11886943781</v>
          </cell>
          <cell r="B1003" t="str">
            <v>118869</v>
          </cell>
          <cell r="C1003" t="str">
            <v>薬司 康平</v>
          </cell>
          <cell r="D1003">
            <v>43781</v>
          </cell>
          <cell r="E1003" t="str">
            <v/>
          </cell>
          <cell r="F1003" t="str">
            <v/>
          </cell>
          <cell r="G1003" t="str">
            <v/>
          </cell>
        </row>
        <row r="1004">
          <cell r="A1004" t="str">
            <v>11886943782</v>
          </cell>
          <cell r="B1004" t="str">
            <v>118869</v>
          </cell>
          <cell r="C1004" t="str">
            <v>薬司 康平</v>
          </cell>
          <cell r="D1004">
            <v>43782</v>
          </cell>
          <cell r="E1004" t="str">
            <v/>
          </cell>
          <cell r="F1004" t="str">
            <v/>
          </cell>
          <cell r="G1004" t="str">
            <v/>
          </cell>
        </row>
        <row r="1005">
          <cell r="A1005" t="str">
            <v>11886943783</v>
          </cell>
          <cell r="B1005" t="str">
            <v>118869</v>
          </cell>
          <cell r="C1005" t="str">
            <v>薬司 康平</v>
          </cell>
          <cell r="D1005">
            <v>43783</v>
          </cell>
          <cell r="E1005" t="str">
            <v/>
          </cell>
          <cell r="F1005" t="str">
            <v/>
          </cell>
          <cell r="G1005" t="str">
            <v/>
          </cell>
        </row>
        <row r="1006">
          <cell r="A1006" t="str">
            <v>11886943784</v>
          </cell>
          <cell r="B1006" t="str">
            <v>118869</v>
          </cell>
          <cell r="C1006" t="str">
            <v>薬司 康平</v>
          </cell>
          <cell r="D1006">
            <v>43784</v>
          </cell>
          <cell r="E1006" t="str">
            <v>当</v>
          </cell>
          <cell r="F1006" t="str">
            <v/>
          </cell>
          <cell r="G1006" t="str">
            <v/>
          </cell>
        </row>
        <row r="1007">
          <cell r="A1007" t="str">
            <v>11886943785</v>
          </cell>
          <cell r="B1007" t="str">
            <v>118869</v>
          </cell>
          <cell r="C1007" t="str">
            <v>薬司 康平</v>
          </cell>
          <cell r="D1007">
            <v>43785</v>
          </cell>
          <cell r="E1007" t="str">
            <v>明</v>
          </cell>
          <cell r="F1007" t="str">
            <v>指PM</v>
          </cell>
          <cell r="G1007" t="str">
            <v/>
          </cell>
        </row>
        <row r="1008">
          <cell r="A1008" t="str">
            <v>11886943786</v>
          </cell>
          <cell r="B1008" t="str">
            <v>118869</v>
          </cell>
          <cell r="C1008" t="str">
            <v>薬司 康平</v>
          </cell>
          <cell r="D1008">
            <v>43786</v>
          </cell>
          <cell r="E1008" t="str">
            <v>●</v>
          </cell>
          <cell r="F1008" t="str">
            <v/>
          </cell>
          <cell r="G1008" t="str">
            <v/>
          </cell>
        </row>
        <row r="1009">
          <cell r="A1009" t="str">
            <v>11886943787</v>
          </cell>
          <cell r="B1009" t="str">
            <v>118869</v>
          </cell>
          <cell r="C1009" t="str">
            <v>薬司 康平</v>
          </cell>
          <cell r="D1009">
            <v>43787</v>
          </cell>
          <cell r="E1009" t="str">
            <v/>
          </cell>
          <cell r="F1009" t="str">
            <v/>
          </cell>
          <cell r="G1009" t="str">
            <v/>
          </cell>
        </row>
        <row r="1010">
          <cell r="A1010" t="str">
            <v>11886943788</v>
          </cell>
          <cell r="B1010" t="str">
            <v>118869</v>
          </cell>
          <cell r="C1010" t="str">
            <v>薬司 康平</v>
          </cell>
          <cell r="D1010">
            <v>43788</v>
          </cell>
          <cell r="E1010" t="str">
            <v/>
          </cell>
          <cell r="F1010" t="str">
            <v/>
          </cell>
          <cell r="G1010" t="str">
            <v/>
          </cell>
        </row>
        <row r="1011">
          <cell r="A1011" t="str">
            <v>11886943789</v>
          </cell>
          <cell r="B1011" t="str">
            <v>118869</v>
          </cell>
          <cell r="C1011" t="str">
            <v>薬司 康平</v>
          </cell>
          <cell r="D1011">
            <v>43789</v>
          </cell>
          <cell r="E1011" t="str">
            <v>●</v>
          </cell>
          <cell r="F1011" t="str">
            <v/>
          </cell>
          <cell r="G1011" t="str">
            <v/>
          </cell>
        </row>
        <row r="1012">
          <cell r="A1012" t="str">
            <v>11886943790</v>
          </cell>
          <cell r="B1012" t="str">
            <v>118869</v>
          </cell>
          <cell r="C1012" t="str">
            <v>薬司 康平</v>
          </cell>
          <cell r="D1012">
            <v>43790</v>
          </cell>
          <cell r="E1012" t="str">
            <v>当</v>
          </cell>
          <cell r="F1012" t="str">
            <v/>
          </cell>
          <cell r="G1012" t="str">
            <v/>
          </cell>
        </row>
        <row r="1013">
          <cell r="A1013" t="str">
            <v>11886943791</v>
          </cell>
          <cell r="B1013" t="str">
            <v>118869</v>
          </cell>
          <cell r="C1013" t="str">
            <v>薬司 康平</v>
          </cell>
          <cell r="D1013">
            <v>43791</v>
          </cell>
          <cell r="E1013" t="str">
            <v>明</v>
          </cell>
          <cell r="F1013" t="str">
            <v/>
          </cell>
          <cell r="G1013" t="str">
            <v/>
          </cell>
        </row>
        <row r="1014">
          <cell r="A1014" t="str">
            <v>11886943792</v>
          </cell>
          <cell r="B1014" t="str">
            <v>118869</v>
          </cell>
          <cell r="C1014" t="str">
            <v>薬司 康平</v>
          </cell>
          <cell r="D1014">
            <v>43792</v>
          </cell>
          <cell r="E1014" t="str">
            <v>●</v>
          </cell>
          <cell r="F1014" t="str">
            <v/>
          </cell>
          <cell r="G1014" t="str">
            <v/>
          </cell>
        </row>
        <row r="1015">
          <cell r="A1015" t="str">
            <v>11886943793</v>
          </cell>
          <cell r="B1015" t="str">
            <v>118869</v>
          </cell>
          <cell r="C1015" t="str">
            <v>薬司 康平</v>
          </cell>
          <cell r="D1015">
            <v>43793</v>
          </cell>
          <cell r="E1015" t="str">
            <v>●</v>
          </cell>
          <cell r="F1015" t="str">
            <v/>
          </cell>
          <cell r="G1015" t="str">
            <v/>
          </cell>
        </row>
        <row r="1016">
          <cell r="A1016" t="str">
            <v>11886943794</v>
          </cell>
          <cell r="B1016" t="str">
            <v>118869</v>
          </cell>
          <cell r="C1016" t="str">
            <v>薬司 康平</v>
          </cell>
          <cell r="D1016">
            <v>43794</v>
          </cell>
          <cell r="E1016" t="str">
            <v/>
          </cell>
          <cell r="F1016" t="str">
            <v/>
          </cell>
          <cell r="G1016" t="str">
            <v/>
          </cell>
        </row>
        <row r="1017">
          <cell r="A1017" t="str">
            <v>11886943795</v>
          </cell>
          <cell r="B1017" t="str">
            <v>118869</v>
          </cell>
          <cell r="C1017" t="str">
            <v>薬司 康平</v>
          </cell>
          <cell r="D1017">
            <v>43795</v>
          </cell>
          <cell r="E1017" t="str">
            <v/>
          </cell>
          <cell r="F1017" t="str">
            <v/>
          </cell>
          <cell r="G1017" t="str">
            <v/>
          </cell>
        </row>
        <row r="1018">
          <cell r="A1018" t="str">
            <v>11886943796</v>
          </cell>
          <cell r="B1018" t="str">
            <v>118869</v>
          </cell>
          <cell r="C1018" t="str">
            <v>薬司 康平</v>
          </cell>
          <cell r="D1018">
            <v>43796</v>
          </cell>
          <cell r="E1018" t="str">
            <v/>
          </cell>
          <cell r="F1018" t="str">
            <v/>
          </cell>
          <cell r="G1018" t="str">
            <v/>
          </cell>
        </row>
        <row r="1019">
          <cell r="A1019" t="str">
            <v>11886943797</v>
          </cell>
          <cell r="B1019" t="str">
            <v>118869</v>
          </cell>
          <cell r="C1019" t="str">
            <v>薬司 康平</v>
          </cell>
          <cell r="D1019">
            <v>43797</v>
          </cell>
          <cell r="E1019" t="str">
            <v/>
          </cell>
          <cell r="F1019" t="str">
            <v/>
          </cell>
          <cell r="G1019" t="str">
            <v/>
          </cell>
        </row>
        <row r="1020">
          <cell r="A1020" t="str">
            <v>11886943798</v>
          </cell>
          <cell r="B1020" t="str">
            <v>118869</v>
          </cell>
          <cell r="C1020" t="str">
            <v>薬司 康平</v>
          </cell>
          <cell r="D1020">
            <v>43798</v>
          </cell>
          <cell r="E1020" t="str">
            <v/>
          </cell>
          <cell r="F1020" t="str">
            <v/>
          </cell>
          <cell r="G1020" t="str">
            <v/>
          </cell>
        </row>
        <row r="1021">
          <cell r="A1021" t="str">
            <v>11886943799</v>
          </cell>
          <cell r="B1021" t="str">
            <v>118869</v>
          </cell>
          <cell r="C1021" t="str">
            <v>薬司 康平</v>
          </cell>
          <cell r="D1021">
            <v>43799</v>
          </cell>
          <cell r="E1021" t="str">
            <v>○</v>
          </cell>
          <cell r="F1021" t="str">
            <v/>
          </cell>
          <cell r="G1021" t="str">
            <v/>
          </cell>
        </row>
        <row r="1022">
          <cell r="A1022" t="str">
            <v>12232743770</v>
          </cell>
          <cell r="B1022" t="str">
            <v>122327</v>
          </cell>
          <cell r="C1022" t="str">
            <v>龍野 康介</v>
          </cell>
          <cell r="D1022">
            <v>43770</v>
          </cell>
          <cell r="E1022" t="str">
            <v/>
          </cell>
          <cell r="F1022" t="str">
            <v/>
          </cell>
          <cell r="G1022">
            <v>35</v>
          </cell>
        </row>
        <row r="1023">
          <cell r="A1023" t="str">
            <v>12232743771</v>
          </cell>
          <cell r="B1023" t="str">
            <v>122327</v>
          </cell>
          <cell r="C1023" t="str">
            <v>龍野 康介</v>
          </cell>
          <cell r="D1023">
            <v>43771</v>
          </cell>
          <cell r="E1023" t="str">
            <v>／</v>
          </cell>
          <cell r="F1023" t="str">
            <v/>
          </cell>
          <cell r="G1023" t="str">
            <v/>
          </cell>
        </row>
        <row r="1024">
          <cell r="A1024" t="str">
            <v>12232743772</v>
          </cell>
          <cell r="B1024" t="str">
            <v>122327</v>
          </cell>
          <cell r="C1024" t="str">
            <v>龍野 康介</v>
          </cell>
          <cell r="D1024">
            <v>43772</v>
          </cell>
          <cell r="E1024" t="str">
            <v>●</v>
          </cell>
          <cell r="F1024" t="str">
            <v/>
          </cell>
          <cell r="G1024" t="str">
            <v/>
          </cell>
        </row>
        <row r="1025">
          <cell r="A1025" t="str">
            <v>12232743773</v>
          </cell>
          <cell r="B1025" t="str">
            <v>122327</v>
          </cell>
          <cell r="C1025" t="str">
            <v>龍野 康介</v>
          </cell>
          <cell r="D1025">
            <v>43773</v>
          </cell>
          <cell r="E1025" t="str">
            <v>●</v>
          </cell>
          <cell r="F1025" t="str">
            <v/>
          </cell>
          <cell r="G1025" t="str">
            <v/>
          </cell>
        </row>
        <row r="1026">
          <cell r="A1026" t="str">
            <v>12232743774</v>
          </cell>
          <cell r="B1026" t="str">
            <v>122327</v>
          </cell>
          <cell r="C1026" t="str">
            <v>龍野 康介</v>
          </cell>
          <cell r="D1026">
            <v>43774</v>
          </cell>
          <cell r="E1026" t="str">
            <v/>
          </cell>
          <cell r="F1026" t="str">
            <v/>
          </cell>
          <cell r="G1026" t="str">
            <v/>
          </cell>
        </row>
        <row r="1027">
          <cell r="A1027" t="str">
            <v>12232743775</v>
          </cell>
          <cell r="B1027" t="str">
            <v>122327</v>
          </cell>
          <cell r="C1027" t="str">
            <v>龍野 康介</v>
          </cell>
          <cell r="D1027">
            <v>43775</v>
          </cell>
          <cell r="E1027" t="str">
            <v/>
          </cell>
          <cell r="F1027" t="str">
            <v/>
          </cell>
          <cell r="G1027" t="str">
            <v/>
          </cell>
        </row>
        <row r="1028">
          <cell r="A1028" t="str">
            <v>12232743776</v>
          </cell>
          <cell r="B1028" t="str">
            <v>122327</v>
          </cell>
          <cell r="C1028" t="str">
            <v>龍野 康介</v>
          </cell>
          <cell r="D1028">
            <v>43776</v>
          </cell>
          <cell r="E1028" t="str">
            <v/>
          </cell>
          <cell r="F1028" t="str">
            <v/>
          </cell>
          <cell r="G1028" t="str">
            <v/>
          </cell>
        </row>
        <row r="1029">
          <cell r="A1029" t="str">
            <v>12232743777</v>
          </cell>
          <cell r="B1029" t="str">
            <v>122327</v>
          </cell>
          <cell r="C1029" t="str">
            <v>龍野 康介</v>
          </cell>
          <cell r="D1029">
            <v>43777</v>
          </cell>
          <cell r="E1029" t="str">
            <v/>
          </cell>
          <cell r="F1029" t="str">
            <v/>
          </cell>
          <cell r="G1029" t="str">
            <v/>
          </cell>
        </row>
        <row r="1030">
          <cell r="A1030" t="str">
            <v>12232743778</v>
          </cell>
          <cell r="B1030" t="str">
            <v>122327</v>
          </cell>
          <cell r="C1030" t="str">
            <v>龍野 康介</v>
          </cell>
          <cell r="D1030">
            <v>43778</v>
          </cell>
          <cell r="E1030" t="str">
            <v>○</v>
          </cell>
          <cell r="F1030" t="str">
            <v/>
          </cell>
          <cell r="G1030" t="str">
            <v/>
          </cell>
        </row>
        <row r="1031">
          <cell r="A1031" t="str">
            <v>12232743779</v>
          </cell>
          <cell r="B1031" t="str">
            <v>122327</v>
          </cell>
          <cell r="C1031" t="str">
            <v>龍野 康介</v>
          </cell>
          <cell r="D1031">
            <v>43779</v>
          </cell>
          <cell r="E1031" t="str">
            <v>●</v>
          </cell>
          <cell r="F1031" t="str">
            <v/>
          </cell>
          <cell r="G1031" t="str">
            <v/>
          </cell>
        </row>
        <row r="1032">
          <cell r="A1032" t="str">
            <v>12232743780</v>
          </cell>
          <cell r="B1032" t="str">
            <v>122327</v>
          </cell>
          <cell r="C1032" t="str">
            <v>龍野 康介</v>
          </cell>
          <cell r="D1032">
            <v>43780</v>
          </cell>
          <cell r="E1032" t="str">
            <v/>
          </cell>
          <cell r="F1032" t="str">
            <v/>
          </cell>
          <cell r="G1032" t="str">
            <v/>
          </cell>
        </row>
        <row r="1033">
          <cell r="A1033" t="str">
            <v>12232743781</v>
          </cell>
          <cell r="B1033" t="str">
            <v>122327</v>
          </cell>
          <cell r="C1033" t="str">
            <v>龍野 康介</v>
          </cell>
          <cell r="D1033">
            <v>43781</v>
          </cell>
          <cell r="E1033" t="str">
            <v/>
          </cell>
          <cell r="F1033" t="str">
            <v/>
          </cell>
          <cell r="G1033" t="str">
            <v/>
          </cell>
        </row>
        <row r="1034">
          <cell r="A1034" t="str">
            <v>12232743782</v>
          </cell>
          <cell r="B1034" t="str">
            <v>122327</v>
          </cell>
          <cell r="C1034" t="str">
            <v>龍野 康介</v>
          </cell>
          <cell r="D1034">
            <v>43782</v>
          </cell>
          <cell r="E1034" t="str">
            <v/>
          </cell>
          <cell r="F1034" t="str">
            <v/>
          </cell>
          <cell r="G1034" t="str">
            <v/>
          </cell>
        </row>
        <row r="1035">
          <cell r="A1035" t="str">
            <v>12232743783</v>
          </cell>
          <cell r="B1035" t="str">
            <v>122327</v>
          </cell>
          <cell r="C1035" t="str">
            <v>龍野 康介</v>
          </cell>
          <cell r="D1035">
            <v>43783</v>
          </cell>
          <cell r="E1035" t="str">
            <v/>
          </cell>
          <cell r="F1035" t="str">
            <v/>
          </cell>
          <cell r="G1035" t="str">
            <v/>
          </cell>
        </row>
        <row r="1036">
          <cell r="A1036" t="str">
            <v>12232743784</v>
          </cell>
          <cell r="B1036" t="str">
            <v>122327</v>
          </cell>
          <cell r="C1036" t="str">
            <v>龍野 康介</v>
          </cell>
          <cell r="D1036">
            <v>43784</v>
          </cell>
          <cell r="E1036" t="str">
            <v/>
          </cell>
          <cell r="F1036" t="str">
            <v/>
          </cell>
          <cell r="G1036" t="str">
            <v/>
          </cell>
        </row>
        <row r="1037">
          <cell r="A1037" t="str">
            <v>12232743785</v>
          </cell>
          <cell r="B1037" t="str">
            <v>122327</v>
          </cell>
          <cell r="C1037" t="str">
            <v>龍野 康介</v>
          </cell>
          <cell r="D1037">
            <v>43785</v>
          </cell>
          <cell r="E1037" t="str">
            <v>／</v>
          </cell>
          <cell r="F1037" t="str">
            <v/>
          </cell>
          <cell r="G1037" t="str">
            <v/>
          </cell>
        </row>
        <row r="1038">
          <cell r="A1038" t="str">
            <v>12232743786</v>
          </cell>
          <cell r="B1038" t="str">
            <v>122327</v>
          </cell>
          <cell r="C1038" t="str">
            <v>龍野 康介</v>
          </cell>
          <cell r="D1038">
            <v>43786</v>
          </cell>
          <cell r="E1038" t="str">
            <v>●</v>
          </cell>
          <cell r="F1038" t="str">
            <v/>
          </cell>
          <cell r="G1038" t="str">
            <v/>
          </cell>
        </row>
        <row r="1039">
          <cell r="A1039" t="str">
            <v>12232743787</v>
          </cell>
          <cell r="B1039" t="str">
            <v>122327</v>
          </cell>
          <cell r="C1039" t="str">
            <v>龍野 康介</v>
          </cell>
          <cell r="D1039">
            <v>43787</v>
          </cell>
          <cell r="E1039" t="str">
            <v/>
          </cell>
          <cell r="F1039" t="str">
            <v/>
          </cell>
          <cell r="G1039" t="str">
            <v/>
          </cell>
        </row>
        <row r="1040">
          <cell r="A1040" t="str">
            <v>12232743788</v>
          </cell>
          <cell r="B1040" t="str">
            <v>122327</v>
          </cell>
          <cell r="C1040" t="str">
            <v>龍野 康介</v>
          </cell>
          <cell r="D1040">
            <v>43788</v>
          </cell>
          <cell r="E1040" t="str">
            <v/>
          </cell>
          <cell r="F1040" t="str">
            <v/>
          </cell>
          <cell r="G1040" t="str">
            <v/>
          </cell>
        </row>
        <row r="1041">
          <cell r="A1041" t="str">
            <v>12232743789</v>
          </cell>
          <cell r="B1041" t="str">
            <v>122327</v>
          </cell>
          <cell r="C1041" t="str">
            <v>龍野 康介</v>
          </cell>
          <cell r="D1041">
            <v>43789</v>
          </cell>
          <cell r="E1041" t="str">
            <v/>
          </cell>
          <cell r="F1041" t="str">
            <v>年休</v>
          </cell>
          <cell r="G1041" t="str">
            <v/>
          </cell>
        </row>
        <row r="1042">
          <cell r="A1042" t="str">
            <v>12232743790</v>
          </cell>
          <cell r="B1042" t="str">
            <v>122327</v>
          </cell>
          <cell r="C1042" t="str">
            <v>龍野 康介</v>
          </cell>
          <cell r="D1042">
            <v>43790</v>
          </cell>
          <cell r="E1042" t="str">
            <v/>
          </cell>
          <cell r="F1042" t="str">
            <v>年休</v>
          </cell>
          <cell r="G1042" t="str">
            <v/>
          </cell>
        </row>
        <row r="1043">
          <cell r="A1043" t="str">
            <v>12232743791</v>
          </cell>
          <cell r="B1043" t="str">
            <v>122327</v>
          </cell>
          <cell r="C1043" t="str">
            <v>龍野 康介</v>
          </cell>
          <cell r="D1043">
            <v>43791</v>
          </cell>
          <cell r="E1043" t="str">
            <v/>
          </cell>
          <cell r="F1043" t="str">
            <v>年休</v>
          </cell>
          <cell r="G1043" t="str">
            <v/>
          </cell>
        </row>
        <row r="1044">
          <cell r="A1044" t="str">
            <v>12232743792</v>
          </cell>
          <cell r="B1044" t="str">
            <v>122327</v>
          </cell>
          <cell r="C1044" t="str">
            <v>龍野 康介</v>
          </cell>
          <cell r="D1044">
            <v>43792</v>
          </cell>
          <cell r="E1044" t="str">
            <v>●</v>
          </cell>
          <cell r="F1044" t="str">
            <v/>
          </cell>
          <cell r="G1044" t="str">
            <v/>
          </cell>
        </row>
        <row r="1045">
          <cell r="A1045" t="str">
            <v>12232743793</v>
          </cell>
          <cell r="B1045" t="str">
            <v>122327</v>
          </cell>
          <cell r="C1045" t="str">
            <v>龍野 康介</v>
          </cell>
          <cell r="D1045">
            <v>43793</v>
          </cell>
          <cell r="E1045" t="str">
            <v>●</v>
          </cell>
          <cell r="F1045" t="str">
            <v/>
          </cell>
          <cell r="G1045" t="str">
            <v/>
          </cell>
        </row>
        <row r="1046">
          <cell r="A1046" t="str">
            <v>12232743794</v>
          </cell>
          <cell r="B1046" t="str">
            <v>122327</v>
          </cell>
          <cell r="C1046" t="str">
            <v>龍野 康介</v>
          </cell>
          <cell r="D1046">
            <v>43794</v>
          </cell>
          <cell r="E1046" t="str">
            <v/>
          </cell>
          <cell r="F1046" t="str">
            <v/>
          </cell>
          <cell r="G1046" t="str">
            <v/>
          </cell>
        </row>
        <row r="1047">
          <cell r="A1047" t="str">
            <v>12232743795</v>
          </cell>
          <cell r="B1047" t="str">
            <v>122327</v>
          </cell>
          <cell r="C1047" t="str">
            <v>龍野 康介</v>
          </cell>
          <cell r="D1047">
            <v>43795</v>
          </cell>
          <cell r="E1047" t="str">
            <v/>
          </cell>
          <cell r="F1047" t="str">
            <v/>
          </cell>
          <cell r="G1047" t="str">
            <v/>
          </cell>
        </row>
        <row r="1048">
          <cell r="A1048" t="str">
            <v>12232743796</v>
          </cell>
          <cell r="B1048" t="str">
            <v>122327</v>
          </cell>
          <cell r="C1048" t="str">
            <v>龍野 康介</v>
          </cell>
          <cell r="D1048">
            <v>43796</v>
          </cell>
          <cell r="E1048" t="str">
            <v/>
          </cell>
          <cell r="F1048" t="str">
            <v/>
          </cell>
          <cell r="G1048" t="str">
            <v/>
          </cell>
        </row>
        <row r="1049">
          <cell r="A1049" t="str">
            <v>12232743797</v>
          </cell>
          <cell r="B1049" t="str">
            <v>122327</v>
          </cell>
          <cell r="C1049" t="str">
            <v>龍野 康介</v>
          </cell>
          <cell r="D1049">
            <v>43797</v>
          </cell>
          <cell r="E1049" t="str">
            <v/>
          </cell>
          <cell r="F1049" t="str">
            <v/>
          </cell>
          <cell r="G1049" t="str">
            <v/>
          </cell>
        </row>
        <row r="1050">
          <cell r="A1050" t="str">
            <v>12232743798</v>
          </cell>
          <cell r="B1050" t="str">
            <v>122327</v>
          </cell>
          <cell r="C1050" t="str">
            <v>龍野 康介</v>
          </cell>
          <cell r="D1050">
            <v>43798</v>
          </cell>
          <cell r="E1050" t="str">
            <v/>
          </cell>
          <cell r="F1050" t="str">
            <v/>
          </cell>
          <cell r="G1050" t="str">
            <v/>
          </cell>
        </row>
        <row r="1051">
          <cell r="A1051" t="str">
            <v>12232743799</v>
          </cell>
          <cell r="B1051" t="str">
            <v>122327</v>
          </cell>
          <cell r="C1051" t="str">
            <v>龍野 康介</v>
          </cell>
          <cell r="D1051">
            <v>43799</v>
          </cell>
          <cell r="E1051" t="str">
            <v>○</v>
          </cell>
          <cell r="F1051" t="str">
            <v/>
          </cell>
          <cell r="G1051" t="str">
            <v/>
          </cell>
        </row>
        <row r="1052">
          <cell r="A1052" t="str">
            <v>12233943770</v>
          </cell>
          <cell r="B1052" t="str">
            <v>122339</v>
          </cell>
          <cell r="C1052" t="str">
            <v>西郡 健太</v>
          </cell>
          <cell r="D1052">
            <v>43770</v>
          </cell>
          <cell r="E1052" t="str">
            <v/>
          </cell>
          <cell r="F1052" t="str">
            <v/>
          </cell>
          <cell r="G1052">
            <v>36</v>
          </cell>
        </row>
        <row r="1053">
          <cell r="A1053" t="str">
            <v>12233943771</v>
          </cell>
          <cell r="B1053" t="str">
            <v>122339</v>
          </cell>
          <cell r="C1053" t="str">
            <v>西郡 健太</v>
          </cell>
          <cell r="D1053">
            <v>43771</v>
          </cell>
          <cell r="E1053" t="str">
            <v>○</v>
          </cell>
          <cell r="F1053" t="str">
            <v/>
          </cell>
          <cell r="G1053" t="str">
            <v/>
          </cell>
        </row>
        <row r="1054">
          <cell r="A1054" t="str">
            <v>12233943772</v>
          </cell>
          <cell r="B1054" t="str">
            <v>122339</v>
          </cell>
          <cell r="C1054" t="str">
            <v>西郡 健太</v>
          </cell>
          <cell r="D1054">
            <v>43772</v>
          </cell>
          <cell r="E1054" t="str">
            <v>●</v>
          </cell>
          <cell r="F1054" t="str">
            <v/>
          </cell>
          <cell r="G1054" t="str">
            <v/>
          </cell>
        </row>
        <row r="1055">
          <cell r="A1055" t="str">
            <v>12233943773</v>
          </cell>
          <cell r="B1055" t="str">
            <v>122339</v>
          </cell>
          <cell r="C1055" t="str">
            <v>西郡 健太</v>
          </cell>
          <cell r="D1055">
            <v>43773</v>
          </cell>
          <cell r="E1055" t="str">
            <v>●</v>
          </cell>
          <cell r="F1055" t="str">
            <v/>
          </cell>
          <cell r="G1055" t="str">
            <v/>
          </cell>
        </row>
        <row r="1056">
          <cell r="A1056" t="str">
            <v>12233943774</v>
          </cell>
          <cell r="B1056" t="str">
            <v>122339</v>
          </cell>
          <cell r="C1056" t="str">
            <v>西郡 健太</v>
          </cell>
          <cell r="D1056">
            <v>43774</v>
          </cell>
          <cell r="E1056" t="str">
            <v/>
          </cell>
          <cell r="F1056" t="str">
            <v/>
          </cell>
          <cell r="G1056" t="str">
            <v/>
          </cell>
        </row>
        <row r="1057">
          <cell r="A1057" t="str">
            <v>12233943775</v>
          </cell>
          <cell r="B1057" t="str">
            <v>122339</v>
          </cell>
          <cell r="C1057" t="str">
            <v>西郡 健太</v>
          </cell>
          <cell r="D1057">
            <v>43775</v>
          </cell>
          <cell r="E1057" t="str">
            <v/>
          </cell>
          <cell r="F1057" t="str">
            <v/>
          </cell>
          <cell r="G1057" t="str">
            <v/>
          </cell>
        </row>
        <row r="1058">
          <cell r="A1058" t="str">
            <v>12233943776</v>
          </cell>
          <cell r="B1058" t="str">
            <v>122339</v>
          </cell>
          <cell r="C1058" t="str">
            <v>西郡 健太</v>
          </cell>
          <cell r="D1058">
            <v>43776</v>
          </cell>
          <cell r="E1058" t="str">
            <v/>
          </cell>
          <cell r="F1058" t="str">
            <v/>
          </cell>
          <cell r="G1058" t="str">
            <v/>
          </cell>
        </row>
        <row r="1059">
          <cell r="A1059" t="str">
            <v>12233943777</v>
          </cell>
          <cell r="B1059" t="str">
            <v>122339</v>
          </cell>
          <cell r="C1059" t="str">
            <v>西郡 健太</v>
          </cell>
          <cell r="D1059">
            <v>43777</v>
          </cell>
          <cell r="E1059" t="str">
            <v/>
          </cell>
          <cell r="F1059" t="str">
            <v/>
          </cell>
          <cell r="G1059" t="str">
            <v/>
          </cell>
        </row>
        <row r="1060">
          <cell r="A1060" t="str">
            <v>12233943778</v>
          </cell>
          <cell r="B1060" t="str">
            <v>122339</v>
          </cell>
          <cell r="C1060" t="str">
            <v>西郡 健太</v>
          </cell>
          <cell r="D1060">
            <v>43778</v>
          </cell>
          <cell r="E1060" t="str">
            <v>○</v>
          </cell>
          <cell r="F1060" t="str">
            <v/>
          </cell>
          <cell r="G1060" t="str">
            <v/>
          </cell>
        </row>
        <row r="1061">
          <cell r="A1061" t="str">
            <v>12233943779</v>
          </cell>
          <cell r="B1061" t="str">
            <v>122339</v>
          </cell>
          <cell r="C1061" t="str">
            <v>西郡 健太</v>
          </cell>
          <cell r="D1061">
            <v>43779</v>
          </cell>
          <cell r="E1061" t="str">
            <v>●</v>
          </cell>
          <cell r="F1061" t="str">
            <v/>
          </cell>
          <cell r="G1061" t="str">
            <v/>
          </cell>
        </row>
        <row r="1062">
          <cell r="A1062" t="str">
            <v>12233943780</v>
          </cell>
          <cell r="B1062" t="str">
            <v>122339</v>
          </cell>
          <cell r="C1062" t="str">
            <v>西郡 健太</v>
          </cell>
          <cell r="D1062">
            <v>43780</v>
          </cell>
          <cell r="E1062" t="str">
            <v/>
          </cell>
          <cell r="F1062" t="str">
            <v/>
          </cell>
          <cell r="G1062" t="str">
            <v/>
          </cell>
        </row>
        <row r="1063">
          <cell r="A1063" t="str">
            <v>12233943781</v>
          </cell>
          <cell r="B1063" t="str">
            <v>122339</v>
          </cell>
          <cell r="C1063" t="str">
            <v>西郡 健太</v>
          </cell>
          <cell r="D1063">
            <v>43781</v>
          </cell>
          <cell r="E1063" t="str">
            <v/>
          </cell>
          <cell r="F1063" t="str">
            <v/>
          </cell>
          <cell r="G1063" t="str">
            <v/>
          </cell>
        </row>
        <row r="1064">
          <cell r="A1064" t="str">
            <v>12233943782</v>
          </cell>
          <cell r="B1064" t="str">
            <v>122339</v>
          </cell>
          <cell r="C1064" t="str">
            <v>西郡 健太</v>
          </cell>
          <cell r="D1064">
            <v>43782</v>
          </cell>
          <cell r="E1064" t="str">
            <v/>
          </cell>
          <cell r="F1064" t="str">
            <v/>
          </cell>
          <cell r="G1064" t="str">
            <v/>
          </cell>
        </row>
        <row r="1065">
          <cell r="A1065" t="str">
            <v>12233943783</v>
          </cell>
          <cell r="B1065" t="str">
            <v>122339</v>
          </cell>
          <cell r="C1065" t="str">
            <v>西郡 健太</v>
          </cell>
          <cell r="D1065">
            <v>43783</v>
          </cell>
          <cell r="E1065" t="str">
            <v/>
          </cell>
          <cell r="F1065" t="str">
            <v/>
          </cell>
          <cell r="G1065" t="str">
            <v/>
          </cell>
        </row>
        <row r="1066">
          <cell r="A1066" t="str">
            <v>12233943784</v>
          </cell>
          <cell r="B1066" t="str">
            <v>122339</v>
          </cell>
          <cell r="C1066" t="str">
            <v>西郡 健太</v>
          </cell>
          <cell r="D1066">
            <v>43784</v>
          </cell>
          <cell r="E1066" t="str">
            <v/>
          </cell>
          <cell r="F1066" t="str">
            <v/>
          </cell>
          <cell r="G1066" t="str">
            <v/>
          </cell>
        </row>
        <row r="1067">
          <cell r="A1067" t="str">
            <v>12233943785</v>
          </cell>
          <cell r="B1067" t="str">
            <v>122339</v>
          </cell>
          <cell r="C1067" t="str">
            <v>西郡 健太</v>
          </cell>
          <cell r="D1067">
            <v>43785</v>
          </cell>
          <cell r="E1067" t="str">
            <v>／</v>
          </cell>
          <cell r="F1067" t="str">
            <v/>
          </cell>
          <cell r="G1067" t="str">
            <v/>
          </cell>
        </row>
        <row r="1068">
          <cell r="A1068" t="str">
            <v>12233943786</v>
          </cell>
          <cell r="B1068" t="str">
            <v>122339</v>
          </cell>
          <cell r="C1068" t="str">
            <v>西郡 健太</v>
          </cell>
          <cell r="D1068">
            <v>43786</v>
          </cell>
          <cell r="E1068" t="str">
            <v>●</v>
          </cell>
          <cell r="F1068" t="str">
            <v/>
          </cell>
          <cell r="G1068" t="str">
            <v/>
          </cell>
        </row>
        <row r="1069">
          <cell r="A1069" t="str">
            <v>12233943787</v>
          </cell>
          <cell r="B1069" t="str">
            <v>122339</v>
          </cell>
          <cell r="C1069" t="str">
            <v>西郡 健太</v>
          </cell>
          <cell r="D1069">
            <v>43787</v>
          </cell>
          <cell r="E1069" t="str">
            <v/>
          </cell>
          <cell r="F1069" t="str">
            <v/>
          </cell>
          <cell r="G1069" t="str">
            <v/>
          </cell>
        </row>
        <row r="1070">
          <cell r="A1070" t="str">
            <v>12233943788</v>
          </cell>
          <cell r="B1070" t="str">
            <v>122339</v>
          </cell>
          <cell r="C1070" t="str">
            <v>西郡 健太</v>
          </cell>
          <cell r="D1070">
            <v>43788</v>
          </cell>
          <cell r="E1070" t="str">
            <v/>
          </cell>
          <cell r="F1070" t="str">
            <v/>
          </cell>
          <cell r="G1070" t="str">
            <v/>
          </cell>
        </row>
        <row r="1071">
          <cell r="A1071" t="str">
            <v>12233943789</v>
          </cell>
          <cell r="B1071" t="str">
            <v>122339</v>
          </cell>
          <cell r="C1071" t="str">
            <v>西郡 健太</v>
          </cell>
          <cell r="D1071">
            <v>43789</v>
          </cell>
          <cell r="E1071" t="str">
            <v/>
          </cell>
          <cell r="F1071" t="str">
            <v/>
          </cell>
          <cell r="G1071" t="str">
            <v/>
          </cell>
        </row>
        <row r="1072">
          <cell r="A1072" t="str">
            <v>12233943790</v>
          </cell>
          <cell r="B1072" t="str">
            <v>122339</v>
          </cell>
          <cell r="C1072" t="str">
            <v>西郡 健太</v>
          </cell>
          <cell r="D1072">
            <v>43790</v>
          </cell>
          <cell r="E1072" t="str">
            <v/>
          </cell>
          <cell r="F1072" t="str">
            <v/>
          </cell>
          <cell r="G1072" t="str">
            <v/>
          </cell>
        </row>
        <row r="1073">
          <cell r="A1073" t="str">
            <v>12233943791</v>
          </cell>
          <cell r="B1073" t="str">
            <v>122339</v>
          </cell>
          <cell r="C1073" t="str">
            <v>西郡 健太</v>
          </cell>
          <cell r="D1073">
            <v>43791</v>
          </cell>
          <cell r="E1073" t="str">
            <v/>
          </cell>
          <cell r="F1073" t="str">
            <v/>
          </cell>
          <cell r="G1073" t="str">
            <v/>
          </cell>
        </row>
        <row r="1074">
          <cell r="A1074" t="str">
            <v>12233943792</v>
          </cell>
          <cell r="B1074" t="str">
            <v>122339</v>
          </cell>
          <cell r="C1074" t="str">
            <v>西郡 健太</v>
          </cell>
          <cell r="D1074">
            <v>43792</v>
          </cell>
          <cell r="E1074" t="str">
            <v>●</v>
          </cell>
          <cell r="F1074" t="str">
            <v/>
          </cell>
          <cell r="G1074" t="str">
            <v/>
          </cell>
        </row>
        <row r="1075">
          <cell r="A1075" t="str">
            <v>12233943793</v>
          </cell>
          <cell r="B1075" t="str">
            <v>122339</v>
          </cell>
          <cell r="C1075" t="str">
            <v>西郡 健太</v>
          </cell>
          <cell r="D1075">
            <v>43793</v>
          </cell>
          <cell r="E1075" t="str">
            <v>●</v>
          </cell>
          <cell r="F1075" t="str">
            <v/>
          </cell>
          <cell r="G1075" t="str">
            <v/>
          </cell>
        </row>
        <row r="1076">
          <cell r="A1076" t="str">
            <v>12233943794</v>
          </cell>
          <cell r="B1076" t="str">
            <v>122339</v>
          </cell>
          <cell r="C1076" t="str">
            <v>西郡 健太</v>
          </cell>
          <cell r="D1076">
            <v>43794</v>
          </cell>
          <cell r="E1076" t="str">
            <v/>
          </cell>
          <cell r="F1076" t="str">
            <v/>
          </cell>
          <cell r="G1076" t="str">
            <v/>
          </cell>
        </row>
        <row r="1077">
          <cell r="A1077" t="str">
            <v>12233943795</v>
          </cell>
          <cell r="B1077" t="str">
            <v>122339</v>
          </cell>
          <cell r="C1077" t="str">
            <v>西郡 健太</v>
          </cell>
          <cell r="D1077">
            <v>43795</v>
          </cell>
          <cell r="E1077" t="str">
            <v/>
          </cell>
          <cell r="F1077" t="str">
            <v/>
          </cell>
          <cell r="G1077" t="str">
            <v/>
          </cell>
        </row>
        <row r="1078">
          <cell r="A1078" t="str">
            <v>12233943796</v>
          </cell>
          <cell r="B1078" t="str">
            <v>122339</v>
          </cell>
          <cell r="C1078" t="str">
            <v>西郡 健太</v>
          </cell>
          <cell r="D1078">
            <v>43796</v>
          </cell>
          <cell r="E1078" t="str">
            <v/>
          </cell>
          <cell r="F1078" t="str">
            <v/>
          </cell>
          <cell r="G1078" t="str">
            <v/>
          </cell>
        </row>
        <row r="1079">
          <cell r="A1079" t="str">
            <v>12233943797</v>
          </cell>
          <cell r="B1079" t="str">
            <v>122339</v>
          </cell>
          <cell r="C1079" t="str">
            <v>西郡 健太</v>
          </cell>
          <cell r="D1079">
            <v>43797</v>
          </cell>
          <cell r="E1079" t="str">
            <v/>
          </cell>
          <cell r="F1079" t="str">
            <v/>
          </cell>
          <cell r="G1079" t="str">
            <v/>
          </cell>
        </row>
        <row r="1080">
          <cell r="A1080" t="str">
            <v>12233943798</v>
          </cell>
          <cell r="B1080" t="str">
            <v>122339</v>
          </cell>
          <cell r="C1080" t="str">
            <v>西郡 健太</v>
          </cell>
          <cell r="D1080">
            <v>43798</v>
          </cell>
          <cell r="E1080" t="str">
            <v/>
          </cell>
          <cell r="F1080" t="str">
            <v/>
          </cell>
          <cell r="G1080" t="str">
            <v/>
          </cell>
        </row>
        <row r="1081">
          <cell r="A1081" t="str">
            <v>12233943799</v>
          </cell>
          <cell r="B1081" t="str">
            <v>122339</v>
          </cell>
          <cell r="C1081" t="str">
            <v>西郡 健太</v>
          </cell>
          <cell r="D1081">
            <v>43799</v>
          </cell>
          <cell r="E1081" t="str">
            <v>／</v>
          </cell>
          <cell r="F1081" t="str">
            <v/>
          </cell>
          <cell r="G1081" t="str">
            <v/>
          </cell>
        </row>
        <row r="1082">
          <cell r="A1082" t="str">
            <v>12337143770</v>
          </cell>
          <cell r="B1082" t="str">
            <v>123371</v>
          </cell>
          <cell r="C1082" t="str">
            <v>大畑 周星</v>
          </cell>
          <cell r="D1082">
            <v>43770</v>
          </cell>
          <cell r="E1082" t="str">
            <v>●</v>
          </cell>
          <cell r="F1082" t="str">
            <v/>
          </cell>
          <cell r="G1082">
            <v>37</v>
          </cell>
        </row>
        <row r="1083">
          <cell r="A1083" t="str">
            <v>12337143771</v>
          </cell>
          <cell r="B1083" t="str">
            <v>123371</v>
          </cell>
          <cell r="C1083" t="str">
            <v>大畑 周星</v>
          </cell>
          <cell r="D1083">
            <v>43771</v>
          </cell>
          <cell r="E1083" t="str">
            <v>●</v>
          </cell>
          <cell r="F1083" t="str">
            <v/>
          </cell>
          <cell r="G1083" t="str">
            <v/>
          </cell>
        </row>
        <row r="1084">
          <cell r="A1084" t="str">
            <v>12337143772</v>
          </cell>
          <cell r="B1084" t="str">
            <v>123371</v>
          </cell>
          <cell r="C1084" t="str">
            <v>大畑 周星</v>
          </cell>
          <cell r="D1084">
            <v>43772</v>
          </cell>
          <cell r="E1084" t="str">
            <v>●</v>
          </cell>
          <cell r="F1084" t="str">
            <v/>
          </cell>
          <cell r="G1084" t="str">
            <v/>
          </cell>
        </row>
        <row r="1085">
          <cell r="A1085" t="str">
            <v>12337143773</v>
          </cell>
          <cell r="B1085" t="str">
            <v>123371</v>
          </cell>
          <cell r="C1085" t="str">
            <v>大畑 周星</v>
          </cell>
          <cell r="D1085">
            <v>43773</v>
          </cell>
          <cell r="E1085" t="str">
            <v>●</v>
          </cell>
          <cell r="F1085" t="str">
            <v/>
          </cell>
          <cell r="G1085" t="str">
            <v/>
          </cell>
        </row>
        <row r="1086">
          <cell r="A1086" t="str">
            <v>12337143774</v>
          </cell>
          <cell r="B1086" t="str">
            <v>123371</v>
          </cell>
          <cell r="C1086" t="str">
            <v>大畑 周星</v>
          </cell>
          <cell r="D1086">
            <v>43774</v>
          </cell>
          <cell r="E1086" t="str">
            <v>●</v>
          </cell>
          <cell r="F1086" t="str">
            <v/>
          </cell>
          <cell r="G1086" t="str">
            <v/>
          </cell>
        </row>
        <row r="1087">
          <cell r="A1087" t="str">
            <v>12337143775</v>
          </cell>
          <cell r="B1087" t="str">
            <v>123371</v>
          </cell>
          <cell r="C1087" t="str">
            <v>大畑 周星</v>
          </cell>
          <cell r="D1087">
            <v>43775</v>
          </cell>
          <cell r="E1087" t="str">
            <v>／</v>
          </cell>
          <cell r="F1087" t="str">
            <v/>
          </cell>
          <cell r="G1087" t="str">
            <v/>
          </cell>
        </row>
        <row r="1088">
          <cell r="A1088" t="str">
            <v>12337143776</v>
          </cell>
          <cell r="B1088" t="str">
            <v>123371</v>
          </cell>
          <cell r="C1088" t="str">
            <v>大畑 周星</v>
          </cell>
          <cell r="D1088">
            <v>43776</v>
          </cell>
          <cell r="E1088" t="str">
            <v>●</v>
          </cell>
          <cell r="F1088" t="str">
            <v/>
          </cell>
          <cell r="G1088" t="str">
            <v/>
          </cell>
        </row>
        <row r="1089">
          <cell r="A1089" t="str">
            <v>12337143777</v>
          </cell>
          <cell r="B1089" t="str">
            <v>123371</v>
          </cell>
          <cell r="C1089" t="str">
            <v>大畑 周星</v>
          </cell>
          <cell r="D1089">
            <v>43777</v>
          </cell>
          <cell r="E1089" t="str">
            <v>●</v>
          </cell>
          <cell r="F1089" t="str">
            <v/>
          </cell>
          <cell r="G1089" t="str">
            <v/>
          </cell>
        </row>
        <row r="1090">
          <cell r="A1090" t="str">
            <v>12337143778</v>
          </cell>
          <cell r="B1090" t="str">
            <v>123371</v>
          </cell>
          <cell r="C1090" t="str">
            <v>大畑 周星</v>
          </cell>
          <cell r="D1090">
            <v>43778</v>
          </cell>
          <cell r="E1090" t="str">
            <v>●</v>
          </cell>
          <cell r="F1090" t="str">
            <v/>
          </cell>
          <cell r="G1090" t="str">
            <v/>
          </cell>
        </row>
        <row r="1091">
          <cell r="A1091" t="str">
            <v>12337143779</v>
          </cell>
          <cell r="B1091" t="str">
            <v>123371</v>
          </cell>
          <cell r="C1091" t="str">
            <v>大畑 周星</v>
          </cell>
          <cell r="D1091">
            <v>43779</v>
          </cell>
          <cell r="E1091" t="str">
            <v>●</v>
          </cell>
          <cell r="F1091" t="str">
            <v/>
          </cell>
          <cell r="G1091" t="str">
            <v/>
          </cell>
        </row>
        <row r="1092">
          <cell r="A1092" t="str">
            <v>12337143780</v>
          </cell>
          <cell r="B1092" t="str">
            <v>123371</v>
          </cell>
          <cell r="C1092" t="str">
            <v>大畑 周星</v>
          </cell>
          <cell r="D1092">
            <v>43780</v>
          </cell>
          <cell r="E1092" t="str">
            <v>／</v>
          </cell>
          <cell r="F1092" t="str">
            <v/>
          </cell>
          <cell r="G1092" t="str">
            <v/>
          </cell>
        </row>
        <row r="1093">
          <cell r="A1093" t="str">
            <v>12337143781</v>
          </cell>
          <cell r="B1093" t="str">
            <v>123371</v>
          </cell>
          <cell r="C1093" t="str">
            <v>大畑 周星</v>
          </cell>
          <cell r="D1093">
            <v>43781</v>
          </cell>
          <cell r="E1093" t="str">
            <v>●</v>
          </cell>
          <cell r="F1093" t="str">
            <v/>
          </cell>
          <cell r="G1093" t="str">
            <v/>
          </cell>
        </row>
        <row r="1094">
          <cell r="A1094" t="str">
            <v>12337143782</v>
          </cell>
          <cell r="B1094" t="str">
            <v>123371</v>
          </cell>
          <cell r="C1094" t="str">
            <v>大畑 周星</v>
          </cell>
          <cell r="D1094">
            <v>43782</v>
          </cell>
          <cell r="E1094" t="str">
            <v>／</v>
          </cell>
          <cell r="F1094" t="str">
            <v/>
          </cell>
          <cell r="G1094" t="str">
            <v/>
          </cell>
        </row>
        <row r="1095">
          <cell r="A1095" t="str">
            <v>12337143783</v>
          </cell>
          <cell r="B1095" t="str">
            <v>123371</v>
          </cell>
          <cell r="C1095" t="str">
            <v>大畑 周星</v>
          </cell>
          <cell r="D1095">
            <v>43783</v>
          </cell>
          <cell r="E1095" t="str">
            <v>●</v>
          </cell>
          <cell r="F1095" t="str">
            <v/>
          </cell>
          <cell r="G1095" t="str">
            <v/>
          </cell>
        </row>
        <row r="1096">
          <cell r="A1096" t="str">
            <v>12337143784</v>
          </cell>
          <cell r="B1096" t="str">
            <v>123371</v>
          </cell>
          <cell r="C1096" t="str">
            <v>大畑 周星</v>
          </cell>
          <cell r="D1096">
            <v>43784</v>
          </cell>
          <cell r="E1096" t="str">
            <v>●</v>
          </cell>
          <cell r="F1096" t="str">
            <v/>
          </cell>
          <cell r="G1096" t="str">
            <v/>
          </cell>
        </row>
        <row r="1097">
          <cell r="A1097" t="str">
            <v>12337143785</v>
          </cell>
          <cell r="B1097" t="str">
            <v>123371</v>
          </cell>
          <cell r="C1097" t="str">
            <v>大畑 周星</v>
          </cell>
          <cell r="D1097">
            <v>43785</v>
          </cell>
          <cell r="E1097" t="str">
            <v>●</v>
          </cell>
          <cell r="F1097" t="str">
            <v/>
          </cell>
          <cell r="G1097" t="str">
            <v/>
          </cell>
        </row>
        <row r="1098">
          <cell r="A1098" t="str">
            <v>12337143786</v>
          </cell>
          <cell r="B1098" t="str">
            <v>123371</v>
          </cell>
          <cell r="C1098" t="str">
            <v>大畑 周星</v>
          </cell>
          <cell r="D1098">
            <v>43786</v>
          </cell>
          <cell r="E1098" t="str">
            <v>●</v>
          </cell>
          <cell r="F1098" t="str">
            <v/>
          </cell>
          <cell r="G1098" t="str">
            <v/>
          </cell>
        </row>
        <row r="1099">
          <cell r="A1099" t="str">
            <v>12337143787</v>
          </cell>
          <cell r="B1099" t="str">
            <v>123371</v>
          </cell>
          <cell r="C1099" t="str">
            <v>大畑 周星</v>
          </cell>
          <cell r="D1099">
            <v>43787</v>
          </cell>
          <cell r="E1099" t="str">
            <v>●</v>
          </cell>
          <cell r="F1099" t="str">
            <v/>
          </cell>
          <cell r="G1099" t="str">
            <v/>
          </cell>
        </row>
        <row r="1100">
          <cell r="A1100" t="str">
            <v>12337143788</v>
          </cell>
          <cell r="B1100" t="str">
            <v>123371</v>
          </cell>
          <cell r="C1100" t="str">
            <v>大畑 周星</v>
          </cell>
          <cell r="D1100">
            <v>43788</v>
          </cell>
          <cell r="E1100" t="str">
            <v>●</v>
          </cell>
          <cell r="F1100" t="str">
            <v/>
          </cell>
          <cell r="G1100" t="str">
            <v/>
          </cell>
        </row>
        <row r="1101">
          <cell r="A1101" t="str">
            <v>12337143789</v>
          </cell>
          <cell r="B1101" t="str">
            <v>123371</v>
          </cell>
          <cell r="C1101" t="str">
            <v>大畑 周星</v>
          </cell>
          <cell r="D1101">
            <v>43789</v>
          </cell>
          <cell r="E1101" t="str">
            <v>／</v>
          </cell>
          <cell r="F1101" t="str">
            <v/>
          </cell>
          <cell r="G1101" t="str">
            <v/>
          </cell>
        </row>
        <row r="1102">
          <cell r="A1102" t="str">
            <v>12337143790</v>
          </cell>
          <cell r="B1102" t="str">
            <v>123371</v>
          </cell>
          <cell r="C1102" t="str">
            <v>大畑 周星</v>
          </cell>
          <cell r="D1102">
            <v>43790</v>
          </cell>
          <cell r="E1102" t="str">
            <v>●</v>
          </cell>
          <cell r="F1102" t="str">
            <v/>
          </cell>
          <cell r="G1102" t="str">
            <v/>
          </cell>
        </row>
        <row r="1103">
          <cell r="A1103" t="str">
            <v>12337143791</v>
          </cell>
          <cell r="B1103" t="str">
            <v>123371</v>
          </cell>
          <cell r="C1103" t="str">
            <v>大畑 周星</v>
          </cell>
          <cell r="D1103">
            <v>43791</v>
          </cell>
          <cell r="E1103" t="str">
            <v>●</v>
          </cell>
          <cell r="F1103" t="str">
            <v/>
          </cell>
          <cell r="G1103" t="str">
            <v/>
          </cell>
        </row>
        <row r="1104">
          <cell r="A1104" t="str">
            <v>12337143792</v>
          </cell>
          <cell r="B1104" t="str">
            <v>123371</v>
          </cell>
          <cell r="C1104" t="str">
            <v>大畑 周星</v>
          </cell>
          <cell r="D1104">
            <v>43792</v>
          </cell>
          <cell r="E1104" t="str">
            <v>●</v>
          </cell>
          <cell r="F1104" t="str">
            <v/>
          </cell>
          <cell r="G1104" t="str">
            <v/>
          </cell>
        </row>
        <row r="1105">
          <cell r="A1105" t="str">
            <v>12337143793</v>
          </cell>
          <cell r="B1105" t="str">
            <v>123371</v>
          </cell>
          <cell r="C1105" t="str">
            <v>大畑 周星</v>
          </cell>
          <cell r="D1105">
            <v>43793</v>
          </cell>
          <cell r="E1105" t="str">
            <v>●</v>
          </cell>
          <cell r="F1105" t="str">
            <v/>
          </cell>
          <cell r="G1105" t="str">
            <v/>
          </cell>
        </row>
        <row r="1106">
          <cell r="A1106" t="str">
            <v>12337143794</v>
          </cell>
          <cell r="B1106" t="str">
            <v>123371</v>
          </cell>
          <cell r="C1106" t="str">
            <v>大畑 周星</v>
          </cell>
          <cell r="D1106">
            <v>43794</v>
          </cell>
          <cell r="E1106" t="str">
            <v>●</v>
          </cell>
          <cell r="F1106" t="str">
            <v/>
          </cell>
          <cell r="G1106" t="str">
            <v/>
          </cell>
        </row>
        <row r="1107">
          <cell r="A1107" t="str">
            <v>12337143795</v>
          </cell>
          <cell r="B1107" t="str">
            <v>123371</v>
          </cell>
          <cell r="C1107" t="str">
            <v>大畑 周星</v>
          </cell>
          <cell r="D1107">
            <v>43795</v>
          </cell>
          <cell r="E1107" t="str">
            <v>●</v>
          </cell>
          <cell r="F1107" t="str">
            <v/>
          </cell>
          <cell r="G1107" t="str">
            <v/>
          </cell>
        </row>
        <row r="1108">
          <cell r="A1108" t="str">
            <v>12337143796</v>
          </cell>
          <cell r="B1108" t="str">
            <v>123371</v>
          </cell>
          <cell r="C1108" t="str">
            <v>大畑 周星</v>
          </cell>
          <cell r="D1108">
            <v>43796</v>
          </cell>
          <cell r="E1108" t="str">
            <v>／</v>
          </cell>
          <cell r="F1108" t="str">
            <v/>
          </cell>
          <cell r="G1108" t="str">
            <v/>
          </cell>
        </row>
        <row r="1109">
          <cell r="A1109" t="str">
            <v>12337143797</v>
          </cell>
          <cell r="B1109" t="str">
            <v>123371</v>
          </cell>
          <cell r="C1109" t="str">
            <v>大畑 周星</v>
          </cell>
          <cell r="D1109">
            <v>43797</v>
          </cell>
          <cell r="E1109" t="str">
            <v>●</v>
          </cell>
          <cell r="F1109" t="str">
            <v/>
          </cell>
          <cell r="G1109" t="str">
            <v/>
          </cell>
        </row>
        <row r="1110">
          <cell r="A1110" t="str">
            <v>12337143798</v>
          </cell>
          <cell r="B1110" t="str">
            <v>123371</v>
          </cell>
          <cell r="C1110" t="str">
            <v>大畑 周星</v>
          </cell>
          <cell r="D1110">
            <v>43798</v>
          </cell>
          <cell r="E1110" t="str">
            <v>●</v>
          </cell>
          <cell r="F1110" t="str">
            <v/>
          </cell>
          <cell r="G1110" t="str">
            <v/>
          </cell>
        </row>
        <row r="1111">
          <cell r="A1111" t="str">
            <v>12337143799</v>
          </cell>
          <cell r="B1111" t="str">
            <v>123371</v>
          </cell>
          <cell r="C1111" t="str">
            <v>大畑 周星</v>
          </cell>
          <cell r="D1111">
            <v>43799</v>
          </cell>
          <cell r="E1111" t="str">
            <v>●</v>
          </cell>
          <cell r="F1111" t="str">
            <v/>
          </cell>
          <cell r="G1111" t="str">
            <v/>
          </cell>
        </row>
        <row r="1112">
          <cell r="A1112" t="str">
            <v>12338343770</v>
          </cell>
          <cell r="B1112" t="str">
            <v>123383</v>
          </cell>
          <cell r="C1112" t="str">
            <v>谷口 昂</v>
          </cell>
          <cell r="D1112">
            <v>43770</v>
          </cell>
          <cell r="E1112" t="str">
            <v>／</v>
          </cell>
          <cell r="F1112" t="str">
            <v/>
          </cell>
          <cell r="G1112">
            <v>38</v>
          </cell>
        </row>
        <row r="1113">
          <cell r="A1113" t="str">
            <v>12338343771</v>
          </cell>
          <cell r="B1113" t="str">
            <v>123383</v>
          </cell>
          <cell r="C1113" t="str">
            <v>谷口 昂</v>
          </cell>
          <cell r="D1113">
            <v>43771</v>
          </cell>
          <cell r="E1113" t="str">
            <v>●</v>
          </cell>
          <cell r="F1113" t="str">
            <v/>
          </cell>
          <cell r="G1113" t="str">
            <v/>
          </cell>
        </row>
        <row r="1114">
          <cell r="A1114" t="str">
            <v>12338343772</v>
          </cell>
          <cell r="B1114" t="str">
            <v>123383</v>
          </cell>
          <cell r="C1114" t="str">
            <v>谷口 昂</v>
          </cell>
          <cell r="D1114">
            <v>43772</v>
          </cell>
          <cell r="E1114" t="str">
            <v>●</v>
          </cell>
          <cell r="F1114" t="str">
            <v/>
          </cell>
          <cell r="G1114" t="str">
            <v/>
          </cell>
        </row>
        <row r="1115">
          <cell r="A1115" t="str">
            <v>12338343773</v>
          </cell>
          <cell r="B1115" t="str">
            <v>123383</v>
          </cell>
          <cell r="C1115" t="str">
            <v>谷口 昂</v>
          </cell>
          <cell r="D1115">
            <v>43773</v>
          </cell>
          <cell r="E1115" t="str">
            <v>●</v>
          </cell>
          <cell r="F1115" t="str">
            <v/>
          </cell>
          <cell r="G1115" t="str">
            <v/>
          </cell>
        </row>
        <row r="1116">
          <cell r="A1116" t="str">
            <v>12338343774</v>
          </cell>
          <cell r="B1116" t="str">
            <v>123383</v>
          </cell>
          <cell r="C1116" t="str">
            <v>谷口 昂</v>
          </cell>
          <cell r="D1116">
            <v>43774</v>
          </cell>
          <cell r="E1116" t="str">
            <v>●</v>
          </cell>
          <cell r="F1116" t="str">
            <v/>
          </cell>
          <cell r="G1116" t="str">
            <v/>
          </cell>
        </row>
        <row r="1117">
          <cell r="A1117" t="str">
            <v>12338343775</v>
          </cell>
          <cell r="B1117" t="str">
            <v>123383</v>
          </cell>
          <cell r="C1117" t="str">
            <v>谷口 昂</v>
          </cell>
          <cell r="D1117">
            <v>43775</v>
          </cell>
          <cell r="E1117" t="str">
            <v>／</v>
          </cell>
          <cell r="F1117" t="str">
            <v/>
          </cell>
          <cell r="G1117" t="str">
            <v/>
          </cell>
        </row>
        <row r="1118">
          <cell r="A1118" t="str">
            <v>12338343776</v>
          </cell>
          <cell r="B1118" t="str">
            <v>123383</v>
          </cell>
          <cell r="C1118" t="str">
            <v>谷口 昂</v>
          </cell>
          <cell r="D1118">
            <v>43776</v>
          </cell>
          <cell r="E1118" t="str">
            <v>／</v>
          </cell>
          <cell r="F1118" t="str">
            <v/>
          </cell>
          <cell r="G1118" t="str">
            <v/>
          </cell>
        </row>
        <row r="1119">
          <cell r="A1119" t="str">
            <v>12338343777</v>
          </cell>
          <cell r="B1119" t="str">
            <v>123383</v>
          </cell>
          <cell r="C1119" t="str">
            <v>谷口 昂</v>
          </cell>
          <cell r="D1119">
            <v>43777</v>
          </cell>
          <cell r="E1119" t="str">
            <v>／</v>
          </cell>
          <cell r="F1119" t="str">
            <v/>
          </cell>
          <cell r="G1119" t="str">
            <v/>
          </cell>
        </row>
        <row r="1120">
          <cell r="A1120" t="str">
            <v>12338343778</v>
          </cell>
          <cell r="B1120" t="str">
            <v>123383</v>
          </cell>
          <cell r="C1120" t="str">
            <v>谷口 昂</v>
          </cell>
          <cell r="D1120">
            <v>43778</v>
          </cell>
          <cell r="E1120" t="str">
            <v>●</v>
          </cell>
          <cell r="F1120" t="str">
            <v/>
          </cell>
          <cell r="G1120" t="str">
            <v/>
          </cell>
        </row>
        <row r="1121">
          <cell r="A1121" t="str">
            <v>12338343779</v>
          </cell>
          <cell r="B1121" t="str">
            <v>123383</v>
          </cell>
          <cell r="C1121" t="str">
            <v>谷口 昂</v>
          </cell>
          <cell r="D1121">
            <v>43779</v>
          </cell>
          <cell r="E1121" t="str">
            <v>●</v>
          </cell>
          <cell r="F1121" t="str">
            <v/>
          </cell>
          <cell r="G1121" t="str">
            <v/>
          </cell>
        </row>
        <row r="1122">
          <cell r="A1122" t="str">
            <v>12338343780</v>
          </cell>
          <cell r="B1122" t="str">
            <v>123383</v>
          </cell>
          <cell r="C1122" t="str">
            <v>谷口 昂</v>
          </cell>
          <cell r="D1122">
            <v>43780</v>
          </cell>
          <cell r="E1122" t="str">
            <v>／</v>
          </cell>
          <cell r="F1122" t="str">
            <v/>
          </cell>
          <cell r="G1122" t="str">
            <v/>
          </cell>
        </row>
        <row r="1123">
          <cell r="A1123" t="str">
            <v>12338343781</v>
          </cell>
          <cell r="B1123" t="str">
            <v>123383</v>
          </cell>
          <cell r="C1123" t="str">
            <v>谷口 昂</v>
          </cell>
          <cell r="D1123">
            <v>43781</v>
          </cell>
          <cell r="E1123" t="str">
            <v>●</v>
          </cell>
          <cell r="F1123" t="str">
            <v/>
          </cell>
          <cell r="G1123" t="str">
            <v/>
          </cell>
        </row>
        <row r="1124">
          <cell r="A1124" t="str">
            <v>12338343782</v>
          </cell>
          <cell r="B1124" t="str">
            <v>123383</v>
          </cell>
          <cell r="C1124" t="str">
            <v>谷口 昂</v>
          </cell>
          <cell r="D1124">
            <v>43782</v>
          </cell>
          <cell r="E1124" t="str">
            <v>／</v>
          </cell>
          <cell r="F1124" t="str">
            <v/>
          </cell>
          <cell r="G1124" t="str">
            <v/>
          </cell>
        </row>
        <row r="1125">
          <cell r="A1125" t="str">
            <v>12338343783</v>
          </cell>
          <cell r="B1125" t="str">
            <v>123383</v>
          </cell>
          <cell r="C1125" t="str">
            <v>谷口 昂</v>
          </cell>
          <cell r="D1125">
            <v>43783</v>
          </cell>
          <cell r="E1125" t="str">
            <v>●</v>
          </cell>
          <cell r="F1125" t="str">
            <v/>
          </cell>
          <cell r="G1125" t="str">
            <v/>
          </cell>
        </row>
        <row r="1126">
          <cell r="A1126" t="str">
            <v>12338343784</v>
          </cell>
          <cell r="B1126" t="str">
            <v>123383</v>
          </cell>
          <cell r="C1126" t="str">
            <v>谷口 昂</v>
          </cell>
          <cell r="D1126">
            <v>43784</v>
          </cell>
          <cell r="E1126" t="str">
            <v>／</v>
          </cell>
          <cell r="F1126" t="str">
            <v/>
          </cell>
          <cell r="G1126" t="str">
            <v/>
          </cell>
        </row>
        <row r="1127">
          <cell r="A1127" t="str">
            <v>12338343785</v>
          </cell>
          <cell r="B1127" t="str">
            <v>123383</v>
          </cell>
          <cell r="C1127" t="str">
            <v>谷口 昂</v>
          </cell>
          <cell r="D1127">
            <v>43785</v>
          </cell>
          <cell r="E1127" t="str">
            <v>●</v>
          </cell>
          <cell r="F1127" t="str">
            <v/>
          </cell>
          <cell r="G1127" t="str">
            <v/>
          </cell>
        </row>
        <row r="1128">
          <cell r="A1128" t="str">
            <v>12338343786</v>
          </cell>
          <cell r="B1128" t="str">
            <v>123383</v>
          </cell>
          <cell r="C1128" t="str">
            <v>谷口 昂</v>
          </cell>
          <cell r="D1128">
            <v>43786</v>
          </cell>
          <cell r="E1128" t="str">
            <v>●</v>
          </cell>
          <cell r="F1128" t="str">
            <v/>
          </cell>
          <cell r="G1128" t="str">
            <v/>
          </cell>
        </row>
        <row r="1129">
          <cell r="A1129" t="str">
            <v>12338343787</v>
          </cell>
          <cell r="B1129" t="str">
            <v>123383</v>
          </cell>
          <cell r="C1129" t="str">
            <v>谷口 昂</v>
          </cell>
          <cell r="D1129">
            <v>43787</v>
          </cell>
          <cell r="E1129" t="str">
            <v>／</v>
          </cell>
          <cell r="F1129" t="str">
            <v/>
          </cell>
          <cell r="G1129" t="str">
            <v/>
          </cell>
        </row>
        <row r="1130">
          <cell r="A1130" t="str">
            <v>12338343788</v>
          </cell>
          <cell r="B1130" t="str">
            <v>123383</v>
          </cell>
          <cell r="C1130" t="str">
            <v>谷口 昂</v>
          </cell>
          <cell r="D1130">
            <v>43788</v>
          </cell>
          <cell r="E1130" t="str">
            <v>●</v>
          </cell>
          <cell r="F1130" t="str">
            <v/>
          </cell>
          <cell r="G1130" t="str">
            <v/>
          </cell>
        </row>
        <row r="1131">
          <cell r="A1131" t="str">
            <v>12338343789</v>
          </cell>
          <cell r="B1131" t="str">
            <v>123383</v>
          </cell>
          <cell r="C1131" t="str">
            <v>谷口 昂</v>
          </cell>
          <cell r="D1131">
            <v>43789</v>
          </cell>
          <cell r="E1131" t="str">
            <v>／</v>
          </cell>
          <cell r="F1131" t="str">
            <v/>
          </cell>
          <cell r="G1131" t="str">
            <v/>
          </cell>
        </row>
        <row r="1132">
          <cell r="A1132" t="str">
            <v>12338343790</v>
          </cell>
          <cell r="B1132" t="str">
            <v>123383</v>
          </cell>
          <cell r="C1132" t="str">
            <v>谷口 昂</v>
          </cell>
          <cell r="D1132">
            <v>43790</v>
          </cell>
          <cell r="E1132" t="str">
            <v>●</v>
          </cell>
          <cell r="F1132" t="str">
            <v/>
          </cell>
          <cell r="G1132" t="str">
            <v/>
          </cell>
        </row>
        <row r="1133">
          <cell r="A1133" t="str">
            <v>12338343791</v>
          </cell>
          <cell r="B1133" t="str">
            <v>123383</v>
          </cell>
          <cell r="C1133" t="str">
            <v>谷口 昂</v>
          </cell>
          <cell r="D1133">
            <v>43791</v>
          </cell>
          <cell r="E1133" t="str">
            <v>／</v>
          </cell>
          <cell r="F1133" t="str">
            <v/>
          </cell>
          <cell r="G1133" t="str">
            <v/>
          </cell>
        </row>
        <row r="1134">
          <cell r="A1134" t="str">
            <v>12338343792</v>
          </cell>
          <cell r="B1134" t="str">
            <v>123383</v>
          </cell>
          <cell r="C1134" t="str">
            <v>谷口 昂</v>
          </cell>
          <cell r="D1134">
            <v>43792</v>
          </cell>
          <cell r="E1134" t="str">
            <v>●</v>
          </cell>
          <cell r="F1134" t="str">
            <v/>
          </cell>
          <cell r="G1134" t="str">
            <v/>
          </cell>
        </row>
        <row r="1135">
          <cell r="A1135" t="str">
            <v>12338343793</v>
          </cell>
          <cell r="B1135" t="str">
            <v>123383</v>
          </cell>
          <cell r="C1135" t="str">
            <v>谷口 昂</v>
          </cell>
          <cell r="D1135">
            <v>43793</v>
          </cell>
          <cell r="E1135" t="str">
            <v>●</v>
          </cell>
          <cell r="F1135" t="str">
            <v/>
          </cell>
          <cell r="G1135" t="str">
            <v/>
          </cell>
        </row>
        <row r="1136">
          <cell r="A1136" t="str">
            <v>12338343794</v>
          </cell>
          <cell r="B1136" t="str">
            <v>123383</v>
          </cell>
          <cell r="C1136" t="str">
            <v>谷口 昂</v>
          </cell>
          <cell r="D1136">
            <v>43794</v>
          </cell>
          <cell r="E1136" t="str">
            <v>／</v>
          </cell>
          <cell r="F1136" t="str">
            <v/>
          </cell>
          <cell r="G1136" t="str">
            <v/>
          </cell>
        </row>
        <row r="1137">
          <cell r="A1137" t="str">
            <v>12338343795</v>
          </cell>
          <cell r="B1137" t="str">
            <v>123383</v>
          </cell>
          <cell r="C1137" t="str">
            <v>谷口 昂</v>
          </cell>
          <cell r="D1137">
            <v>43795</v>
          </cell>
          <cell r="E1137" t="str">
            <v>●</v>
          </cell>
          <cell r="F1137" t="str">
            <v/>
          </cell>
          <cell r="G1137" t="str">
            <v/>
          </cell>
        </row>
        <row r="1138">
          <cell r="A1138" t="str">
            <v>12338343796</v>
          </cell>
          <cell r="B1138" t="str">
            <v>123383</v>
          </cell>
          <cell r="C1138" t="str">
            <v>谷口 昂</v>
          </cell>
          <cell r="D1138">
            <v>43796</v>
          </cell>
          <cell r="E1138" t="str">
            <v>／</v>
          </cell>
          <cell r="F1138" t="str">
            <v/>
          </cell>
          <cell r="G1138" t="str">
            <v/>
          </cell>
        </row>
        <row r="1139">
          <cell r="A1139" t="str">
            <v>12338343797</v>
          </cell>
          <cell r="B1139" t="str">
            <v>123383</v>
          </cell>
          <cell r="C1139" t="str">
            <v>谷口 昂</v>
          </cell>
          <cell r="D1139">
            <v>43797</v>
          </cell>
          <cell r="E1139" t="str">
            <v>●</v>
          </cell>
          <cell r="F1139" t="str">
            <v/>
          </cell>
          <cell r="G1139" t="str">
            <v/>
          </cell>
        </row>
        <row r="1140">
          <cell r="A1140" t="str">
            <v>12338343798</v>
          </cell>
          <cell r="B1140" t="str">
            <v>123383</v>
          </cell>
          <cell r="C1140" t="str">
            <v>谷口 昂</v>
          </cell>
          <cell r="D1140">
            <v>43798</v>
          </cell>
          <cell r="E1140" t="str">
            <v>／</v>
          </cell>
          <cell r="F1140" t="str">
            <v/>
          </cell>
          <cell r="G1140" t="str">
            <v/>
          </cell>
        </row>
        <row r="1141">
          <cell r="A1141" t="str">
            <v>12338343799</v>
          </cell>
          <cell r="B1141" t="str">
            <v>123383</v>
          </cell>
          <cell r="C1141" t="str">
            <v>谷口 昂</v>
          </cell>
          <cell r="D1141">
            <v>43799</v>
          </cell>
          <cell r="E1141" t="str">
            <v>●</v>
          </cell>
          <cell r="F1141" t="str">
            <v/>
          </cell>
          <cell r="G1141" t="str">
            <v/>
          </cell>
        </row>
        <row r="1142">
          <cell r="A1142" t="str">
            <v>12339543770</v>
          </cell>
          <cell r="B1142" t="str">
            <v>123395</v>
          </cell>
          <cell r="C1142" t="str">
            <v>村中 由佳</v>
          </cell>
          <cell r="D1142">
            <v>43770</v>
          </cell>
          <cell r="E1142" t="str">
            <v>●</v>
          </cell>
          <cell r="F1142" t="str">
            <v/>
          </cell>
          <cell r="G1142">
            <v>39</v>
          </cell>
        </row>
        <row r="1143">
          <cell r="A1143" t="str">
            <v>12339543771</v>
          </cell>
          <cell r="B1143" t="str">
            <v>123395</v>
          </cell>
          <cell r="C1143" t="str">
            <v>村中 由佳</v>
          </cell>
          <cell r="D1143">
            <v>43771</v>
          </cell>
          <cell r="E1143" t="str">
            <v>●</v>
          </cell>
          <cell r="F1143" t="str">
            <v/>
          </cell>
          <cell r="G1143" t="str">
            <v/>
          </cell>
        </row>
        <row r="1144">
          <cell r="A1144" t="str">
            <v>12339543772</v>
          </cell>
          <cell r="B1144" t="str">
            <v>123395</v>
          </cell>
          <cell r="C1144" t="str">
            <v>村中 由佳</v>
          </cell>
          <cell r="D1144">
            <v>43772</v>
          </cell>
          <cell r="E1144" t="str">
            <v>●</v>
          </cell>
          <cell r="F1144" t="str">
            <v/>
          </cell>
          <cell r="G1144" t="str">
            <v/>
          </cell>
        </row>
        <row r="1145">
          <cell r="A1145" t="str">
            <v>12339543773</v>
          </cell>
          <cell r="B1145" t="str">
            <v>123395</v>
          </cell>
          <cell r="C1145" t="str">
            <v>村中 由佳</v>
          </cell>
          <cell r="D1145">
            <v>43773</v>
          </cell>
          <cell r="E1145" t="str">
            <v>●</v>
          </cell>
          <cell r="F1145" t="str">
            <v/>
          </cell>
          <cell r="G1145" t="str">
            <v/>
          </cell>
        </row>
        <row r="1146">
          <cell r="A1146" t="str">
            <v>12339543774</v>
          </cell>
          <cell r="B1146" t="str">
            <v>123395</v>
          </cell>
          <cell r="C1146" t="str">
            <v>村中 由佳</v>
          </cell>
          <cell r="D1146">
            <v>43774</v>
          </cell>
          <cell r="E1146" t="str">
            <v>●</v>
          </cell>
          <cell r="F1146" t="str">
            <v/>
          </cell>
          <cell r="G1146" t="str">
            <v/>
          </cell>
        </row>
        <row r="1147">
          <cell r="A1147" t="str">
            <v>12339543775</v>
          </cell>
          <cell r="B1147" t="str">
            <v>123395</v>
          </cell>
          <cell r="C1147" t="str">
            <v>村中 由佳</v>
          </cell>
          <cell r="D1147">
            <v>43775</v>
          </cell>
          <cell r="E1147" t="str">
            <v>●</v>
          </cell>
          <cell r="F1147" t="str">
            <v/>
          </cell>
          <cell r="G1147" t="str">
            <v/>
          </cell>
        </row>
        <row r="1148">
          <cell r="A1148" t="str">
            <v>12339543776</v>
          </cell>
          <cell r="B1148" t="str">
            <v>123395</v>
          </cell>
          <cell r="C1148" t="str">
            <v>村中 由佳</v>
          </cell>
          <cell r="D1148">
            <v>43776</v>
          </cell>
          <cell r="E1148" t="str">
            <v>●</v>
          </cell>
          <cell r="F1148" t="str">
            <v/>
          </cell>
          <cell r="G1148" t="str">
            <v/>
          </cell>
        </row>
        <row r="1149">
          <cell r="A1149" t="str">
            <v>12339543777</v>
          </cell>
          <cell r="B1149" t="str">
            <v>123395</v>
          </cell>
          <cell r="C1149" t="str">
            <v>村中 由佳</v>
          </cell>
          <cell r="D1149">
            <v>43777</v>
          </cell>
          <cell r="E1149" t="str">
            <v>●</v>
          </cell>
          <cell r="F1149" t="str">
            <v/>
          </cell>
          <cell r="G1149" t="str">
            <v/>
          </cell>
        </row>
        <row r="1150">
          <cell r="A1150" t="str">
            <v>12339543778</v>
          </cell>
          <cell r="B1150" t="str">
            <v>123395</v>
          </cell>
          <cell r="C1150" t="str">
            <v>村中 由佳</v>
          </cell>
          <cell r="D1150">
            <v>43778</v>
          </cell>
          <cell r="E1150" t="str">
            <v>●</v>
          </cell>
          <cell r="F1150" t="str">
            <v/>
          </cell>
          <cell r="G1150" t="str">
            <v/>
          </cell>
        </row>
        <row r="1151">
          <cell r="A1151" t="str">
            <v>12339543779</v>
          </cell>
          <cell r="B1151" t="str">
            <v>123395</v>
          </cell>
          <cell r="C1151" t="str">
            <v>村中 由佳</v>
          </cell>
          <cell r="D1151">
            <v>43779</v>
          </cell>
          <cell r="E1151" t="str">
            <v>●</v>
          </cell>
          <cell r="F1151" t="str">
            <v/>
          </cell>
          <cell r="G1151" t="str">
            <v/>
          </cell>
        </row>
        <row r="1152">
          <cell r="A1152" t="str">
            <v>12339543780</v>
          </cell>
          <cell r="B1152" t="str">
            <v>123395</v>
          </cell>
          <cell r="C1152" t="str">
            <v>村中 由佳</v>
          </cell>
          <cell r="D1152">
            <v>43780</v>
          </cell>
          <cell r="E1152" t="str">
            <v>●</v>
          </cell>
          <cell r="F1152" t="str">
            <v/>
          </cell>
          <cell r="G1152" t="str">
            <v/>
          </cell>
        </row>
        <row r="1153">
          <cell r="A1153" t="str">
            <v>12339543781</v>
          </cell>
          <cell r="B1153" t="str">
            <v>123395</v>
          </cell>
          <cell r="C1153" t="str">
            <v>村中 由佳</v>
          </cell>
          <cell r="D1153">
            <v>43781</v>
          </cell>
          <cell r="E1153" t="str">
            <v>●</v>
          </cell>
          <cell r="F1153" t="str">
            <v/>
          </cell>
          <cell r="G1153" t="str">
            <v/>
          </cell>
        </row>
        <row r="1154">
          <cell r="A1154" t="str">
            <v>12339543782</v>
          </cell>
          <cell r="B1154" t="str">
            <v>123395</v>
          </cell>
          <cell r="C1154" t="str">
            <v>村中 由佳</v>
          </cell>
          <cell r="D1154">
            <v>43782</v>
          </cell>
          <cell r="E1154" t="str">
            <v>●</v>
          </cell>
          <cell r="F1154" t="str">
            <v/>
          </cell>
          <cell r="G1154" t="str">
            <v/>
          </cell>
        </row>
        <row r="1155">
          <cell r="A1155" t="str">
            <v>12339543783</v>
          </cell>
          <cell r="B1155" t="str">
            <v>123395</v>
          </cell>
          <cell r="C1155" t="str">
            <v>村中 由佳</v>
          </cell>
          <cell r="D1155">
            <v>43783</v>
          </cell>
          <cell r="E1155" t="str">
            <v>●</v>
          </cell>
          <cell r="F1155" t="str">
            <v/>
          </cell>
          <cell r="G1155" t="str">
            <v/>
          </cell>
        </row>
        <row r="1156">
          <cell r="A1156" t="str">
            <v>12339543784</v>
          </cell>
          <cell r="B1156" t="str">
            <v>123395</v>
          </cell>
          <cell r="C1156" t="str">
            <v>村中 由佳</v>
          </cell>
          <cell r="D1156">
            <v>43784</v>
          </cell>
          <cell r="E1156" t="str">
            <v>●</v>
          </cell>
          <cell r="F1156" t="str">
            <v/>
          </cell>
          <cell r="G1156" t="str">
            <v/>
          </cell>
        </row>
        <row r="1157">
          <cell r="A1157" t="str">
            <v>12339543785</v>
          </cell>
          <cell r="B1157" t="str">
            <v>123395</v>
          </cell>
          <cell r="C1157" t="str">
            <v>村中 由佳</v>
          </cell>
          <cell r="D1157">
            <v>43785</v>
          </cell>
          <cell r="E1157" t="str">
            <v>●</v>
          </cell>
          <cell r="F1157" t="str">
            <v/>
          </cell>
          <cell r="G1157" t="str">
            <v/>
          </cell>
        </row>
        <row r="1158">
          <cell r="A1158" t="str">
            <v>12339543786</v>
          </cell>
          <cell r="B1158" t="str">
            <v>123395</v>
          </cell>
          <cell r="C1158" t="str">
            <v>村中 由佳</v>
          </cell>
          <cell r="D1158">
            <v>43786</v>
          </cell>
          <cell r="E1158" t="str">
            <v>●</v>
          </cell>
          <cell r="F1158" t="str">
            <v/>
          </cell>
          <cell r="G1158" t="str">
            <v/>
          </cell>
        </row>
        <row r="1159">
          <cell r="A1159" t="str">
            <v>12339543787</v>
          </cell>
          <cell r="B1159" t="str">
            <v>123395</v>
          </cell>
          <cell r="C1159" t="str">
            <v>村中 由佳</v>
          </cell>
          <cell r="D1159">
            <v>43787</v>
          </cell>
          <cell r="E1159" t="str">
            <v>●</v>
          </cell>
          <cell r="F1159" t="str">
            <v/>
          </cell>
          <cell r="G1159" t="str">
            <v/>
          </cell>
        </row>
        <row r="1160">
          <cell r="A1160" t="str">
            <v>12339543788</v>
          </cell>
          <cell r="B1160" t="str">
            <v>123395</v>
          </cell>
          <cell r="C1160" t="str">
            <v>村中 由佳</v>
          </cell>
          <cell r="D1160">
            <v>43788</v>
          </cell>
          <cell r="E1160" t="str">
            <v>●</v>
          </cell>
          <cell r="F1160" t="str">
            <v/>
          </cell>
          <cell r="G1160" t="str">
            <v/>
          </cell>
        </row>
        <row r="1161">
          <cell r="A1161" t="str">
            <v>12339543789</v>
          </cell>
          <cell r="B1161" t="str">
            <v>123395</v>
          </cell>
          <cell r="C1161" t="str">
            <v>村中 由佳</v>
          </cell>
          <cell r="D1161">
            <v>43789</v>
          </cell>
          <cell r="E1161" t="str">
            <v>●</v>
          </cell>
          <cell r="F1161" t="str">
            <v/>
          </cell>
          <cell r="G1161" t="str">
            <v/>
          </cell>
        </row>
        <row r="1162">
          <cell r="A1162" t="str">
            <v>12339543790</v>
          </cell>
          <cell r="B1162" t="str">
            <v>123395</v>
          </cell>
          <cell r="C1162" t="str">
            <v>村中 由佳</v>
          </cell>
          <cell r="D1162">
            <v>43790</v>
          </cell>
          <cell r="E1162" t="str">
            <v>●</v>
          </cell>
          <cell r="F1162" t="str">
            <v/>
          </cell>
          <cell r="G1162" t="str">
            <v/>
          </cell>
        </row>
        <row r="1163">
          <cell r="A1163" t="str">
            <v>12339543791</v>
          </cell>
          <cell r="B1163" t="str">
            <v>123395</v>
          </cell>
          <cell r="C1163" t="str">
            <v>村中 由佳</v>
          </cell>
          <cell r="D1163">
            <v>43791</v>
          </cell>
          <cell r="E1163" t="str">
            <v>●</v>
          </cell>
          <cell r="F1163" t="str">
            <v/>
          </cell>
          <cell r="G1163" t="str">
            <v/>
          </cell>
        </row>
        <row r="1164">
          <cell r="A1164" t="str">
            <v>12339543792</v>
          </cell>
          <cell r="B1164" t="str">
            <v>123395</v>
          </cell>
          <cell r="C1164" t="str">
            <v>村中 由佳</v>
          </cell>
          <cell r="D1164">
            <v>43792</v>
          </cell>
          <cell r="E1164" t="str">
            <v>●</v>
          </cell>
          <cell r="F1164" t="str">
            <v/>
          </cell>
          <cell r="G1164" t="str">
            <v/>
          </cell>
        </row>
        <row r="1165">
          <cell r="A1165" t="str">
            <v>12339543793</v>
          </cell>
          <cell r="B1165" t="str">
            <v>123395</v>
          </cell>
          <cell r="C1165" t="str">
            <v>村中 由佳</v>
          </cell>
          <cell r="D1165">
            <v>43793</v>
          </cell>
          <cell r="E1165" t="str">
            <v>●</v>
          </cell>
          <cell r="F1165" t="str">
            <v/>
          </cell>
          <cell r="G1165" t="str">
            <v/>
          </cell>
        </row>
        <row r="1166">
          <cell r="A1166" t="str">
            <v>12339543794</v>
          </cell>
          <cell r="B1166" t="str">
            <v>123395</v>
          </cell>
          <cell r="C1166" t="str">
            <v>村中 由佳</v>
          </cell>
          <cell r="D1166">
            <v>43794</v>
          </cell>
          <cell r="E1166" t="str">
            <v>●</v>
          </cell>
          <cell r="F1166" t="str">
            <v/>
          </cell>
          <cell r="G1166" t="str">
            <v/>
          </cell>
        </row>
        <row r="1167">
          <cell r="A1167" t="str">
            <v>12339543795</v>
          </cell>
          <cell r="B1167" t="str">
            <v>123395</v>
          </cell>
          <cell r="C1167" t="str">
            <v>村中 由佳</v>
          </cell>
          <cell r="D1167">
            <v>43795</v>
          </cell>
          <cell r="E1167" t="str">
            <v>●</v>
          </cell>
          <cell r="F1167" t="str">
            <v/>
          </cell>
          <cell r="G1167" t="str">
            <v/>
          </cell>
        </row>
        <row r="1168">
          <cell r="A1168" t="str">
            <v>12339543796</v>
          </cell>
          <cell r="B1168" t="str">
            <v>123395</v>
          </cell>
          <cell r="C1168" t="str">
            <v>村中 由佳</v>
          </cell>
          <cell r="D1168">
            <v>43796</v>
          </cell>
          <cell r="E1168" t="str">
            <v>●</v>
          </cell>
          <cell r="F1168" t="str">
            <v/>
          </cell>
          <cell r="G1168" t="str">
            <v/>
          </cell>
        </row>
        <row r="1169">
          <cell r="A1169" t="str">
            <v>12339543797</v>
          </cell>
          <cell r="B1169" t="str">
            <v>123395</v>
          </cell>
          <cell r="C1169" t="str">
            <v>村中 由佳</v>
          </cell>
          <cell r="D1169">
            <v>43797</v>
          </cell>
          <cell r="E1169" t="str">
            <v>●</v>
          </cell>
          <cell r="F1169" t="str">
            <v/>
          </cell>
          <cell r="G1169" t="str">
            <v/>
          </cell>
        </row>
        <row r="1170">
          <cell r="A1170" t="str">
            <v>12339543798</v>
          </cell>
          <cell r="B1170" t="str">
            <v>123395</v>
          </cell>
          <cell r="C1170" t="str">
            <v>村中 由佳</v>
          </cell>
          <cell r="D1170">
            <v>43798</v>
          </cell>
          <cell r="E1170" t="str">
            <v>●</v>
          </cell>
          <cell r="F1170" t="str">
            <v/>
          </cell>
          <cell r="G1170" t="str">
            <v/>
          </cell>
        </row>
        <row r="1171">
          <cell r="A1171" t="str">
            <v>12339543799</v>
          </cell>
          <cell r="B1171" t="str">
            <v>123395</v>
          </cell>
          <cell r="C1171" t="str">
            <v>村中 由佳</v>
          </cell>
          <cell r="D1171">
            <v>43799</v>
          </cell>
          <cell r="E1171" t="str">
            <v>●</v>
          </cell>
          <cell r="F1171" t="str">
            <v/>
          </cell>
          <cell r="G1171" t="str">
            <v/>
          </cell>
        </row>
        <row r="1172">
          <cell r="A1172" t="str">
            <v>12340043770</v>
          </cell>
          <cell r="B1172" t="str">
            <v>123400</v>
          </cell>
          <cell r="C1172" t="str">
            <v>阪井田 佳那</v>
          </cell>
          <cell r="D1172">
            <v>43770</v>
          </cell>
          <cell r="E1172" t="str">
            <v>●</v>
          </cell>
          <cell r="F1172" t="str">
            <v/>
          </cell>
          <cell r="G1172">
            <v>40</v>
          </cell>
        </row>
        <row r="1173">
          <cell r="A1173" t="str">
            <v>12340043771</v>
          </cell>
          <cell r="B1173" t="str">
            <v>123400</v>
          </cell>
          <cell r="C1173" t="str">
            <v>阪井田 佳那</v>
          </cell>
          <cell r="D1173">
            <v>43771</v>
          </cell>
          <cell r="E1173" t="str">
            <v>●</v>
          </cell>
          <cell r="F1173" t="str">
            <v/>
          </cell>
          <cell r="G1173" t="str">
            <v/>
          </cell>
        </row>
        <row r="1174">
          <cell r="A1174" t="str">
            <v>12340043772</v>
          </cell>
          <cell r="B1174" t="str">
            <v>123400</v>
          </cell>
          <cell r="C1174" t="str">
            <v>阪井田 佳那</v>
          </cell>
          <cell r="D1174">
            <v>43772</v>
          </cell>
          <cell r="E1174" t="str">
            <v>●</v>
          </cell>
          <cell r="F1174" t="str">
            <v/>
          </cell>
          <cell r="G1174" t="str">
            <v/>
          </cell>
        </row>
        <row r="1175">
          <cell r="A1175" t="str">
            <v>12340043773</v>
          </cell>
          <cell r="B1175" t="str">
            <v>123400</v>
          </cell>
          <cell r="C1175" t="str">
            <v>阪井田 佳那</v>
          </cell>
          <cell r="D1175">
            <v>43773</v>
          </cell>
          <cell r="E1175" t="str">
            <v>●</v>
          </cell>
          <cell r="F1175" t="str">
            <v/>
          </cell>
          <cell r="G1175" t="str">
            <v/>
          </cell>
        </row>
        <row r="1176">
          <cell r="A1176" t="str">
            <v>12340043774</v>
          </cell>
          <cell r="B1176" t="str">
            <v>123400</v>
          </cell>
          <cell r="C1176" t="str">
            <v>阪井田 佳那</v>
          </cell>
          <cell r="D1176">
            <v>43774</v>
          </cell>
          <cell r="E1176" t="str">
            <v>／</v>
          </cell>
          <cell r="F1176" t="str">
            <v/>
          </cell>
          <cell r="G1176" t="str">
            <v/>
          </cell>
        </row>
        <row r="1177">
          <cell r="A1177" t="str">
            <v>12340043775</v>
          </cell>
          <cell r="B1177" t="str">
            <v>123400</v>
          </cell>
          <cell r="C1177" t="str">
            <v>阪井田 佳那</v>
          </cell>
          <cell r="D1177">
            <v>43775</v>
          </cell>
          <cell r="E1177" t="str">
            <v>●</v>
          </cell>
          <cell r="F1177" t="str">
            <v/>
          </cell>
          <cell r="G1177" t="str">
            <v/>
          </cell>
        </row>
        <row r="1178">
          <cell r="A1178" t="str">
            <v>12340043776</v>
          </cell>
          <cell r="B1178" t="str">
            <v>123400</v>
          </cell>
          <cell r="C1178" t="str">
            <v>阪井田 佳那</v>
          </cell>
          <cell r="D1178">
            <v>43776</v>
          </cell>
          <cell r="E1178" t="str">
            <v>●</v>
          </cell>
          <cell r="F1178" t="str">
            <v/>
          </cell>
          <cell r="G1178" t="str">
            <v/>
          </cell>
        </row>
        <row r="1179">
          <cell r="A1179" t="str">
            <v>12340043777</v>
          </cell>
          <cell r="B1179" t="str">
            <v>123400</v>
          </cell>
          <cell r="C1179" t="str">
            <v>阪井田 佳那</v>
          </cell>
          <cell r="D1179">
            <v>43777</v>
          </cell>
          <cell r="E1179" t="str">
            <v>／</v>
          </cell>
          <cell r="F1179" t="str">
            <v/>
          </cell>
          <cell r="G1179" t="str">
            <v/>
          </cell>
        </row>
        <row r="1180">
          <cell r="A1180" t="str">
            <v>12340043778</v>
          </cell>
          <cell r="B1180" t="str">
            <v>123400</v>
          </cell>
          <cell r="C1180" t="str">
            <v>阪井田 佳那</v>
          </cell>
          <cell r="D1180">
            <v>43778</v>
          </cell>
          <cell r="E1180" t="str">
            <v>●</v>
          </cell>
          <cell r="F1180" t="str">
            <v/>
          </cell>
          <cell r="G1180" t="str">
            <v/>
          </cell>
        </row>
        <row r="1181">
          <cell r="A1181" t="str">
            <v>12340043779</v>
          </cell>
          <cell r="B1181" t="str">
            <v>123400</v>
          </cell>
          <cell r="C1181" t="str">
            <v>阪井田 佳那</v>
          </cell>
          <cell r="D1181">
            <v>43779</v>
          </cell>
          <cell r="E1181" t="str">
            <v>●</v>
          </cell>
          <cell r="F1181" t="str">
            <v/>
          </cell>
          <cell r="G1181" t="str">
            <v/>
          </cell>
        </row>
        <row r="1182">
          <cell r="A1182" t="str">
            <v>12340043780</v>
          </cell>
          <cell r="B1182" t="str">
            <v>123400</v>
          </cell>
          <cell r="C1182" t="str">
            <v>阪井田 佳那</v>
          </cell>
          <cell r="D1182">
            <v>43780</v>
          </cell>
          <cell r="E1182" t="str">
            <v>●</v>
          </cell>
          <cell r="F1182" t="str">
            <v/>
          </cell>
          <cell r="G1182" t="str">
            <v/>
          </cell>
        </row>
        <row r="1183">
          <cell r="A1183" t="str">
            <v>12340043781</v>
          </cell>
          <cell r="B1183" t="str">
            <v>123400</v>
          </cell>
          <cell r="C1183" t="str">
            <v>阪井田 佳那</v>
          </cell>
          <cell r="D1183">
            <v>43781</v>
          </cell>
          <cell r="E1183" t="str">
            <v>／</v>
          </cell>
          <cell r="F1183" t="str">
            <v/>
          </cell>
          <cell r="G1183" t="str">
            <v/>
          </cell>
        </row>
        <row r="1184">
          <cell r="A1184" t="str">
            <v>12340043782</v>
          </cell>
          <cell r="B1184" t="str">
            <v>123400</v>
          </cell>
          <cell r="C1184" t="str">
            <v>阪井田 佳那</v>
          </cell>
          <cell r="D1184">
            <v>43782</v>
          </cell>
          <cell r="E1184" t="str">
            <v>●</v>
          </cell>
          <cell r="F1184" t="str">
            <v/>
          </cell>
          <cell r="G1184" t="str">
            <v/>
          </cell>
        </row>
        <row r="1185">
          <cell r="A1185" t="str">
            <v>12340043783</v>
          </cell>
          <cell r="B1185" t="str">
            <v>123400</v>
          </cell>
          <cell r="C1185" t="str">
            <v>阪井田 佳那</v>
          </cell>
          <cell r="D1185">
            <v>43783</v>
          </cell>
          <cell r="E1185" t="str">
            <v>●</v>
          </cell>
          <cell r="F1185" t="str">
            <v/>
          </cell>
          <cell r="G1185" t="str">
            <v/>
          </cell>
        </row>
        <row r="1186">
          <cell r="A1186" t="str">
            <v>12340043784</v>
          </cell>
          <cell r="B1186" t="str">
            <v>123400</v>
          </cell>
          <cell r="C1186" t="str">
            <v>阪井田 佳那</v>
          </cell>
          <cell r="D1186">
            <v>43784</v>
          </cell>
          <cell r="E1186" t="str">
            <v>●</v>
          </cell>
          <cell r="F1186" t="str">
            <v/>
          </cell>
          <cell r="G1186" t="str">
            <v/>
          </cell>
        </row>
        <row r="1187">
          <cell r="A1187" t="str">
            <v>12340043785</v>
          </cell>
          <cell r="B1187" t="str">
            <v>123400</v>
          </cell>
          <cell r="C1187" t="str">
            <v>阪井田 佳那</v>
          </cell>
          <cell r="D1187">
            <v>43785</v>
          </cell>
          <cell r="E1187" t="str">
            <v>●</v>
          </cell>
          <cell r="F1187" t="str">
            <v/>
          </cell>
          <cell r="G1187" t="str">
            <v/>
          </cell>
        </row>
        <row r="1188">
          <cell r="A1188" t="str">
            <v>12340043786</v>
          </cell>
          <cell r="B1188" t="str">
            <v>123400</v>
          </cell>
          <cell r="C1188" t="str">
            <v>阪井田 佳那</v>
          </cell>
          <cell r="D1188">
            <v>43786</v>
          </cell>
          <cell r="E1188" t="str">
            <v>●</v>
          </cell>
          <cell r="F1188" t="str">
            <v/>
          </cell>
          <cell r="G1188" t="str">
            <v/>
          </cell>
        </row>
        <row r="1189">
          <cell r="A1189" t="str">
            <v>12340043787</v>
          </cell>
          <cell r="B1189" t="str">
            <v>123400</v>
          </cell>
          <cell r="C1189" t="str">
            <v>阪井田 佳那</v>
          </cell>
          <cell r="D1189">
            <v>43787</v>
          </cell>
          <cell r="E1189" t="str">
            <v>●</v>
          </cell>
          <cell r="F1189" t="str">
            <v/>
          </cell>
          <cell r="G1189" t="str">
            <v/>
          </cell>
        </row>
        <row r="1190">
          <cell r="A1190" t="str">
            <v>12340043788</v>
          </cell>
          <cell r="B1190" t="str">
            <v>123400</v>
          </cell>
          <cell r="C1190" t="str">
            <v>阪井田 佳那</v>
          </cell>
          <cell r="D1190">
            <v>43788</v>
          </cell>
          <cell r="E1190" t="str">
            <v>●</v>
          </cell>
          <cell r="F1190" t="str">
            <v/>
          </cell>
          <cell r="G1190" t="str">
            <v/>
          </cell>
        </row>
        <row r="1191">
          <cell r="A1191" t="str">
            <v>12340043789</v>
          </cell>
          <cell r="B1191" t="str">
            <v>123400</v>
          </cell>
          <cell r="C1191" t="str">
            <v>阪井田 佳那</v>
          </cell>
          <cell r="D1191">
            <v>43789</v>
          </cell>
          <cell r="E1191" t="str">
            <v>●</v>
          </cell>
          <cell r="F1191" t="str">
            <v/>
          </cell>
          <cell r="G1191" t="str">
            <v/>
          </cell>
        </row>
        <row r="1192">
          <cell r="A1192" t="str">
            <v>12340043790</v>
          </cell>
          <cell r="B1192" t="str">
            <v>123400</v>
          </cell>
          <cell r="C1192" t="str">
            <v>阪井田 佳那</v>
          </cell>
          <cell r="D1192">
            <v>43790</v>
          </cell>
          <cell r="E1192" t="str">
            <v>●</v>
          </cell>
          <cell r="F1192" t="str">
            <v/>
          </cell>
          <cell r="G1192" t="str">
            <v/>
          </cell>
        </row>
        <row r="1193">
          <cell r="A1193" t="str">
            <v>12340043791</v>
          </cell>
          <cell r="B1193" t="str">
            <v>123400</v>
          </cell>
          <cell r="C1193" t="str">
            <v>阪井田 佳那</v>
          </cell>
          <cell r="D1193">
            <v>43791</v>
          </cell>
          <cell r="E1193" t="str">
            <v>●</v>
          </cell>
          <cell r="F1193" t="str">
            <v/>
          </cell>
          <cell r="G1193" t="str">
            <v/>
          </cell>
        </row>
        <row r="1194">
          <cell r="A1194" t="str">
            <v>12340043792</v>
          </cell>
          <cell r="B1194" t="str">
            <v>123400</v>
          </cell>
          <cell r="C1194" t="str">
            <v>阪井田 佳那</v>
          </cell>
          <cell r="D1194">
            <v>43792</v>
          </cell>
          <cell r="E1194" t="str">
            <v>●</v>
          </cell>
          <cell r="F1194" t="str">
            <v/>
          </cell>
          <cell r="G1194" t="str">
            <v/>
          </cell>
        </row>
        <row r="1195">
          <cell r="A1195" t="str">
            <v>12340043793</v>
          </cell>
          <cell r="B1195" t="str">
            <v>123400</v>
          </cell>
          <cell r="C1195" t="str">
            <v>阪井田 佳那</v>
          </cell>
          <cell r="D1195">
            <v>43793</v>
          </cell>
          <cell r="E1195" t="str">
            <v>●</v>
          </cell>
          <cell r="F1195" t="str">
            <v/>
          </cell>
          <cell r="G1195" t="str">
            <v/>
          </cell>
        </row>
        <row r="1196">
          <cell r="A1196" t="str">
            <v>12340043794</v>
          </cell>
          <cell r="B1196" t="str">
            <v>123400</v>
          </cell>
          <cell r="C1196" t="str">
            <v>阪井田 佳那</v>
          </cell>
          <cell r="D1196">
            <v>43794</v>
          </cell>
          <cell r="E1196" t="str">
            <v>●</v>
          </cell>
          <cell r="F1196" t="str">
            <v/>
          </cell>
          <cell r="G1196" t="str">
            <v/>
          </cell>
        </row>
        <row r="1197">
          <cell r="A1197" t="str">
            <v>12340043795</v>
          </cell>
          <cell r="B1197" t="str">
            <v>123400</v>
          </cell>
          <cell r="C1197" t="str">
            <v>阪井田 佳那</v>
          </cell>
          <cell r="D1197">
            <v>43795</v>
          </cell>
          <cell r="E1197" t="str">
            <v>／</v>
          </cell>
          <cell r="F1197" t="str">
            <v/>
          </cell>
          <cell r="G1197" t="str">
            <v/>
          </cell>
        </row>
        <row r="1198">
          <cell r="A1198" t="str">
            <v>12340043796</v>
          </cell>
          <cell r="B1198" t="str">
            <v>123400</v>
          </cell>
          <cell r="C1198" t="str">
            <v>阪井田 佳那</v>
          </cell>
          <cell r="D1198">
            <v>43796</v>
          </cell>
          <cell r="E1198" t="str">
            <v>●</v>
          </cell>
          <cell r="F1198" t="str">
            <v/>
          </cell>
          <cell r="G1198" t="str">
            <v/>
          </cell>
        </row>
        <row r="1199">
          <cell r="A1199" t="str">
            <v>12340043797</v>
          </cell>
          <cell r="B1199" t="str">
            <v>123400</v>
          </cell>
          <cell r="C1199" t="str">
            <v>阪井田 佳那</v>
          </cell>
          <cell r="D1199">
            <v>43797</v>
          </cell>
          <cell r="E1199" t="str">
            <v>●</v>
          </cell>
          <cell r="F1199" t="str">
            <v/>
          </cell>
          <cell r="G1199" t="str">
            <v/>
          </cell>
        </row>
        <row r="1200">
          <cell r="A1200" t="str">
            <v>12340043798</v>
          </cell>
          <cell r="B1200" t="str">
            <v>123400</v>
          </cell>
          <cell r="C1200" t="str">
            <v>阪井田 佳那</v>
          </cell>
          <cell r="D1200">
            <v>43798</v>
          </cell>
          <cell r="E1200" t="str">
            <v>／</v>
          </cell>
          <cell r="F1200" t="str">
            <v/>
          </cell>
          <cell r="G1200" t="str">
            <v/>
          </cell>
        </row>
        <row r="1201">
          <cell r="A1201" t="str">
            <v>12340043799</v>
          </cell>
          <cell r="B1201" t="str">
            <v>123400</v>
          </cell>
          <cell r="C1201" t="str">
            <v>阪井田 佳那</v>
          </cell>
          <cell r="D1201">
            <v>43799</v>
          </cell>
          <cell r="E1201" t="str">
            <v>●</v>
          </cell>
          <cell r="F1201" t="str">
            <v/>
          </cell>
          <cell r="G1201" t="str">
            <v/>
          </cell>
        </row>
        <row r="1202">
          <cell r="A1202" t="str">
            <v>3202743770</v>
          </cell>
          <cell r="B1202" t="str">
            <v>32027</v>
          </cell>
          <cell r="C1202" t="str">
            <v>能登 むつみ</v>
          </cell>
          <cell r="D1202">
            <v>43770</v>
          </cell>
          <cell r="E1202" t="str">
            <v/>
          </cell>
          <cell r="F1202" t="str">
            <v/>
          </cell>
          <cell r="G1202">
            <v>41</v>
          </cell>
        </row>
        <row r="1203">
          <cell r="A1203" t="str">
            <v>3202743771</v>
          </cell>
          <cell r="B1203" t="str">
            <v>32027</v>
          </cell>
          <cell r="C1203" t="str">
            <v>能登 むつみ</v>
          </cell>
          <cell r="D1203">
            <v>43771</v>
          </cell>
          <cell r="E1203" t="str">
            <v>／</v>
          </cell>
          <cell r="F1203" t="str">
            <v/>
          </cell>
          <cell r="G1203" t="str">
            <v/>
          </cell>
        </row>
        <row r="1204">
          <cell r="A1204" t="str">
            <v>3202743772</v>
          </cell>
          <cell r="B1204" t="str">
            <v>32027</v>
          </cell>
          <cell r="C1204" t="str">
            <v>能登 むつみ</v>
          </cell>
          <cell r="D1204">
            <v>43772</v>
          </cell>
          <cell r="E1204" t="str">
            <v>●</v>
          </cell>
          <cell r="F1204" t="str">
            <v/>
          </cell>
          <cell r="G1204" t="str">
            <v/>
          </cell>
        </row>
        <row r="1205">
          <cell r="A1205" t="str">
            <v>3202743773</v>
          </cell>
          <cell r="B1205" t="str">
            <v>32027</v>
          </cell>
          <cell r="C1205" t="str">
            <v>能登 むつみ</v>
          </cell>
          <cell r="D1205">
            <v>43773</v>
          </cell>
          <cell r="E1205" t="str">
            <v>●</v>
          </cell>
          <cell r="F1205" t="str">
            <v/>
          </cell>
          <cell r="G1205" t="str">
            <v/>
          </cell>
        </row>
        <row r="1206">
          <cell r="A1206" t="str">
            <v>3202743774</v>
          </cell>
          <cell r="B1206" t="str">
            <v>32027</v>
          </cell>
          <cell r="C1206" t="str">
            <v>能登 むつみ</v>
          </cell>
          <cell r="D1206">
            <v>43774</v>
          </cell>
          <cell r="E1206" t="str">
            <v/>
          </cell>
          <cell r="F1206" t="str">
            <v/>
          </cell>
          <cell r="G1206" t="str">
            <v/>
          </cell>
        </row>
        <row r="1207">
          <cell r="A1207" t="str">
            <v>3202743775</v>
          </cell>
          <cell r="B1207" t="str">
            <v>32027</v>
          </cell>
          <cell r="C1207" t="str">
            <v>能登 むつみ</v>
          </cell>
          <cell r="D1207">
            <v>43775</v>
          </cell>
          <cell r="E1207" t="str">
            <v/>
          </cell>
          <cell r="F1207" t="str">
            <v/>
          </cell>
          <cell r="G1207" t="str">
            <v/>
          </cell>
        </row>
        <row r="1208">
          <cell r="A1208" t="str">
            <v>3202743776</v>
          </cell>
          <cell r="B1208" t="str">
            <v>32027</v>
          </cell>
          <cell r="C1208" t="str">
            <v>能登 むつみ</v>
          </cell>
          <cell r="D1208">
            <v>43776</v>
          </cell>
          <cell r="E1208" t="str">
            <v/>
          </cell>
          <cell r="F1208" t="str">
            <v/>
          </cell>
          <cell r="G1208" t="str">
            <v/>
          </cell>
        </row>
        <row r="1209">
          <cell r="A1209" t="str">
            <v>3202743777</v>
          </cell>
          <cell r="B1209" t="str">
            <v>32027</v>
          </cell>
          <cell r="C1209" t="str">
            <v>能登 むつみ</v>
          </cell>
          <cell r="D1209">
            <v>43777</v>
          </cell>
          <cell r="E1209" t="str">
            <v/>
          </cell>
          <cell r="F1209" t="str">
            <v/>
          </cell>
          <cell r="G1209" t="str">
            <v/>
          </cell>
        </row>
        <row r="1210">
          <cell r="A1210" t="str">
            <v>3202743778</v>
          </cell>
          <cell r="B1210" t="str">
            <v>32027</v>
          </cell>
          <cell r="C1210" t="str">
            <v>能登 むつみ</v>
          </cell>
          <cell r="D1210">
            <v>43778</v>
          </cell>
          <cell r="E1210" t="str">
            <v>○</v>
          </cell>
          <cell r="F1210" t="str">
            <v/>
          </cell>
          <cell r="G1210" t="str">
            <v/>
          </cell>
        </row>
        <row r="1211">
          <cell r="A1211" t="str">
            <v>3202743779</v>
          </cell>
          <cell r="B1211" t="str">
            <v>32027</v>
          </cell>
          <cell r="C1211" t="str">
            <v>能登 むつみ</v>
          </cell>
          <cell r="D1211">
            <v>43779</v>
          </cell>
          <cell r="E1211" t="str">
            <v>●</v>
          </cell>
          <cell r="F1211" t="str">
            <v/>
          </cell>
          <cell r="G1211" t="str">
            <v/>
          </cell>
        </row>
        <row r="1212">
          <cell r="A1212" t="str">
            <v>3202743780</v>
          </cell>
          <cell r="B1212" t="str">
            <v>32027</v>
          </cell>
          <cell r="C1212" t="str">
            <v>能登 むつみ</v>
          </cell>
          <cell r="D1212">
            <v>43780</v>
          </cell>
          <cell r="E1212" t="str">
            <v/>
          </cell>
          <cell r="F1212" t="str">
            <v/>
          </cell>
          <cell r="G1212" t="str">
            <v/>
          </cell>
        </row>
        <row r="1213">
          <cell r="A1213" t="str">
            <v>3202743781</v>
          </cell>
          <cell r="B1213" t="str">
            <v>32027</v>
          </cell>
          <cell r="C1213" t="str">
            <v>能登 むつみ</v>
          </cell>
          <cell r="D1213">
            <v>43781</v>
          </cell>
          <cell r="E1213" t="str">
            <v/>
          </cell>
          <cell r="F1213" t="str">
            <v/>
          </cell>
          <cell r="G1213" t="str">
            <v/>
          </cell>
        </row>
        <row r="1214">
          <cell r="A1214" t="str">
            <v>3202743782</v>
          </cell>
          <cell r="B1214" t="str">
            <v>32027</v>
          </cell>
          <cell r="C1214" t="str">
            <v>能登 むつみ</v>
          </cell>
          <cell r="D1214">
            <v>43782</v>
          </cell>
          <cell r="E1214" t="str">
            <v/>
          </cell>
          <cell r="F1214" t="str">
            <v/>
          </cell>
          <cell r="G1214" t="str">
            <v/>
          </cell>
        </row>
        <row r="1215">
          <cell r="A1215" t="str">
            <v>3202743783</v>
          </cell>
          <cell r="B1215" t="str">
            <v>32027</v>
          </cell>
          <cell r="C1215" t="str">
            <v>能登 むつみ</v>
          </cell>
          <cell r="D1215">
            <v>43783</v>
          </cell>
          <cell r="E1215" t="str">
            <v/>
          </cell>
          <cell r="F1215" t="str">
            <v/>
          </cell>
          <cell r="G1215" t="str">
            <v/>
          </cell>
        </row>
        <row r="1216">
          <cell r="A1216" t="str">
            <v>3202743784</v>
          </cell>
          <cell r="B1216" t="str">
            <v>32027</v>
          </cell>
          <cell r="C1216" t="str">
            <v>能登 むつみ</v>
          </cell>
          <cell r="D1216">
            <v>43784</v>
          </cell>
          <cell r="E1216" t="str">
            <v/>
          </cell>
          <cell r="F1216" t="str">
            <v>指PM</v>
          </cell>
          <cell r="G1216" t="str">
            <v/>
          </cell>
        </row>
        <row r="1217">
          <cell r="A1217" t="str">
            <v>3202743785</v>
          </cell>
          <cell r="B1217" t="str">
            <v>32027</v>
          </cell>
          <cell r="C1217" t="str">
            <v>能登 むつみ</v>
          </cell>
          <cell r="D1217">
            <v>43785</v>
          </cell>
          <cell r="E1217" t="str">
            <v>／</v>
          </cell>
          <cell r="F1217" t="str">
            <v/>
          </cell>
          <cell r="G1217" t="str">
            <v/>
          </cell>
        </row>
        <row r="1218">
          <cell r="A1218" t="str">
            <v>3202743786</v>
          </cell>
          <cell r="B1218" t="str">
            <v>32027</v>
          </cell>
          <cell r="C1218" t="str">
            <v>能登 むつみ</v>
          </cell>
          <cell r="D1218">
            <v>43786</v>
          </cell>
          <cell r="E1218" t="str">
            <v>●</v>
          </cell>
          <cell r="F1218" t="str">
            <v/>
          </cell>
          <cell r="G1218" t="str">
            <v/>
          </cell>
        </row>
        <row r="1219">
          <cell r="A1219" t="str">
            <v>3202743787</v>
          </cell>
          <cell r="B1219" t="str">
            <v>32027</v>
          </cell>
          <cell r="C1219" t="str">
            <v>能登 むつみ</v>
          </cell>
          <cell r="D1219">
            <v>43787</v>
          </cell>
          <cell r="E1219" t="str">
            <v/>
          </cell>
          <cell r="F1219" t="str">
            <v>年PM</v>
          </cell>
          <cell r="G1219" t="str">
            <v/>
          </cell>
        </row>
        <row r="1220">
          <cell r="A1220" t="str">
            <v>3202743788</v>
          </cell>
          <cell r="B1220" t="str">
            <v>32027</v>
          </cell>
          <cell r="C1220" t="str">
            <v>能登 むつみ</v>
          </cell>
          <cell r="D1220">
            <v>43788</v>
          </cell>
          <cell r="E1220" t="str">
            <v/>
          </cell>
          <cell r="F1220" t="str">
            <v/>
          </cell>
          <cell r="G1220" t="str">
            <v/>
          </cell>
        </row>
        <row r="1221">
          <cell r="A1221" t="str">
            <v>3202743789</v>
          </cell>
          <cell r="B1221" t="str">
            <v>32027</v>
          </cell>
          <cell r="C1221" t="str">
            <v>能登 むつみ</v>
          </cell>
          <cell r="D1221">
            <v>43789</v>
          </cell>
          <cell r="E1221" t="str">
            <v/>
          </cell>
          <cell r="F1221" t="str">
            <v/>
          </cell>
          <cell r="G1221" t="str">
            <v/>
          </cell>
        </row>
        <row r="1222">
          <cell r="A1222" t="str">
            <v>3202743790</v>
          </cell>
          <cell r="B1222" t="str">
            <v>32027</v>
          </cell>
          <cell r="C1222" t="str">
            <v>能登 むつみ</v>
          </cell>
          <cell r="D1222">
            <v>43790</v>
          </cell>
          <cell r="E1222" t="str">
            <v/>
          </cell>
          <cell r="F1222" t="str">
            <v/>
          </cell>
          <cell r="G1222" t="str">
            <v/>
          </cell>
        </row>
        <row r="1223">
          <cell r="A1223" t="str">
            <v>3202743791</v>
          </cell>
          <cell r="B1223" t="str">
            <v>32027</v>
          </cell>
          <cell r="C1223" t="str">
            <v>能登 むつみ</v>
          </cell>
          <cell r="D1223">
            <v>43791</v>
          </cell>
          <cell r="E1223" t="str">
            <v/>
          </cell>
          <cell r="F1223" t="str">
            <v/>
          </cell>
          <cell r="G1223" t="str">
            <v/>
          </cell>
        </row>
        <row r="1224">
          <cell r="A1224" t="str">
            <v>3202743792</v>
          </cell>
          <cell r="B1224" t="str">
            <v>32027</v>
          </cell>
          <cell r="C1224" t="str">
            <v>能登 むつみ</v>
          </cell>
          <cell r="D1224">
            <v>43792</v>
          </cell>
          <cell r="E1224" t="str">
            <v>●</v>
          </cell>
          <cell r="F1224" t="str">
            <v/>
          </cell>
          <cell r="G1224" t="str">
            <v/>
          </cell>
        </row>
        <row r="1225">
          <cell r="A1225" t="str">
            <v>3202743793</v>
          </cell>
          <cell r="B1225" t="str">
            <v>32027</v>
          </cell>
          <cell r="C1225" t="str">
            <v>能登 むつみ</v>
          </cell>
          <cell r="D1225">
            <v>43793</v>
          </cell>
          <cell r="E1225" t="str">
            <v>●</v>
          </cell>
          <cell r="F1225" t="str">
            <v/>
          </cell>
          <cell r="G1225" t="str">
            <v/>
          </cell>
        </row>
        <row r="1226">
          <cell r="A1226" t="str">
            <v>3202743794</v>
          </cell>
          <cell r="B1226" t="str">
            <v>32027</v>
          </cell>
          <cell r="C1226" t="str">
            <v>能登 むつみ</v>
          </cell>
          <cell r="D1226">
            <v>43794</v>
          </cell>
          <cell r="E1226" t="str">
            <v/>
          </cell>
          <cell r="F1226" t="str">
            <v/>
          </cell>
          <cell r="G1226" t="str">
            <v/>
          </cell>
        </row>
        <row r="1227">
          <cell r="A1227" t="str">
            <v>3202743795</v>
          </cell>
          <cell r="B1227" t="str">
            <v>32027</v>
          </cell>
          <cell r="C1227" t="str">
            <v>能登 むつみ</v>
          </cell>
          <cell r="D1227">
            <v>43795</v>
          </cell>
          <cell r="E1227" t="str">
            <v/>
          </cell>
          <cell r="F1227" t="str">
            <v/>
          </cell>
          <cell r="G1227" t="str">
            <v/>
          </cell>
        </row>
        <row r="1228">
          <cell r="A1228" t="str">
            <v>3202743796</v>
          </cell>
          <cell r="B1228" t="str">
            <v>32027</v>
          </cell>
          <cell r="C1228" t="str">
            <v>能登 むつみ</v>
          </cell>
          <cell r="D1228">
            <v>43796</v>
          </cell>
          <cell r="E1228" t="str">
            <v/>
          </cell>
          <cell r="F1228" t="str">
            <v/>
          </cell>
          <cell r="G1228" t="str">
            <v/>
          </cell>
        </row>
        <row r="1229">
          <cell r="A1229" t="str">
            <v>3202743797</v>
          </cell>
          <cell r="B1229" t="str">
            <v>32027</v>
          </cell>
          <cell r="C1229" t="str">
            <v>能登 むつみ</v>
          </cell>
          <cell r="D1229">
            <v>43797</v>
          </cell>
          <cell r="E1229" t="str">
            <v/>
          </cell>
          <cell r="F1229" t="str">
            <v/>
          </cell>
          <cell r="G1229" t="str">
            <v/>
          </cell>
        </row>
        <row r="1230">
          <cell r="A1230" t="str">
            <v>3202743798</v>
          </cell>
          <cell r="B1230" t="str">
            <v>32027</v>
          </cell>
          <cell r="C1230" t="str">
            <v>能登 むつみ</v>
          </cell>
          <cell r="D1230">
            <v>43798</v>
          </cell>
          <cell r="E1230" t="str">
            <v/>
          </cell>
          <cell r="F1230" t="str">
            <v/>
          </cell>
          <cell r="G1230" t="str">
            <v/>
          </cell>
        </row>
        <row r="1231">
          <cell r="A1231" t="str">
            <v>3202743799</v>
          </cell>
          <cell r="B1231" t="str">
            <v>32027</v>
          </cell>
          <cell r="C1231" t="str">
            <v>能登 むつみ</v>
          </cell>
          <cell r="D1231">
            <v>43799</v>
          </cell>
          <cell r="E1231" t="str">
            <v>／</v>
          </cell>
          <cell r="F1231" t="str">
            <v/>
          </cell>
          <cell r="G1231" t="str">
            <v/>
          </cell>
        </row>
        <row r="1232">
          <cell r="A1232" t="str">
            <v>4123643770</v>
          </cell>
          <cell r="B1232" t="str">
            <v>41236</v>
          </cell>
          <cell r="C1232" t="str">
            <v>中川 香織</v>
          </cell>
          <cell r="D1232">
            <v>43770</v>
          </cell>
          <cell r="E1232" t="str">
            <v/>
          </cell>
          <cell r="F1232" t="str">
            <v/>
          </cell>
          <cell r="G1232">
            <v>42</v>
          </cell>
        </row>
        <row r="1233">
          <cell r="A1233" t="str">
            <v>4123643771</v>
          </cell>
          <cell r="B1233" t="str">
            <v>41236</v>
          </cell>
          <cell r="C1233" t="str">
            <v>中川 香織</v>
          </cell>
          <cell r="D1233">
            <v>43771</v>
          </cell>
          <cell r="E1233" t="str">
            <v>○</v>
          </cell>
          <cell r="F1233" t="str">
            <v/>
          </cell>
          <cell r="G1233" t="str">
            <v/>
          </cell>
        </row>
        <row r="1234">
          <cell r="A1234" t="str">
            <v>4123643772</v>
          </cell>
          <cell r="B1234" t="str">
            <v>41236</v>
          </cell>
          <cell r="C1234" t="str">
            <v>中川 香織</v>
          </cell>
          <cell r="D1234">
            <v>43772</v>
          </cell>
          <cell r="E1234" t="str">
            <v>●</v>
          </cell>
          <cell r="F1234" t="str">
            <v/>
          </cell>
          <cell r="G1234" t="str">
            <v/>
          </cell>
        </row>
        <row r="1235">
          <cell r="A1235" t="str">
            <v>4123643773</v>
          </cell>
          <cell r="B1235" t="str">
            <v>41236</v>
          </cell>
          <cell r="C1235" t="str">
            <v>中川 香織</v>
          </cell>
          <cell r="D1235">
            <v>43773</v>
          </cell>
          <cell r="E1235" t="str">
            <v>●</v>
          </cell>
          <cell r="F1235" t="str">
            <v/>
          </cell>
          <cell r="G1235" t="str">
            <v/>
          </cell>
        </row>
        <row r="1236">
          <cell r="A1236" t="str">
            <v>4123643774</v>
          </cell>
          <cell r="B1236" t="str">
            <v>41236</v>
          </cell>
          <cell r="C1236" t="str">
            <v>中川 香織</v>
          </cell>
          <cell r="D1236">
            <v>43774</v>
          </cell>
          <cell r="E1236" t="str">
            <v/>
          </cell>
          <cell r="F1236" t="str">
            <v/>
          </cell>
          <cell r="G1236" t="str">
            <v/>
          </cell>
        </row>
        <row r="1237">
          <cell r="A1237" t="str">
            <v>4123643775</v>
          </cell>
          <cell r="B1237" t="str">
            <v>41236</v>
          </cell>
          <cell r="C1237" t="str">
            <v>中川 香織</v>
          </cell>
          <cell r="D1237">
            <v>43775</v>
          </cell>
          <cell r="E1237" t="str">
            <v/>
          </cell>
          <cell r="F1237" t="str">
            <v/>
          </cell>
          <cell r="G1237" t="str">
            <v/>
          </cell>
        </row>
        <row r="1238">
          <cell r="A1238" t="str">
            <v>4123643776</v>
          </cell>
          <cell r="B1238" t="str">
            <v>41236</v>
          </cell>
          <cell r="C1238" t="str">
            <v>中川 香織</v>
          </cell>
          <cell r="D1238">
            <v>43776</v>
          </cell>
          <cell r="E1238" t="str">
            <v/>
          </cell>
          <cell r="F1238" t="str">
            <v/>
          </cell>
          <cell r="G1238" t="str">
            <v/>
          </cell>
        </row>
        <row r="1239">
          <cell r="A1239" t="str">
            <v>4123643777</v>
          </cell>
          <cell r="B1239" t="str">
            <v>41236</v>
          </cell>
          <cell r="C1239" t="str">
            <v>中川 香織</v>
          </cell>
          <cell r="D1239">
            <v>43777</v>
          </cell>
          <cell r="E1239" t="str">
            <v/>
          </cell>
          <cell r="F1239" t="str">
            <v/>
          </cell>
          <cell r="G1239" t="str">
            <v/>
          </cell>
        </row>
        <row r="1240">
          <cell r="A1240" t="str">
            <v>4123643778</v>
          </cell>
          <cell r="B1240" t="str">
            <v>41236</v>
          </cell>
          <cell r="C1240" t="str">
            <v>中川 香織</v>
          </cell>
          <cell r="D1240">
            <v>43778</v>
          </cell>
          <cell r="E1240" t="str">
            <v>／</v>
          </cell>
          <cell r="F1240" t="str">
            <v/>
          </cell>
          <cell r="G1240" t="str">
            <v/>
          </cell>
        </row>
        <row r="1241">
          <cell r="A1241" t="str">
            <v>4123643779</v>
          </cell>
          <cell r="B1241" t="str">
            <v>41236</v>
          </cell>
          <cell r="C1241" t="str">
            <v>中川 香織</v>
          </cell>
          <cell r="D1241">
            <v>43779</v>
          </cell>
          <cell r="E1241" t="str">
            <v>●</v>
          </cell>
          <cell r="F1241" t="str">
            <v/>
          </cell>
          <cell r="G1241" t="str">
            <v/>
          </cell>
        </row>
        <row r="1242">
          <cell r="A1242" t="str">
            <v>4123643780</v>
          </cell>
          <cell r="B1242" t="str">
            <v>41236</v>
          </cell>
          <cell r="C1242" t="str">
            <v>中川 香織</v>
          </cell>
          <cell r="D1242">
            <v>43780</v>
          </cell>
          <cell r="E1242" t="str">
            <v/>
          </cell>
          <cell r="F1242" t="str">
            <v/>
          </cell>
          <cell r="G1242" t="str">
            <v/>
          </cell>
        </row>
        <row r="1243">
          <cell r="A1243" t="str">
            <v>4123643781</v>
          </cell>
          <cell r="B1243" t="str">
            <v>41236</v>
          </cell>
          <cell r="C1243" t="str">
            <v>中川 香織</v>
          </cell>
          <cell r="D1243">
            <v>43781</v>
          </cell>
          <cell r="E1243" t="str">
            <v/>
          </cell>
          <cell r="F1243" t="str">
            <v/>
          </cell>
          <cell r="G1243" t="str">
            <v/>
          </cell>
        </row>
        <row r="1244">
          <cell r="A1244" t="str">
            <v>4123643782</v>
          </cell>
          <cell r="B1244" t="str">
            <v>41236</v>
          </cell>
          <cell r="C1244" t="str">
            <v>中川 香織</v>
          </cell>
          <cell r="D1244">
            <v>43782</v>
          </cell>
          <cell r="E1244" t="str">
            <v/>
          </cell>
          <cell r="F1244" t="str">
            <v/>
          </cell>
          <cell r="G1244" t="str">
            <v/>
          </cell>
        </row>
        <row r="1245">
          <cell r="A1245" t="str">
            <v>4123643783</v>
          </cell>
          <cell r="B1245" t="str">
            <v>41236</v>
          </cell>
          <cell r="C1245" t="str">
            <v>中川 香織</v>
          </cell>
          <cell r="D1245">
            <v>43783</v>
          </cell>
          <cell r="E1245" t="str">
            <v/>
          </cell>
          <cell r="F1245" t="str">
            <v/>
          </cell>
          <cell r="G1245" t="str">
            <v/>
          </cell>
        </row>
        <row r="1246">
          <cell r="A1246" t="str">
            <v>4123643784</v>
          </cell>
          <cell r="B1246" t="str">
            <v>41236</v>
          </cell>
          <cell r="C1246" t="str">
            <v>中川 香織</v>
          </cell>
          <cell r="D1246">
            <v>43784</v>
          </cell>
          <cell r="E1246" t="str">
            <v/>
          </cell>
          <cell r="F1246" t="str">
            <v/>
          </cell>
          <cell r="G1246" t="str">
            <v/>
          </cell>
        </row>
        <row r="1247">
          <cell r="A1247" t="str">
            <v>4123643785</v>
          </cell>
          <cell r="B1247" t="str">
            <v>41236</v>
          </cell>
          <cell r="C1247" t="str">
            <v>中川 香織</v>
          </cell>
          <cell r="D1247">
            <v>43785</v>
          </cell>
          <cell r="E1247" t="str">
            <v>○</v>
          </cell>
          <cell r="F1247" t="str">
            <v/>
          </cell>
          <cell r="G1247" t="str">
            <v/>
          </cell>
        </row>
        <row r="1248">
          <cell r="A1248" t="str">
            <v>4123643786</v>
          </cell>
          <cell r="B1248" t="str">
            <v>41236</v>
          </cell>
          <cell r="C1248" t="str">
            <v>中川 香織</v>
          </cell>
          <cell r="D1248">
            <v>43786</v>
          </cell>
          <cell r="E1248" t="str">
            <v>●</v>
          </cell>
          <cell r="F1248" t="str">
            <v/>
          </cell>
          <cell r="G1248" t="str">
            <v/>
          </cell>
        </row>
        <row r="1249">
          <cell r="A1249" t="str">
            <v>4123643787</v>
          </cell>
          <cell r="B1249" t="str">
            <v>41236</v>
          </cell>
          <cell r="C1249" t="str">
            <v>中川 香織</v>
          </cell>
          <cell r="D1249">
            <v>43787</v>
          </cell>
          <cell r="E1249" t="str">
            <v/>
          </cell>
          <cell r="F1249" t="str">
            <v/>
          </cell>
          <cell r="G1249" t="str">
            <v/>
          </cell>
        </row>
        <row r="1250">
          <cell r="A1250" t="str">
            <v>4123643788</v>
          </cell>
          <cell r="B1250" t="str">
            <v>41236</v>
          </cell>
          <cell r="C1250" t="str">
            <v>中川 香織</v>
          </cell>
          <cell r="D1250">
            <v>43788</v>
          </cell>
          <cell r="E1250" t="str">
            <v/>
          </cell>
          <cell r="F1250" t="str">
            <v/>
          </cell>
          <cell r="G1250" t="str">
            <v/>
          </cell>
        </row>
        <row r="1251">
          <cell r="A1251" t="str">
            <v>4123643789</v>
          </cell>
          <cell r="B1251" t="str">
            <v>41236</v>
          </cell>
          <cell r="C1251" t="str">
            <v>中川 香織</v>
          </cell>
          <cell r="D1251">
            <v>43789</v>
          </cell>
          <cell r="E1251" t="str">
            <v/>
          </cell>
          <cell r="F1251" t="str">
            <v/>
          </cell>
          <cell r="G1251" t="str">
            <v/>
          </cell>
        </row>
        <row r="1252">
          <cell r="A1252" t="str">
            <v>4123643790</v>
          </cell>
          <cell r="B1252" t="str">
            <v>41236</v>
          </cell>
          <cell r="C1252" t="str">
            <v>中川 香織</v>
          </cell>
          <cell r="D1252">
            <v>43790</v>
          </cell>
          <cell r="E1252" t="str">
            <v/>
          </cell>
          <cell r="F1252" t="str">
            <v/>
          </cell>
          <cell r="G1252" t="str">
            <v/>
          </cell>
        </row>
        <row r="1253">
          <cell r="A1253" t="str">
            <v>4123643791</v>
          </cell>
          <cell r="B1253" t="str">
            <v>41236</v>
          </cell>
          <cell r="C1253" t="str">
            <v>中川 香織</v>
          </cell>
          <cell r="D1253">
            <v>43791</v>
          </cell>
          <cell r="E1253" t="str">
            <v/>
          </cell>
          <cell r="F1253" t="str">
            <v/>
          </cell>
          <cell r="G1253" t="str">
            <v/>
          </cell>
        </row>
        <row r="1254">
          <cell r="A1254" t="str">
            <v>4123643792</v>
          </cell>
          <cell r="B1254" t="str">
            <v>41236</v>
          </cell>
          <cell r="C1254" t="str">
            <v>中川 香織</v>
          </cell>
          <cell r="D1254">
            <v>43792</v>
          </cell>
          <cell r="E1254" t="str">
            <v>●</v>
          </cell>
          <cell r="F1254" t="str">
            <v/>
          </cell>
          <cell r="G1254" t="str">
            <v/>
          </cell>
        </row>
        <row r="1255">
          <cell r="A1255" t="str">
            <v>4123643793</v>
          </cell>
          <cell r="B1255" t="str">
            <v>41236</v>
          </cell>
          <cell r="C1255" t="str">
            <v>中川 香織</v>
          </cell>
          <cell r="D1255">
            <v>43793</v>
          </cell>
          <cell r="E1255" t="str">
            <v>●</v>
          </cell>
          <cell r="F1255" t="str">
            <v/>
          </cell>
          <cell r="G1255" t="str">
            <v/>
          </cell>
        </row>
        <row r="1256">
          <cell r="A1256" t="str">
            <v>4123643794</v>
          </cell>
          <cell r="B1256" t="str">
            <v>41236</v>
          </cell>
          <cell r="C1256" t="str">
            <v>中川 香織</v>
          </cell>
          <cell r="D1256">
            <v>43794</v>
          </cell>
          <cell r="E1256" t="str">
            <v/>
          </cell>
          <cell r="F1256" t="str">
            <v/>
          </cell>
          <cell r="G1256" t="str">
            <v/>
          </cell>
        </row>
        <row r="1257">
          <cell r="A1257" t="str">
            <v>4123643795</v>
          </cell>
          <cell r="B1257" t="str">
            <v>41236</v>
          </cell>
          <cell r="C1257" t="str">
            <v>中川 香織</v>
          </cell>
          <cell r="D1257">
            <v>43795</v>
          </cell>
          <cell r="E1257" t="str">
            <v/>
          </cell>
          <cell r="F1257" t="str">
            <v/>
          </cell>
          <cell r="G1257" t="str">
            <v/>
          </cell>
        </row>
        <row r="1258">
          <cell r="A1258" t="str">
            <v>4123643796</v>
          </cell>
          <cell r="B1258" t="str">
            <v>41236</v>
          </cell>
          <cell r="C1258" t="str">
            <v>中川 香織</v>
          </cell>
          <cell r="D1258">
            <v>43796</v>
          </cell>
          <cell r="E1258" t="str">
            <v/>
          </cell>
          <cell r="F1258" t="str">
            <v/>
          </cell>
          <cell r="G1258" t="str">
            <v/>
          </cell>
        </row>
        <row r="1259">
          <cell r="A1259" t="str">
            <v>4123643797</v>
          </cell>
          <cell r="B1259" t="str">
            <v>41236</v>
          </cell>
          <cell r="C1259" t="str">
            <v>中川 香織</v>
          </cell>
          <cell r="D1259">
            <v>43797</v>
          </cell>
          <cell r="E1259" t="str">
            <v/>
          </cell>
          <cell r="F1259" t="str">
            <v/>
          </cell>
          <cell r="G1259" t="str">
            <v/>
          </cell>
        </row>
        <row r="1260">
          <cell r="A1260" t="str">
            <v>4123643798</v>
          </cell>
          <cell r="B1260" t="str">
            <v>41236</v>
          </cell>
          <cell r="C1260" t="str">
            <v>中川 香織</v>
          </cell>
          <cell r="D1260">
            <v>43798</v>
          </cell>
          <cell r="E1260" t="str">
            <v/>
          </cell>
          <cell r="F1260" t="str">
            <v/>
          </cell>
          <cell r="G1260" t="str">
            <v/>
          </cell>
        </row>
        <row r="1261">
          <cell r="A1261" t="str">
            <v>4123643799</v>
          </cell>
          <cell r="B1261" t="str">
            <v>41236</v>
          </cell>
          <cell r="C1261" t="str">
            <v>中川 香織</v>
          </cell>
          <cell r="D1261">
            <v>43799</v>
          </cell>
          <cell r="E1261" t="str">
            <v>○</v>
          </cell>
          <cell r="F1261" t="str">
            <v/>
          </cell>
          <cell r="G1261" t="str">
            <v/>
          </cell>
        </row>
        <row r="1262">
          <cell r="A1262" t="str">
            <v>12008243770</v>
          </cell>
          <cell r="B1262" t="str">
            <v>120082</v>
          </cell>
          <cell r="C1262" t="str">
            <v>木田 哲男</v>
          </cell>
          <cell r="D1262">
            <v>43770</v>
          </cell>
          <cell r="E1262" t="str">
            <v>P</v>
          </cell>
          <cell r="F1262" t="str">
            <v/>
          </cell>
          <cell r="G1262">
            <v>43</v>
          </cell>
        </row>
        <row r="1263">
          <cell r="A1263" t="str">
            <v>12008243771</v>
          </cell>
          <cell r="B1263" t="str">
            <v>120082</v>
          </cell>
          <cell r="C1263" t="str">
            <v>木田 哲男</v>
          </cell>
          <cell r="D1263">
            <v>43771</v>
          </cell>
          <cell r="E1263" t="str">
            <v>●</v>
          </cell>
          <cell r="F1263" t="str">
            <v/>
          </cell>
          <cell r="G1263" t="str">
            <v/>
          </cell>
        </row>
        <row r="1264">
          <cell r="A1264" t="str">
            <v>12008243772</v>
          </cell>
          <cell r="B1264" t="str">
            <v>120082</v>
          </cell>
          <cell r="C1264" t="str">
            <v>木田 哲男</v>
          </cell>
          <cell r="D1264">
            <v>43772</v>
          </cell>
          <cell r="E1264" t="str">
            <v>●</v>
          </cell>
          <cell r="F1264" t="str">
            <v/>
          </cell>
          <cell r="G1264" t="str">
            <v/>
          </cell>
        </row>
        <row r="1265">
          <cell r="A1265" t="str">
            <v>12008243773</v>
          </cell>
          <cell r="B1265" t="str">
            <v>120082</v>
          </cell>
          <cell r="C1265" t="str">
            <v>木田 哲男</v>
          </cell>
          <cell r="D1265">
            <v>43773</v>
          </cell>
          <cell r="E1265" t="str">
            <v>●</v>
          </cell>
          <cell r="F1265" t="str">
            <v/>
          </cell>
          <cell r="G1265" t="str">
            <v/>
          </cell>
        </row>
        <row r="1266">
          <cell r="A1266" t="str">
            <v>12008243774</v>
          </cell>
          <cell r="B1266" t="str">
            <v>120082</v>
          </cell>
          <cell r="C1266" t="str">
            <v>木田 哲男</v>
          </cell>
          <cell r="D1266">
            <v>43774</v>
          </cell>
          <cell r="E1266" t="str">
            <v>P</v>
          </cell>
          <cell r="F1266" t="str">
            <v/>
          </cell>
          <cell r="G1266" t="str">
            <v/>
          </cell>
        </row>
        <row r="1267">
          <cell r="A1267" t="str">
            <v>12008243775</v>
          </cell>
          <cell r="B1267" t="str">
            <v>120082</v>
          </cell>
          <cell r="C1267" t="str">
            <v>木田 哲男</v>
          </cell>
          <cell r="D1267">
            <v>43775</v>
          </cell>
          <cell r="E1267" t="str">
            <v>P</v>
          </cell>
          <cell r="F1267" t="str">
            <v/>
          </cell>
          <cell r="G1267" t="str">
            <v/>
          </cell>
        </row>
        <row r="1268">
          <cell r="A1268" t="str">
            <v>12008243776</v>
          </cell>
          <cell r="B1268" t="str">
            <v>120082</v>
          </cell>
          <cell r="C1268" t="str">
            <v>木田 哲男</v>
          </cell>
          <cell r="D1268">
            <v>43776</v>
          </cell>
          <cell r="E1268" t="str">
            <v>P</v>
          </cell>
          <cell r="F1268" t="str">
            <v/>
          </cell>
          <cell r="G1268" t="str">
            <v/>
          </cell>
        </row>
        <row r="1269">
          <cell r="A1269" t="str">
            <v>12008243777</v>
          </cell>
          <cell r="B1269" t="str">
            <v>120082</v>
          </cell>
          <cell r="C1269" t="str">
            <v>木田 哲男</v>
          </cell>
          <cell r="D1269">
            <v>43777</v>
          </cell>
          <cell r="E1269" t="str">
            <v>P</v>
          </cell>
          <cell r="F1269" t="str">
            <v/>
          </cell>
          <cell r="G1269" t="str">
            <v/>
          </cell>
        </row>
        <row r="1270">
          <cell r="A1270" t="str">
            <v>12008243778</v>
          </cell>
          <cell r="B1270" t="str">
            <v>120082</v>
          </cell>
          <cell r="C1270" t="str">
            <v>木田 哲男</v>
          </cell>
          <cell r="D1270">
            <v>43778</v>
          </cell>
          <cell r="E1270" t="str">
            <v>●</v>
          </cell>
          <cell r="F1270" t="str">
            <v/>
          </cell>
          <cell r="G1270" t="str">
            <v/>
          </cell>
        </row>
        <row r="1271">
          <cell r="A1271" t="str">
            <v>12008243779</v>
          </cell>
          <cell r="B1271" t="str">
            <v>120082</v>
          </cell>
          <cell r="C1271" t="str">
            <v>木田 哲男</v>
          </cell>
          <cell r="D1271">
            <v>43779</v>
          </cell>
          <cell r="E1271" t="str">
            <v>●</v>
          </cell>
          <cell r="F1271" t="str">
            <v/>
          </cell>
          <cell r="G1271" t="str">
            <v/>
          </cell>
        </row>
        <row r="1272">
          <cell r="A1272" t="str">
            <v>12008243780</v>
          </cell>
          <cell r="B1272" t="str">
            <v>120082</v>
          </cell>
          <cell r="C1272" t="str">
            <v>木田 哲男</v>
          </cell>
          <cell r="D1272">
            <v>43780</v>
          </cell>
          <cell r="E1272" t="str">
            <v>P</v>
          </cell>
          <cell r="F1272" t="str">
            <v/>
          </cell>
          <cell r="G1272" t="str">
            <v/>
          </cell>
        </row>
        <row r="1273">
          <cell r="A1273" t="str">
            <v>12008243781</v>
          </cell>
          <cell r="B1273" t="str">
            <v>120082</v>
          </cell>
          <cell r="C1273" t="str">
            <v>木田 哲男</v>
          </cell>
          <cell r="D1273">
            <v>43781</v>
          </cell>
          <cell r="E1273" t="str">
            <v>P</v>
          </cell>
          <cell r="F1273" t="str">
            <v/>
          </cell>
          <cell r="G1273" t="str">
            <v/>
          </cell>
        </row>
        <row r="1274">
          <cell r="A1274" t="str">
            <v>12008243782</v>
          </cell>
          <cell r="B1274" t="str">
            <v>120082</v>
          </cell>
          <cell r="C1274" t="str">
            <v>木田 哲男</v>
          </cell>
          <cell r="D1274">
            <v>43782</v>
          </cell>
          <cell r="E1274" t="str">
            <v>P</v>
          </cell>
          <cell r="F1274" t="str">
            <v/>
          </cell>
          <cell r="G1274" t="str">
            <v/>
          </cell>
        </row>
        <row r="1275">
          <cell r="A1275" t="str">
            <v>12008243783</v>
          </cell>
          <cell r="B1275" t="str">
            <v>120082</v>
          </cell>
          <cell r="C1275" t="str">
            <v>木田 哲男</v>
          </cell>
          <cell r="D1275">
            <v>43783</v>
          </cell>
          <cell r="E1275" t="str">
            <v>P</v>
          </cell>
          <cell r="F1275" t="str">
            <v/>
          </cell>
          <cell r="G1275" t="str">
            <v/>
          </cell>
        </row>
        <row r="1276">
          <cell r="A1276" t="str">
            <v>12008243784</v>
          </cell>
          <cell r="B1276" t="str">
            <v>120082</v>
          </cell>
          <cell r="C1276" t="str">
            <v>木田 哲男</v>
          </cell>
          <cell r="D1276">
            <v>43784</v>
          </cell>
          <cell r="E1276" t="str">
            <v>P</v>
          </cell>
          <cell r="F1276" t="str">
            <v/>
          </cell>
          <cell r="G1276" t="str">
            <v/>
          </cell>
        </row>
        <row r="1277">
          <cell r="A1277" t="str">
            <v>12008243785</v>
          </cell>
          <cell r="B1277" t="str">
            <v>120082</v>
          </cell>
          <cell r="C1277" t="str">
            <v>木田 哲男</v>
          </cell>
          <cell r="D1277">
            <v>43785</v>
          </cell>
          <cell r="E1277" t="str">
            <v>●</v>
          </cell>
          <cell r="F1277" t="str">
            <v/>
          </cell>
          <cell r="G1277" t="str">
            <v/>
          </cell>
        </row>
        <row r="1278">
          <cell r="A1278" t="str">
            <v>12008243786</v>
          </cell>
          <cell r="B1278" t="str">
            <v>120082</v>
          </cell>
          <cell r="C1278" t="str">
            <v>木田 哲男</v>
          </cell>
          <cell r="D1278">
            <v>43786</v>
          </cell>
          <cell r="E1278" t="str">
            <v>●</v>
          </cell>
          <cell r="F1278" t="str">
            <v/>
          </cell>
          <cell r="G1278" t="str">
            <v/>
          </cell>
        </row>
        <row r="1279">
          <cell r="A1279" t="str">
            <v>12008243787</v>
          </cell>
          <cell r="B1279" t="str">
            <v>120082</v>
          </cell>
          <cell r="C1279" t="str">
            <v>木田 哲男</v>
          </cell>
          <cell r="D1279">
            <v>43787</v>
          </cell>
          <cell r="E1279" t="str">
            <v>P</v>
          </cell>
          <cell r="F1279" t="str">
            <v/>
          </cell>
          <cell r="G1279" t="str">
            <v/>
          </cell>
        </row>
        <row r="1280">
          <cell r="A1280" t="str">
            <v>12008243788</v>
          </cell>
          <cell r="B1280" t="str">
            <v>120082</v>
          </cell>
          <cell r="C1280" t="str">
            <v>木田 哲男</v>
          </cell>
          <cell r="D1280">
            <v>43788</v>
          </cell>
          <cell r="E1280" t="str">
            <v>P</v>
          </cell>
          <cell r="F1280" t="str">
            <v/>
          </cell>
          <cell r="G1280" t="str">
            <v/>
          </cell>
        </row>
        <row r="1281">
          <cell r="A1281" t="str">
            <v>12008243789</v>
          </cell>
          <cell r="B1281" t="str">
            <v>120082</v>
          </cell>
          <cell r="C1281" t="str">
            <v>木田 哲男</v>
          </cell>
          <cell r="D1281">
            <v>43789</v>
          </cell>
          <cell r="E1281" t="str">
            <v>P</v>
          </cell>
          <cell r="F1281" t="str">
            <v/>
          </cell>
          <cell r="G1281" t="str">
            <v/>
          </cell>
        </row>
        <row r="1282">
          <cell r="A1282" t="str">
            <v>12008243790</v>
          </cell>
          <cell r="B1282" t="str">
            <v>120082</v>
          </cell>
          <cell r="C1282" t="str">
            <v>木田 哲男</v>
          </cell>
          <cell r="D1282">
            <v>43790</v>
          </cell>
          <cell r="E1282" t="str">
            <v>P</v>
          </cell>
          <cell r="F1282" t="str">
            <v/>
          </cell>
          <cell r="G1282" t="str">
            <v/>
          </cell>
        </row>
        <row r="1283">
          <cell r="A1283" t="str">
            <v>12008243791</v>
          </cell>
          <cell r="B1283" t="str">
            <v>120082</v>
          </cell>
          <cell r="C1283" t="str">
            <v>木田 哲男</v>
          </cell>
          <cell r="D1283">
            <v>43791</v>
          </cell>
          <cell r="E1283" t="str">
            <v>P</v>
          </cell>
          <cell r="F1283" t="str">
            <v/>
          </cell>
          <cell r="G1283" t="str">
            <v/>
          </cell>
        </row>
        <row r="1284">
          <cell r="A1284" t="str">
            <v>12008243792</v>
          </cell>
          <cell r="B1284" t="str">
            <v>120082</v>
          </cell>
          <cell r="C1284" t="str">
            <v>木田 哲男</v>
          </cell>
          <cell r="D1284">
            <v>43792</v>
          </cell>
          <cell r="E1284" t="str">
            <v>●</v>
          </cell>
          <cell r="F1284" t="str">
            <v/>
          </cell>
          <cell r="G1284" t="str">
            <v/>
          </cell>
        </row>
        <row r="1285">
          <cell r="A1285" t="str">
            <v>12008243793</v>
          </cell>
          <cell r="B1285" t="str">
            <v>120082</v>
          </cell>
          <cell r="C1285" t="str">
            <v>木田 哲男</v>
          </cell>
          <cell r="D1285">
            <v>43793</v>
          </cell>
          <cell r="E1285" t="str">
            <v>●</v>
          </cell>
          <cell r="F1285" t="str">
            <v/>
          </cell>
          <cell r="G1285" t="str">
            <v/>
          </cell>
        </row>
        <row r="1286">
          <cell r="A1286" t="str">
            <v>12008243794</v>
          </cell>
          <cell r="B1286" t="str">
            <v>120082</v>
          </cell>
          <cell r="C1286" t="str">
            <v>木田 哲男</v>
          </cell>
          <cell r="D1286">
            <v>43794</v>
          </cell>
          <cell r="E1286" t="str">
            <v>P</v>
          </cell>
          <cell r="F1286" t="str">
            <v/>
          </cell>
          <cell r="G1286" t="str">
            <v/>
          </cell>
        </row>
        <row r="1287">
          <cell r="A1287" t="str">
            <v>12008243795</v>
          </cell>
          <cell r="B1287" t="str">
            <v>120082</v>
          </cell>
          <cell r="C1287" t="str">
            <v>木田 哲男</v>
          </cell>
          <cell r="D1287">
            <v>43795</v>
          </cell>
          <cell r="E1287" t="str">
            <v>P</v>
          </cell>
          <cell r="F1287" t="str">
            <v/>
          </cell>
          <cell r="G1287" t="str">
            <v/>
          </cell>
        </row>
        <row r="1288">
          <cell r="A1288" t="str">
            <v>12008243796</v>
          </cell>
          <cell r="B1288" t="str">
            <v>120082</v>
          </cell>
          <cell r="C1288" t="str">
            <v>木田 哲男</v>
          </cell>
          <cell r="D1288">
            <v>43796</v>
          </cell>
          <cell r="E1288" t="str">
            <v>P</v>
          </cell>
          <cell r="F1288" t="str">
            <v/>
          </cell>
          <cell r="G1288" t="str">
            <v/>
          </cell>
        </row>
        <row r="1289">
          <cell r="A1289" t="str">
            <v>12008243797</v>
          </cell>
          <cell r="B1289" t="str">
            <v>120082</v>
          </cell>
          <cell r="C1289" t="str">
            <v>木田 哲男</v>
          </cell>
          <cell r="D1289">
            <v>43797</v>
          </cell>
          <cell r="E1289" t="str">
            <v>P</v>
          </cell>
          <cell r="F1289" t="str">
            <v/>
          </cell>
          <cell r="G1289" t="str">
            <v/>
          </cell>
        </row>
        <row r="1290">
          <cell r="A1290" t="str">
            <v>12008243798</v>
          </cell>
          <cell r="B1290" t="str">
            <v>120082</v>
          </cell>
          <cell r="C1290" t="str">
            <v>木田 哲男</v>
          </cell>
          <cell r="D1290">
            <v>43798</v>
          </cell>
          <cell r="E1290" t="str">
            <v>P</v>
          </cell>
          <cell r="F1290" t="str">
            <v/>
          </cell>
          <cell r="G1290" t="str">
            <v/>
          </cell>
        </row>
        <row r="1291">
          <cell r="A1291" t="str">
            <v>12008243799</v>
          </cell>
          <cell r="B1291" t="str">
            <v>120082</v>
          </cell>
          <cell r="C1291" t="str">
            <v>木田 哲男</v>
          </cell>
          <cell r="D1291">
            <v>43799</v>
          </cell>
          <cell r="E1291" t="str">
            <v>●</v>
          </cell>
          <cell r="F1291" t="str">
            <v/>
          </cell>
          <cell r="G1291" t="str">
            <v/>
          </cell>
        </row>
        <row r="1292">
          <cell r="A1292" t="str">
            <v/>
          </cell>
          <cell r="B1292" t="str">
            <v/>
          </cell>
          <cell r="C1292" t="str">
            <v/>
          </cell>
          <cell r="D1292" t="str">
            <v/>
          </cell>
          <cell r="E1292" t="str">
            <v/>
          </cell>
          <cell r="F1292" t="str">
            <v/>
          </cell>
          <cell r="G1292" t="str">
            <v/>
          </cell>
        </row>
        <row r="1293">
          <cell r="A1293" t="str">
            <v/>
          </cell>
          <cell r="B1293" t="str">
            <v/>
          </cell>
          <cell r="C1293" t="str">
            <v/>
          </cell>
          <cell r="D1293" t="str">
            <v/>
          </cell>
          <cell r="E1293" t="str">
            <v/>
          </cell>
          <cell r="F1293" t="str">
            <v/>
          </cell>
          <cell r="G1293" t="str">
            <v/>
          </cell>
        </row>
        <row r="1294">
          <cell r="A1294" t="str">
            <v/>
          </cell>
          <cell r="B1294" t="str">
            <v/>
          </cell>
          <cell r="C1294" t="str">
            <v/>
          </cell>
          <cell r="D1294" t="str">
            <v/>
          </cell>
          <cell r="E1294" t="str">
            <v/>
          </cell>
          <cell r="F1294" t="str">
            <v/>
          </cell>
          <cell r="G1294" t="str">
            <v/>
          </cell>
        </row>
        <row r="1295">
          <cell r="A1295" t="str">
            <v/>
          </cell>
          <cell r="B1295" t="str">
            <v/>
          </cell>
          <cell r="C1295" t="str">
            <v/>
          </cell>
          <cell r="D1295" t="str">
            <v/>
          </cell>
          <cell r="E1295" t="str">
            <v/>
          </cell>
          <cell r="F1295" t="str">
            <v/>
          </cell>
          <cell r="G1295" t="str">
            <v/>
          </cell>
        </row>
        <row r="1296">
          <cell r="A1296" t="str">
            <v/>
          </cell>
          <cell r="B1296" t="str">
            <v/>
          </cell>
          <cell r="C1296" t="str">
            <v/>
          </cell>
          <cell r="D1296" t="str">
            <v/>
          </cell>
          <cell r="E1296" t="str">
            <v/>
          </cell>
          <cell r="F1296" t="str">
            <v/>
          </cell>
          <cell r="G1296" t="str">
            <v/>
          </cell>
        </row>
        <row r="1297">
          <cell r="A1297" t="str">
            <v/>
          </cell>
          <cell r="B1297" t="str">
            <v/>
          </cell>
          <cell r="C1297" t="str">
            <v/>
          </cell>
          <cell r="D1297" t="str">
            <v/>
          </cell>
          <cell r="E1297" t="str">
            <v/>
          </cell>
          <cell r="F1297" t="str">
            <v/>
          </cell>
          <cell r="G1297" t="str">
            <v/>
          </cell>
        </row>
        <row r="1298">
          <cell r="A1298" t="str">
            <v/>
          </cell>
          <cell r="B1298" t="str">
            <v/>
          </cell>
          <cell r="C1298" t="str">
            <v/>
          </cell>
          <cell r="D1298" t="str">
            <v/>
          </cell>
          <cell r="E1298" t="str">
            <v/>
          </cell>
          <cell r="F1298" t="str">
            <v/>
          </cell>
          <cell r="G1298" t="str">
            <v/>
          </cell>
        </row>
        <row r="1299">
          <cell r="A1299" t="str">
            <v/>
          </cell>
          <cell r="B1299" t="str">
            <v/>
          </cell>
          <cell r="C1299" t="str">
            <v/>
          </cell>
          <cell r="D1299" t="str">
            <v/>
          </cell>
          <cell r="E1299" t="str">
            <v/>
          </cell>
          <cell r="F1299" t="str">
            <v/>
          </cell>
          <cell r="G1299" t="str">
            <v/>
          </cell>
        </row>
        <row r="1300">
          <cell r="A1300" t="str">
            <v/>
          </cell>
          <cell r="B1300" t="str">
            <v/>
          </cell>
          <cell r="C1300" t="str">
            <v/>
          </cell>
          <cell r="D1300" t="str">
            <v/>
          </cell>
          <cell r="E1300" t="str">
            <v/>
          </cell>
          <cell r="F1300" t="str">
            <v/>
          </cell>
          <cell r="G1300" t="str">
            <v/>
          </cell>
        </row>
        <row r="1301">
          <cell r="A1301" t="str">
            <v/>
          </cell>
          <cell r="B1301" t="str">
            <v/>
          </cell>
          <cell r="C1301" t="str">
            <v/>
          </cell>
          <cell r="D1301" t="str">
            <v/>
          </cell>
          <cell r="E1301" t="str">
            <v/>
          </cell>
          <cell r="F1301" t="str">
            <v/>
          </cell>
          <cell r="G1301" t="str">
            <v/>
          </cell>
        </row>
        <row r="1302">
          <cell r="A1302" t="str">
            <v/>
          </cell>
          <cell r="B1302" t="str">
            <v/>
          </cell>
          <cell r="C1302" t="str">
            <v/>
          </cell>
          <cell r="D1302" t="str">
            <v/>
          </cell>
          <cell r="E1302" t="str">
            <v/>
          </cell>
          <cell r="F1302" t="str">
            <v/>
          </cell>
          <cell r="G1302" t="str">
            <v/>
          </cell>
        </row>
        <row r="1303">
          <cell r="A1303" t="str">
            <v/>
          </cell>
          <cell r="B1303" t="str">
            <v/>
          </cell>
          <cell r="C1303" t="str">
            <v/>
          </cell>
          <cell r="D1303" t="str">
            <v/>
          </cell>
          <cell r="E1303" t="str">
            <v/>
          </cell>
          <cell r="F1303" t="str">
            <v/>
          </cell>
          <cell r="G1303" t="str">
            <v/>
          </cell>
        </row>
        <row r="1304">
          <cell r="A1304" t="str">
            <v/>
          </cell>
          <cell r="B1304" t="str">
            <v/>
          </cell>
          <cell r="C1304" t="str">
            <v/>
          </cell>
          <cell r="D1304" t="str">
            <v/>
          </cell>
          <cell r="E1304" t="str">
            <v/>
          </cell>
          <cell r="F1304" t="str">
            <v/>
          </cell>
          <cell r="G1304" t="str">
            <v/>
          </cell>
        </row>
        <row r="1305">
          <cell r="A1305" t="str">
            <v/>
          </cell>
          <cell r="B1305" t="str">
            <v/>
          </cell>
          <cell r="C1305" t="str">
            <v/>
          </cell>
          <cell r="D1305" t="str">
            <v/>
          </cell>
          <cell r="E1305" t="str">
            <v/>
          </cell>
          <cell r="F1305" t="str">
            <v/>
          </cell>
          <cell r="G1305" t="str">
            <v/>
          </cell>
        </row>
        <row r="1306">
          <cell r="A1306" t="str">
            <v/>
          </cell>
          <cell r="B1306" t="str">
            <v/>
          </cell>
          <cell r="C1306" t="str">
            <v/>
          </cell>
          <cell r="D1306" t="str">
            <v/>
          </cell>
          <cell r="E1306" t="str">
            <v/>
          </cell>
          <cell r="F1306" t="str">
            <v/>
          </cell>
          <cell r="G1306" t="str">
            <v/>
          </cell>
        </row>
        <row r="1307">
          <cell r="A1307" t="str">
            <v/>
          </cell>
          <cell r="B1307" t="str">
            <v/>
          </cell>
          <cell r="C1307" t="str">
            <v/>
          </cell>
          <cell r="D1307" t="str">
            <v/>
          </cell>
          <cell r="E1307" t="str">
            <v/>
          </cell>
          <cell r="F1307" t="str">
            <v/>
          </cell>
          <cell r="G1307" t="str">
            <v/>
          </cell>
        </row>
        <row r="1308">
          <cell r="A1308" t="str">
            <v/>
          </cell>
          <cell r="B1308" t="str">
            <v/>
          </cell>
          <cell r="C1308" t="str">
            <v/>
          </cell>
          <cell r="D1308" t="str">
            <v/>
          </cell>
          <cell r="E1308" t="str">
            <v/>
          </cell>
          <cell r="F1308" t="str">
            <v/>
          </cell>
          <cell r="G1308" t="str">
            <v/>
          </cell>
        </row>
        <row r="1309">
          <cell r="A1309" t="str">
            <v/>
          </cell>
          <cell r="B1309" t="str">
            <v/>
          </cell>
          <cell r="C1309" t="str">
            <v/>
          </cell>
          <cell r="D1309" t="str">
            <v/>
          </cell>
          <cell r="E1309" t="str">
            <v/>
          </cell>
          <cell r="F1309" t="str">
            <v/>
          </cell>
          <cell r="G1309" t="str">
            <v/>
          </cell>
        </row>
        <row r="1310">
          <cell r="A1310" t="str">
            <v/>
          </cell>
          <cell r="B1310" t="str">
            <v/>
          </cell>
          <cell r="C1310" t="str">
            <v/>
          </cell>
          <cell r="D1310" t="str">
            <v/>
          </cell>
          <cell r="E1310" t="str">
            <v/>
          </cell>
          <cell r="F1310" t="str">
            <v/>
          </cell>
          <cell r="G1310" t="str">
            <v/>
          </cell>
        </row>
        <row r="1311">
          <cell r="A1311" t="str">
            <v/>
          </cell>
          <cell r="B1311" t="str">
            <v/>
          </cell>
          <cell r="C1311" t="str">
            <v/>
          </cell>
          <cell r="D1311" t="str">
            <v/>
          </cell>
          <cell r="E1311" t="str">
            <v/>
          </cell>
          <cell r="F1311" t="str">
            <v/>
          </cell>
          <cell r="G1311" t="str">
            <v/>
          </cell>
        </row>
        <row r="1312">
          <cell r="A1312" t="str">
            <v/>
          </cell>
          <cell r="B1312" t="str">
            <v/>
          </cell>
          <cell r="C1312" t="str">
            <v/>
          </cell>
          <cell r="D1312" t="str">
            <v/>
          </cell>
          <cell r="E1312" t="str">
            <v/>
          </cell>
          <cell r="F1312" t="str">
            <v/>
          </cell>
          <cell r="G1312" t="str">
            <v/>
          </cell>
        </row>
        <row r="1313">
          <cell r="A1313" t="str">
            <v/>
          </cell>
          <cell r="B1313" t="str">
            <v/>
          </cell>
          <cell r="C1313" t="str">
            <v/>
          </cell>
          <cell r="D1313" t="str">
            <v/>
          </cell>
          <cell r="E1313" t="str">
            <v/>
          </cell>
          <cell r="F1313" t="str">
            <v/>
          </cell>
          <cell r="G1313" t="str">
            <v/>
          </cell>
        </row>
        <row r="1314">
          <cell r="A1314" t="str">
            <v/>
          </cell>
          <cell r="B1314" t="str">
            <v/>
          </cell>
          <cell r="C1314" t="str">
            <v/>
          </cell>
          <cell r="D1314" t="str">
            <v/>
          </cell>
          <cell r="E1314" t="str">
            <v/>
          </cell>
          <cell r="F1314" t="str">
            <v/>
          </cell>
          <cell r="G1314" t="str">
            <v/>
          </cell>
        </row>
        <row r="1315">
          <cell r="A1315" t="str">
            <v/>
          </cell>
          <cell r="B1315" t="str">
            <v/>
          </cell>
          <cell r="C1315" t="str">
            <v/>
          </cell>
          <cell r="D1315" t="str">
            <v/>
          </cell>
          <cell r="E1315" t="str">
            <v/>
          </cell>
          <cell r="F1315" t="str">
            <v/>
          </cell>
          <cell r="G1315" t="str">
            <v/>
          </cell>
        </row>
        <row r="1316">
          <cell r="A1316" t="str">
            <v/>
          </cell>
          <cell r="B1316" t="str">
            <v/>
          </cell>
          <cell r="C1316" t="str">
            <v/>
          </cell>
          <cell r="D1316" t="str">
            <v/>
          </cell>
          <cell r="E1316" t="str">
            <v/>
          </cell>
          <cell r="F1316" t="str">
            <v/>
          </cell>
          <cell r="G1316" t="str">
            <v/>
          </cell>
        </row>
        <row r="1317">
          <cell r="A1317" t="str">
            <v/>
          </cell>
          <cell r="B1317" t="str">
            <v/>
          </cell>
          <cell r="C1317" t="str">
            <v/>
          </cell>
          <cell r="D1317" t="str">
            <v/>
          </cell>
          <cell r="E1317" t="str">
            <v/>
          </cell>
          <cell r="F1317" t="str">
            <v/>
          </cell>
          <cell r="G1317" t="str">
            <v/>
          </cell>
        </row>
        <row r="1318">
          <cell r="A1318" t="str">
            <v/>
          </cell>
          <cell r="B1318" t="str">
            <v/>
          </cell>
          <cell r="C1318" t="str">
            <v/>
          </cell>
          <cell r="D1318" t="str">
            <v/>
          </cell>
          <cell r="E1318" t="str">
            <v/>
          </cell>
          <cell r="F1318" t="str">
            <v/>
          </cell>
          <cell r="G1318" t="str">
            <v/>
          </cell>
        </row>
        <row r="1319">
          <cell r="A1319" t="str">
            <v/>
          </cell>
          <cell r="B1319" t="str">
            <v/>
          </cell>
          <cell r="C1319" t="str">
            <v/>
          </cell>
          <cell r="D1319" t="str">
            <v/>
          </cell>
          <cell r="E1319" t="str">
            <v/>
          </cell>
          <cell r="F1319" t="str">
            <v/>
          </cell>
          <cell r="G1319" t="str">
            <v/>
          </cell>
        </row>
        <row r="1320">
          <cell r="A1320" t="str">
            <v/>
          </cell>
          <cell r="B1320" t="str">
            <v/>
          </cell>
          <cell r="C1320" t="str">
            <v/>
          </cell>
          <cell r="D1320" t="str">
            <v/>
          </cell>
          <cell r="E1320" t="str">
            <v/>
          </cell>
          <cell r="F1320" t="str">
            <v/>
          </cell>
          <cell r="G1320" t="str">
            <v/>
          </cell>
        </row>
        <row r="1321">
          <cell r="A1321" t="str">
            <v/>
          </cell>
          <cell r="B1321" t="str">
            <v/>
          </cell>
          <cell r="C1321" t="str">
            <v/>
          </cell>
          <cell r="D1321" t="str">
            <v/>
          </cell>
          <cell r="E1321" t="str">
            <v/>
          </cell>
          <cell r="F1321" t="str">
            <v/>
          </cell>
          <cell r="G1321" t="str">
            <v/>
          </cell>
        </row>
        <row r="1322">
          <cell r="A1322" t="str">
            <v/>
          </cell>
          <cell r="B1322" t="str">
            <v/>
          </cell>
          <cell r="C1322" t="str">
            <v/>
          </cell>
          <cell r="D1322" t="str">
            <v/>
          </cell>
          <cell r="E1322" t="str">
            <v/>
          </cell>
          <cell r="F1322" t="str">
            <v/>
          </cell>
          <cell r="G1322" t="str">
            <v/>
          </cell>
        </row>
        <row r="1323">
          <cell r="A1323" t="str">
            <v/>
          </cell>
          <cell r="B1323" t="str">
            <v/>
          </cell>
          <cell r="C1323" t="str">
            <v/>
          </cell>
          <cell r="D1323" t="str">
            <v/>
          </cell>
          <cell r="E1323" t="str">
            <v/>
          </cell>
          <cell r="F1323" t="str">
            <v/>
          </cell>
          <cell r="G1323" t="str">
            <v/>
          </cell>
        </row>
        <row r="1324">
          <cell r="A1324" t="str">
            <v/>
          </cell>
          <cell r="B1324" t="str">
            <v/>
          </cell>
          <cell r="C1324" t="str">
            <v/>
          </cell>
          <cell r="D1324" t="str">
            <v/>
          </cell>
          <cell r="E1324" t="str">
            <v/>
          </cell>
          <cell r="F1324" t="str">
            <v/>
          </cell>
          <cell r="G1324" t="str">
            <v/>
          </cell>
        </row>
        <row r="1325">
          <cell r="A1325" t="str">
            <v/>
          </cell>
          <cell r="B1325" t="str">
            <v/>
          </cell>
          <cell r="C1325" t="str">
            <v/>
          </cell>
          <cell r="D1325" t="str">
            <v/>
          </cell>
          <cell r="E1325" t="str">
            <v/>
          </cell>
          <cell r="F1325" t="str">
            <v/>
          </cell>
          <cell r="G1325" t="str">
            <v/>
          </cell>
        </row>
        <row r="1326">
          <cell r="A1326" t="str">
            <v/>
          </cell>
          <cell r="B1326" t="str">
            <v/>
          </cell>
          <cell r="C1326" t="str">
            <v/>
          </cell>
          <cell r="D1326" t="str">
            <v/>
          </cell>
          <cell r="E1326" t="str">
            <v/>
          </cell>
          <cell r="F1326" t="str">
            <v/>
          </cell>
          <cell r="G1326" t="str">
            <v/>
          </cell>
        </row>
        <row r="1327">
          <cell r="A1327" t="str">
            <v/>
          </cell>
          <cell r="B1327" t="str">
            <v/>
          </cell>
          <cell r="C1327" t="str">
            <v/>
          </cell>
          <cell r="D1327" t="str">
            <v/>
          </cell>
          <cell r="E1327" t="str">
            <v/>
          </cell>
          <cell r="F1327" t="str">
            <v/>
          </cell>
          <cell r="G1327" t="str">
            <v/>
          </cell>
        </row>
        <row r="1328">
          <cell r="A1328" t="str">
            <v/>
          </cell>
          <cell r="B1328" t="str">
            <v/>
          </cell>
          <cell r="C1328" t="str">
            <v/>
          </cell>
          <cell r="D1328" t="str">
            <v/>
          </cell>
          <cell r="E1328" t="str">
            <v/>
          </cell>
          <cell r="F1328" t="str">
            <v/>
          </cell>
          <cell r="G1328" t="str">
            <v/>
          </cell>
        </row>
        <row r="1329">
          <cell r="A1329" t="str">
            <v/>
          </cell>
          <cell r="B1329" t="str">
            <v/>
          </cell>
          <cell r="C1329" t="str">
            <v/>
          </cell>
          <cell r="D1329" t="str">
            <v/>
          </cell>
          <cell r="E1329" t="str">
            <v/>
          </cell>
          <cell r="F1329" t="str">
            <v/>
          </cell>
          <cell r="G1329" t="str">
            <v/>
          </cell>
        </row>
        <row r="1330">
          <cell r="A1330" t="str">
            <v/>
          </cell>
          <cell r="B1330" t="str">
            <v/>
          </cell>
          <cell r="C1330" t="str">
            <v/>
          </cell>
          <cell r="D1330" t="str">
            <v/>
          </cell>
          <cell r="E1330" t="str">
            <v/>
          </cell>
          <cell r="F1330" t="str">
            <v/>
          </cell>
          <cell r="G1330" t="str">
            <v/>
          </cell>
        </row>
        <row r="1331">
          <cell r="A1331" t="str">
            <v/>
          </cell>
          <cell r="B1331" t="str">
            <v/>
          </cell>
          <cell r="C1331" t="str">
            <v/>
          </cell>
          <cell r="D1331" t="str">
            <v/>
          </cell>
          <cell r="E1331" t="str">
            <v/>
          </cell>
          <cell r="F1331" t="str">
            <v/>
          </cell>
          <cell r="G1331" t="str">
            <v/>
          </cell>
        </row>
        <row r="1332">
          <cell r="A1332" t="str">
            <v/>
          </cell>
          <cell r="B1332" t="str">
            <v/>
          </cell>
          <cell r="C1332" t="str">
            <v/>
          </cell>
          <cell r="D1332" t="str">
            <v/>
          </cell>
          <cell r="E1332" t="str">
            <v/>
          </cell>
          <cell r="F1332" t="str">
            <v/>
          </cell>
          <cell r="G1332" t="str">
            <v/>
          </cell>
        </row>
        <row r="1333">
          <cell r="A1333" t="str">
            <v/>
          </cell>
          <cell r="B1333" t="str">
            <v/>
          </cell>
          <cell r="C1333" t="str">
            <v/>
          </cell>
          <cell r="D1333" t="str">
            <v/>
          </cell>
          <cell r="E1333" t="str">
            <v/>
          </cell>
          <cell r="F1333" t="str">
            <v/>
          </cell>
          <cell r="G1333" t="str">
            <v/>
          </cell>
        </row>
        <row r="1334">
          <cell r="A1334" t="str">
            <v/>
          </cell>
          <cell r="B1334" t="str">
            <v/>
          </cell>
          <cell r="C1334" t="str">
            <v/>
          </cell>
          <cell r="D1334" t="str">
            <v/>
          </cell>
          <cell r="E1334" t="str">
            <v/>
          </cell>
          <cell r="F1334" t="str">
            <v/>
          </cell>
          <cell r="G1334" t="str">
            <v/>
          </cell>
        </row>
        <row r="1335">
          <cell r="A1335" t="str">
            <v/>
          </cell>
          <cell r="B1335" t="str">
            <v/>
          </cell>
          <cell r="C1335" t="str">
            <v/>
          </cell>
          <cell r="D1335" t="str">
            <v/>
          </cell>
          <cell r="E1335" t="str">
            <v/>
          </cell>
          <cell r="F1335" t="str">
            <v/>
          </cell>
          <cell r="G1335" t="str">
            <v/>
          </cell>
        </row>
        <row r="1336">
          <cell r="A1336" t="str">
            <v/>
          </cell>
          <cell r="B1336" t="str">
            <v/>
          </cell>
          <cell r="C1336" t="str">
            <v/>
          </cell>
          <cell r="D1336" t="str">
            <v/>
          </cell>
          <cell r="E1336" t="str">
            <v/>
          </cell>
          <cell r="F1336" t="str">
            <v/>
          </cell>
          <cell r="G1336" t="str">
            <v/>
          </cell>
        </row>
        <row r="1337">
          <cell r="A1337" t="str">
            <v/>
          </cell>
          <cell r="B1337" t="str">
            <v/>
          </cell>
          <cell r="C1337" t="str">
            <v/>
          </cell>
          <cell r="D1337" t="str">
            <v/>
          </cell>
          <cell r="E1337" t="str">
            <v/>
          </cell>
          <cell r="F1337" t="str">
            <v/>
          </cell>
          <cell r="G1337" t="str">
            <v/>
          </cell>
        </row>
        <row r="1338">
          <cell r="A1338" t="str">
            <v/>
          </cell>
          <cell r="B1338" t="str">
            <v/>
          </cell>
          <cell r="C1338" t="str">
            <v/>
          </cell>
          <cell r="D1338" t="str">
            <v/>
          </cell>
          <cell r="E1338" t="str">
            <v/>
          </cell>
          <cell r="F1338" t="str">
            <v/>
          </cell>
          <cell r="G1338" t="str">
            <v/>
          </cell>
        </row>
        <row r="1339">
          <cell r="A1339" t="str">
            <v/>
          </cell>
          <cell r="B1339" t="str">
            <v/>
          </cell>
          <cell r="C1339" t="str">
            <v/>
          </cell>
          <cell r="D1339" t="str">
            <v/>
          </cell>
          <cell r="E1339" t="str">
            <v/>
          </cell>
          <cell r="F1339" t="str">
            <v/>
          </cell>
          <cell r="G1339" t="str">
            <v/>
          </cell>
        </row>
        <row r="1340">
          <cell r="A1340" t="str">
            <v/>
          </cell>
          <cell r="B1340" t="str">
            <v/>
          </cell>
          <cell r="C1340" t="str">
            <v/>
          </cell>
          <cell r="D1340" t="str">
            <v/>
          </cell>
          <cell r="E1340" t="str">
            <v/>
          </cell>
          <cell r="F1340" t="str">
            <v/>
          </cell>
          <cell r="G1340" t="str">
            <v/>
          </cell>
        </row>
        <row r="1341">
          <cell r="A1341" t="str">
            <v/>
          </cell>
          <cell r="B1341" t="str">
            <v/>
          </cell>
          <cell r="C1341" t="str">
            <v/>
          </cell>
          <cell r="D1341" t="str">
            <v/>
          </cell>
          <cell r="E1341" t="str">
            <v/>
          </cell>
          <cell r="F1341" t="str">
            <v/>
          </cell>
          <cell r="G1341" t="str">
            <v/>
          </cell>
        </row>
        <row r="1342">
          <cell r="A1342" t="str">
            <v/>
          </cell>
          <cell r="B1342" t="str">
            <v/>
          </cell>
          <cell r="C1342" t="str">
            <v/>
          </cell>
          <cell r="D1342" t="str">
            <v/>
          </cell>
          <cell r="E1342" t="str">
            <v/>
          </cell>
          <cell r="F1342" t="str">
            <v/>
          </cell>
          <cell r="G1342" t="str">
            <v/>
          </cell>
        </row>
        <row r="1343">
          <cell r="A1343" t="str">
            <v/>
          </cell>
          <cell r="B1343" t="str">
            <v/>
          </cell>
          <cell r="C1343" t="str">
            <v/>
          </cell>
          <cell r="D1343" t="str">
            <v/>
          </cell>
          <cell r="E1343" t="str">
            <v/>
          </cell>
          <cell r="F1343" t="str">
            <v/>
          </cell>
          <cell r="G1343" t="str">
            <v/>
          </cell>
        </row>
        <row r="1344">
          <cell r="A1344" t="str">
            <v/>
          </cell>
          <cell r="B1344" t="str">
            <v/>
          </cell>
          <cell r="C1344" t="str">
            <v/>
          </cell>
          <cell r="D1344" t="str">
            <v/>
          </cell>
          <cell r="E1344" t="str">
            <v/>
          </cell>
          <cell r="F1344" t="str">
            <v/>
          </cell>
          <cell r="G1344" t="str">
            <v/>
          </cell>
        </row>
        <row r="1345">
          <cell r="A1345" t="str">
            <v/>
          </cell>
          <cell r="B1345" t="str">
            <v/>
          </cell>
          <cell r="C1345" t="str">
            <v/>
          </cell>
          <cell r="D1345" t="str">
            <v/>
          </cell>
          <cell r="E1345" t="str">
            <v/>
          </cell>
          <cell r="F1345" t="str">
            <v/>
          </cell>
          <cell r="G1345" t="str">
            <v/>
          </cell>
        </row>
        <row r="1346">
          <cell r="A1346" t="str">
            <v/>
          </cell>
          <cell r="B1346" t="str">
            <v/>
          </cell>
          <cell r="C1346" t="str">
            <v/>
          </cell>
          <cell r="D1346" t="str">
            <v/>
          </cell>
          <cell r="E1346" t="str">
            <v/>
          </cell>
          <cell r="F1346" t="str">
            <v/>
          </cell>
          <cell r="G1346" t="str">
            <v/>
          </cell>
        </row>
        <row r="1347">
          <cell r="A1347" t="str">
            <v/>
          </cell>
          <cell r="B1347" t="str">
            <v/>
          </cell>
          <cell r="C1347" t="str">
            <v/>
          </cell>
          <cell r="D1347" t="str">
            <v/>
          </cell>
          <cell r="E1347" t="str">
            <v/>
          </cell>
          <cell r="F1347" t="str">
            <v/>
          </cell>
          <cell r="G1347" t="str">
            <v/>
          </cell>
        </row>
        <row r="1348">
          <cell r="A1348" t="str">
            <v/>
          </cell>
          <cell r="B1348" t="str">
            <v/>
          </cell>
          <cell r="C1348" t="str">
            <v/>
          </cell>
          <cell r="D1348" t="str">
            <v/>
          </cell>
          <cell r="E1348" t="str">
            <v/>
          </cell>
          <cell r="F1348" t="str">
            <v/>
          </cell>
          <cell r="G1348" t="str">
            <v/>
          </cell>
        </row>
        <row r="1349">
          <cell r="A1349" t="str">
            <v/>
          </cell>
          <cell r="B1349" t="str">
            <v/>
          </cell>
          <cell r="C1349" t="str">
            <v/>
          </cell>
          <cell r="D1349" t="str">
            <v/>
          </cell>
          <cell r="E1349" t="str">
            <v/>
          </cell>
          <cell r="F1349" t="str">
            <v/>
          </cell>
          <cell r="G1349" t="str">
            <v/>
          </cell>
        </row>
        <row r="1350">
          <cell r="A1350" t="str">
            <v/>
          </cell>
          <cell r="B1350" t="str">
            <v/>
          </cell>
          <cell r="C1350" t="str">
            <v/>
          </cell>
          <cell r="D1350" t="str">
            <v/>
          </cell>
          <cell r="E1350" t="str">
            <v/>
          </cell>
          <cell r="F1350" t="str">
            <v/>
          </cell>
          <cell r="G1350" t="str">
            <v/>
          </cell>
        </row>
        <row r="1351">
          <cell r="A1351" t="str">
            <v/>
          </cell>
          <cell r="B1351" t="str">
            <v/>
          </cell>
          <cell r="C1351" t="str">
            <v/>
          </cell>
          <cell r="D1351" t="str">
            <v/>
          </cell>
          <cell r="E1351" t="str">
            <v/>
          </cell>
          <cell r="F1351" t="str">
            <v/>
          </cell>
          <cell r="G1351" t="str">
            <v/>
          </cell>
        </row>
        <row r="1352">
          <cell r="A1352" t="str">
            <v/>
          </cell>
          <cell r="B1352" t="str">
            <v/>
          </cell>
          <cell r="C1352" t="str">
            <v/>
          </cell>
          <cell r="D1352" t="str">
            <v/>
          </cell>
          <cell r="E1352" t="str">
            <v/>
          </cell>
          <cell r="F1352" t="str">
            <v/>
          </cell>
          <cell r="G1352" t="str">
            <v/>
          </cell>
        </row>
        <row r="1353">
          <cell r="A1353" t="str">
            <v/>
          </cell>
          <cell r="B1353" t="str">
            <v/>
          </cell>
          <cell r="C1353" t="str">
            <v/>
          </cell>
          <cell r="D1353" t="str">
            <v/>
          </cell>
          <cell r="E1353" t="str">
            <v/>
          </cell>
          <cell r="F1353" t="str">
            <v/>
          </cell>
          <cell r="G1353" t="str">
            <v/>
          </cell>
        </row>
        <row r="1354">
          <cell r="A1354" t="str">
            <v/>
          </cell>
          <cell r="B1354" t="str">
            <v/>
          </cell>
          <cell r="C1354" t="str">
            <v/>
          </cell>
          <cell r="D1354" t="str">
            <v/>
          </cell>
          <cell r="E1354" t="str">
            <v/>
          </cell>
          <cell r="F1354" t="str">
            <v/>
          </cell>
          <cell r="G1354" t="str">
            <v/>
          </cell>
        </row>
        <row r="1355">
          <cell r="A1355" t="str">
            <v/>
          </cell>
          <cell r="B1355" t="str">
            <v/>
          </cell>
          <cell r="C1355" t="str">
            <v/>
          </cell>
          <cell r="D1355" t="str">
            <v/>
          </cell>
          <cell r="E1355" t="str">
            <v/>
          </cell>
          <cell r="F1355" t="str">
            <v/>
          </cell>
          <cell r="G1355" t="str">
            <v/>
          </cell>
        </row>
        <row r="1356">
          <cell r="A1356" t="str">
            <v/>
          </cell>
          <cell r="B1356" t="str">
            <v/>
          </cell>
          <cell r="C1356" t="str">
            <v/>
          </cell>
          <cell r="D1356" t="str">
            <v/>
          </cell>
          <cell r="E1356" t="str">
            <v/>
          </cell>
          <cell r="F1356" t="str">
            <v/>
          </cell>
          <cell r="G1356" t="str">
            <v/>
          </cell>
        </row>
        <row r="1357">
          <cell r="A1357" t="str">
            <v/>
          </cell>
          <cell r="B1357" t="str">
            <v/>
          </cell>
          <cell r="C1357" t="str">
            <v/>
          </cell>
          <cell r="D1357" t="str">
            <v/>
          </cell>
          <cell r="E1357" t="str">
            <v/>
          </cell>
          <cell r="F1357" t="str">
            <v/>
          </cell>
          <cell r="G1357" t="str">
            <v/>
          </cell>
        </row>
        <row r="1358">
          <cell r="A1358" t="str">
            <v/>
          </cell>
          <cell r="B1358" t="str">
            <v/>
          </cell>
          <cell r="C1358" t="str">
            <v/>
          </cell>
          <cell r="D1358" t="str">
            <v/>
          </cell>
          <cell r="E1358" t="str">
            <v/>
          </cell>
          <cell r="F1358" t="str">
            <v/>
          </cell>
          <cell r="G1358" t="str">
            <v/>
          </cell>
        </row>
        <row r="1359">
          <cell r="A1359" t="str">
            <v/>
          </cell>
          <cell r="B1359" t="str">
            <v/>
          </cell>
          <cell r="C1359" t="str">
            <v/>
          </cell>
          <cell r="D1359" t="str">
            <v/>
          </cell>
          <cell r="E1359" t="str">
            <v/>
          </cell>
          <cell r="F1359" t="str">
            <v/>
          </cell>
          <cell r="G1359" t="str">
            <v/>
          </cell>
        </row>
        <row r="1360">
          <cell r="A1360" t="str">
            <v/>
          </cell>
          <cell r="B1360" t="str">
            <v/>
          </cell>
          <cell r="C1360" t="str">
            <v/>
          </cell>
          <cell r="D1360" t="str">
            <v/>
          </cell>
          <cell r="E1360" t="str">
            <v/>
          </cell>
          <cell r="F1360" t="str">
            <v/>
          </cell>
          <cell r="G1360" t="str">
            <v/>
          </cell>
        </row>
        <row r="1361">
          <cell r="A1361" t="str">
            <v/>
          </cell>
          <cell r="B1361" t="str">
            <v/>
          </cell>
          <cell r="C1361" t="str">
            <v/>
          </cell>
          <cell r="D1361" t="str">
            <v/>
          </cell>
          <cell r="E1361" t="str">
            <v/>
          </cell>
          <cell r="F1361" t="str">
            <v/>
          </cell>
          <cell r="G1361" t="str">
            <v/>
          </cell>
        </row>
        <row r="1362">
          <cell r="A1362" t="str">
            <v/>
          </cell>
          <cell r="B1362" t="str">
            <v/>
          </cell>
          <cell r="C1362" t="str">
            <v/>
          </cell>
          <cell r="D1362" t="str">
            <v/>
          </cell>
          <cell r="E1362" t="str">
            <v/>
          </cell>
          <cell r="F1362" t="str">
            <v/>
          </cell>
          <cell r="G1362" t="str">
            <v/>
          </cell>
        </row>
        <row r="1363">
          <cell r="A1363" t="str">
            <v/>
          </cell>
          <cell r="B1363" t="str">
            <v/>
          </cell>
          <cell r="C1363" t="str">
            <v/>
          </cell>
          <cell r="D1363" t="str">
            <v/>
          </cell>
          <cell r="E1363" t="str">
            <v/>
          </cell>
          <cell r="F1363" t="str">
            <v/>
          </cell>
          <cell r="G1363" t="str">
            <v/>
          </cell>
        </row>
        <row r="1364">
          <cell r="A1364" t="str">
            <v/>
          </cell>
          <cell r="B1364" t="str">
            <v/>
          </cell>
          <cell r="C1364" t="str">
            <v/>
          </cell>
          <cell r="D1364" t="str">
            <v/>
          </cell>
          <cell r="E1364" t="str">
            <v/>
          </cell>
          <cell r="F1364" t="str">
            <v/>
          </cell>
          <cell r="G1364" t="str">
            <v/>
          </cell>
        </row>
        <row r="1365">
          <cell r="A1365" t="str">
            <v/>
          </cell>
          <cell r="B1365" t="str">
            <v/>
          </cell>
          <cell r="C1365" t="str">
            <v/>
          </cell>
          <cell r="D1365" t="str">
            <v/>
          </cell>
          <cell r="E1365" t="str">
            <v/>
          </cell>
          <cell r="F1365" t="str">
            <v/>
          </cell>
          <cell r="G1365" t="str">
            <v/>
          </cell>
        </row>
        <row r="1366">
          <cell r="A1366" t="str">
            <v/>
          </cell>
          <cell r="B1366" t="str">
            <v/>
          </cell>
          <cell r="C1366" t="str">
            <v/>
          </cell>
          <cell r="D1366" t="str">
            <v/>
          </cell>
          <cell r="E1366" t="str">
            <v/>
          </cell>
          <cell r="F1366" t="str">
            <v/>
          </cell>
          <cell r="G1366" t="str">
            <v/>
          </cell>
        </row>
        <row r="1367">
          <cell r="A1367" t="str">
            <v/>
          </cell>
          <cell r="B1367" t="str">
            <v/>
          </cell>
          <cell r="C1367" t="str">
            <v/>
          </cell>
          <cell r="D1367" t="str">
            <v/>
          </cell>
          <cell r="E1367" t="str">
            <v/>
          </cell>
          <cell r="F1367" t="str">
            <v/>
          </cell>
          <cell r="G1367" t="str">
            <v/>
          </cell>
        </row>
        <row r="1368">
          <cell r="A1368" t="str">
            <v/>
          </cell>
          <cell r="B1368" t="str">
            <v/>
          </cell>
          <cell r="C1368" t="str">
            <v/>
          </cell>
          <cell r="D1368" t="str">
            <v/>
          </cell>
          <cell r="E1368" t="str">
            <v/>
          </cell>
          <cell r="F1368" t="str">
            <v/>
          </cell>
          <cell r="G1368" t="str">
            <v/>
          </cell>
        </row>
        <row r="1369">
          <cell r="A1369" t="str">
            <v/>
          </cell>
          <cell r="B1369" t="str">
            <v/>
          </cell>
          <cell r="C1369" t="str">
            <v/>
          </cell>
          <cell r="D1369" t="str">
            <v/>
          </cell>
          <cell r="E1369" t="str">
            <v/>
          </cell>
          <cell r="F1369" t="str">
            <v/>
          </cell>
          <cell r="G1369" t="str">
            <v/>
          </cell>
        </row>
        <row r="1370">
          <cell r="A1370" t="str">
            <v/>
          </cell>
          <cell r="B1370" t="str">
            <v/>
          </cell>
          <cell r="C1370" t="str">
            <v/>
          </cell>
          <cell r="D1370" t="str">
            <v/>
          </cell>
          <cell r="E1370" t="str">
            <v/>
          </cell>
          <cell r="F1370" t="str">
            <v/>
          </cell>
          <cell r="G1370" t="str">
            <v/>
          </cell>
        </row>
        <row r="1371">
          <cell r="A1371" t="str">
            <v/>
          </cell>
          <cell r="B1371" t="str">
            <v/>
          </cell>
          <cell r="C1371" t="str">
            <v/>
          </cell>
          <cell r="D1371" t="str">
            <v/>
          </cell>
          <cell r="E1371" t="str">
            <v/>
          </cell>
          <cell r="F1371" t="str">
            <v/>
          </cell>
          <cell r="G1371" t="str">
            <v/>
          </cell>
        </row>
        <row r="1372">
          <cell r="A1372" t="str">
            <v/>
          </cell>
          <cell r="B1372" t="str">
            <v/>
          </cell>
          <cell r="C1372" t="str">
            <v/>
          </cell>
          <cell r="D1372" t="str">
            <v/>
          </cell>
          <cell r="E1372" t="str">
            <v/>
          </cell>
          <cell r="F1372" t="str">
            <v/>
          </cell>
          <cell r="G1372" t="str">
            <v/>
          </cell>
        </row>
        <row r="1373">
          <cell r="A1373" t="str">
            <v/>
          </cell>
          <cell r="B1373" t="str">
            <v/>
          </cell>
          <cell r="C1373" t="str">
            <v/>
          </cell>
          <cell r="D1373" t="str">
            <v/>
          </cell>
          <cell r="E1373" t="str">
            <v/>
          </cell>
          <cell r="F1373" t="str">
            <v/>
          </cell>
          <cell r="G1373" t="str">
            <v/>
          </cell>
        </row>
        <row r="1374">
          <cell r="A1374" t="str">
            <v/>
          </cell>
          <cell r="B1374" t="str">
            <v/>
          </cell>
          <cell r="C1374" t="str">
            <v/>
          </cell>
          <cell r="D1374" t="str">
            <v/>
          </cell>
          <cell r="E1374" t="str">
            <v/>
          </cell>
          <cell r="F1374" t="str">
            <v/>
          </cell>
          <cell r="G1374" t="str">
            <v/>
          </cell>
        </row>
        <row r="1375">
          <cell r="A1375" t="str">
            <v/>
          </cell>
          <cell r="B1375" t="str">
            <v/>
          </cell>
          <cell r="C1375" t="str">
            <v/>
          </cell>
          <cell r="D1375" t="str">
            <v/>
          </cell>
          <cell r="E1375" t="str">
            <v/>
          </cell>
          <cell r="F1375" t="str">
            <v/>
          </cell>
          <cell r="G1375" t="str">
            <v/>
          </cell>
        </row>
        <row r="1376">
          <cell r="A1376" t="str">
            <v/>
          </cell>
          <cell r="B1376" t="str">
            <v/>
          </cell>
          <cell r="C1376" t="str">
            <v/>
          </cell>
          <cell r="D1376" t="str">
            <v/>
          </cell>
          <cell r="E1376" t="str">
            <v/>
          </cell>
          <cell r="F1376" t="str">
            <v/>
          </cell>
          <cell r="G1376" t="str">
            <v/>
          </cell>
        </row>
        <row r="1377">
          <cell r="A1377" t="str">
            <v/>
          </cell>
          <cell r="B1377" t="str">
            <v/>
          </cell>
          <cell r="C1377" t="str">
            <v/>
          </cell>
          <cell r="D1377" t="str">
            <v/>
          </cell>
          <cell r="E1377" t="str">
            <v/>
          </cell>
          <cell r="F1377" t="str">
            <v/>
          </cell>
          <cell r="G1377" t="str">
            <v/>
          </cell>
        </row>
        <row r="1378">
          <cell r="A1378" t="str">
            <v/>
          </cell>
          <cell r="B1378" t="str">
            <v/>
          </cell>
          <cell r="C1378" t="str">
            <v/>
          </cell>
          <cell r="D1378" t="str">
            <v/>
          </cell>
          <cell r="E1378" t="str">
            <v/>
          </cell>
          <cell r="F1378" t="str">
            <v/>
          </cell>
          <cell r="G1378" t="str">
            <v/>
          </cell>
        </row>
        <row r="1379">
          <cell r="A1379" t="str">
            <v/>
          </cell>
          <cell r="B1379" t="str">
            <v/>
          </cell>
          <cell r="C1379" t="str">
            <v/>
          </cell>
          <cell r="D1379" t="str">
            <v/>
          </cell>
          <cell r="E1379" t="str">
            <v/>
          </cell>
          <cell r="F1379" t="str">
            <v/>
          </cell>
          <cell r="G1379" t="str">
            <v/>
          </cell>
        </row>
        <row r="1380">
          <cell r="A1380" t="str">
            <v/>
          </cell>
          <cell r="B1380" t="str">
            <v/>
          </cell>
          <cell r="C1380" t="str">
            <v/>
          </cell>
          <cell r="D1380" t="str">
            <v/>
          </cell>
          <cell r="E1380" t="str">
            <v/>
          </cell>
          <cell r="F1380" t="str">
            <v/>
          </cell>
          <cell r="G1380" t="str">
            <v/>
          </cell>
        </row>
        <row r="1381">
          <cell r="A1381" t="str">
            <v/>
          </cell>
          <cell r="B1381" t="str">
            <v/>
          </cell>
          <cell r="C1381" t="str">
            <v/>
          </cell>
          <cell r="D1381" t="str">
            <v/>
          </cell>
          <cell r="E1381" t="str">
            <v/>
          </cell>
          <cell r="F1381" t="str">
            <v/>
          </cell>
          <cell r="G1381" t="str">
            <v/>
          </cell>
        </row>
        <row r="1382">
          <cell r="A1382" t="str">
            <v/>
          </cell>
          <cell r="B1382" t="str">
            <v/>
          </cell>
          <cell r="C1382" t="str">
            <v/>
          </cell>
          <cell r="D1382" t="str">
            <v/>
          </cell>
          <cell r="E1382" t="str">
            <v/>
          </cell>
          <cell r="F1382" t="str">
            <v/>
          </cell>
          <cell r="G1382" t="str">
            <v/>
          </cell>
        </row>
        <row r="1383">
          <cell r="A1383" t="str">
            <v/>
          </cell>
          <cell r="B1383" t="str">
            <v/>
          </cell>
          <cell r="C1383" t="str">
            <v/>
          </cell>
          <cell r="D1383" t="str">
            <v/>
          </cell>
          <cell r="E1383" t="str">
            <v/>
          </cell>
          <cell r="F1383" t="str">
            <v/>
          </cell>
          <cell r="G1383" t="str">
            <v/>
          </cell>
        </row>
        <row r="1384">
          <cell r="A1384" t="str">
            <v/>
          </cell>
          <cell r="B1384" t="str">
            <v/>
          </cell>
          <cell r="C1384" t="str">
            <v/>
          </cell>
          <cell r="D1384" t="str">
            <v/>
          </cell>
          <cell r="E1384" t="str">
            <v/>
          </cell>
          <cell r="F1384" t="str">
            <v/>
          </cell>
          <cell r="G1384" t="str">
            <v/>
          </cell>
        </row>
        <row r="1385">
          <cell r="A1385" t="str">
            <v/>
          </cell>
          <cell r="B1385" t="str">
            <v/>
          </cell>
          <cell r="C1385" t="str">
            <v/>
          </cell>
          <cell r="D1385" t="str">
            <v/>
          </cell>
          <cell r="E1385" t="str">
            <v/>
          </cell>
          <cell r="F1385" t="str">
            <v/>
          </cell>
          <cell r="G1385" t="str">
            <v/>
          </cell>
        </row>
        <row r="1386">
          <cell r="A1386" t="str">
            <v/>
          </cell>
          <cell r="B1386" t="str">
            <v/>
          </cell>
          <cell r="C1386" t="str">
            <v/>
          </cell>
          <cell r="D1386" t="str">
            <v/>
          </cell>
          <cell r="E1386" t="str">
            <v/>
          </cell>
          <cell r="F1386" t="str">
            <v/>
          </cell>
          <cell r="G1386" t="str">
            <v/>
          </cell>
        </row>
        <row r="1387">
          <cell r="A1387" t="str">
            <v/>
          </cell>
          <cell r="B1387" t="str">
            <v/>
          </cell>
          <cell r="C1387" t="str">
            <v/>
          </cell>
          <cell r="D1387" t="str">
            <v/>
          </cell>
          <cell r="E1387" t="str">
            <v/>
          </cell>
          <cell r="F1387" t="str">
            <v/>
          </cell>
          <cell r="G1387" t="str">
            <v/>
          </cell>
        </row>
        <row r="1388">
          <cell r="A1388" t="str">
            <v/>
          </cell>
          <cell r="B1388" t="str">
            <v/>
          </cell>
          <cell r="C1388" t="str">
            <v/>
          </cell>
          <cell r="D1388" t="str">
            <v/>
          </cell>
          <cell r="E1388" t="str">
            <v/>
          </cell>
          <cell r="F1388" t="str">
            <v/>
          </cell>
          <cell r="G1388" t="str">
            <v/>
          </cell>
        </row>
        <row r="1389">
          <cell r="A1389" t="str">
            <v/>
          </cell>
          <cell r="B1389" t="str">
            <v/>
          </cell>
          <cell r="C1389" t="str">
            <v/>
          </cell>
          <cell r="D1389" t="str">
            <v/>
          </cell>
          <cell r="E1389" t="str">
            <v/>
          </cell>
          <cell r="F1389" t="str">
            <v/>
          </cell>
          <cell r="G1389" t="str">
            <v/>
          </cell>
        </row>
        <row r="1390">
          <cell r="A1390" t="str">
            <v/>
          </cell>
          <cell r="B1390" t="str">
            <v/>
          </cell>
          <cell r="C1390" t="str">
            <v/>
          </cell>
          <cell r="D1390" t="str">
            <v/>
          </cell>
          <cell r="E1390" t="str">
            <v/>
          </cell>
          <cell r="F1390" t="str">
            <v/>
          </cell>
          <cell r="G1390" t="str">
            <v/>
          </cell>
        </row>
        <row r="1391">
          <cell r="A1391" t="str">
            <v/>
          </cell>
          <cell r="B1391" t="str">
            <v/>
          </cell>
          <cell r="C1391" t="str">
            <v/>
          </cell>
          <cell r="D1391" t="str">
            <v/>
          </cell>
          <cell r="E1391" t="str">
            <v/>
          </cell>
          <cell r="F1391" t="str">
            <v/>
          </cell>
          <cell r="G1391" t="str">
            <v/>
          </cell>
        </row>
        <row r="1392">
          <cell r="A1392" t="str">
            <v/>
          </cell>
          <cell r="B1392" t="str">
            <v/>
          </cell>
          <cell r="C1392" t="str">
            <v/>
          </cell>
          <cell r="D1392" t="str">
            <v/>
          </cell>
          <cell r="E1392" t="str">
            <v/>
          </cell>
          <cell r="F1392" t="str">
            <v/>
          </cell>
          <cell r="G1392" t="str">
            <v/>
          </cell>
        </row>
        <row r="1393">
          <cell r="A1393" t="str">
            <v/>
          </cell>
          <cell r="B1393" t="str">
            <v/>
          </cell>
          <cell r="C1393" t="str">
            <v/>
          </cell>
          <cell r="D1393" t="str">
            <v/>
          </cell>
          <cell r="E1393" t="str">
            <v/>
          </cell>
          <cell r="F1393" t="str">
            <v/>
          </cell>
          <cell r="G1393" t="str">
            <v/>
          </cell>
        </row>
        <row r="1394">
          <cell r="A1394" t="str">
            <v/>
          </cell>
          <cell r="B1394" t="str">
            <v/>
          </cell>
          <cell r="C1394" t="str">
            <v/>
          </cell>
          <cell r="D1394" t="str">
            <v/>
          </cell>
          <cell r="E1394" t="str">
            <v/>
          </cell>
          <cell r="F1394" t="str">
            <v/>
          </cell>
          <cell r="G1394" t="str">
            <v/>
          </cell>
        </row>
        <row r="1395">
          <cell r="A1395" t="str">
            <v/>
          </cell>
          <cell r="B1395" t="str">
            <v/>
          </cell>
          <cell r="C1395" t="str">
            <v/>
          </cell>
          <cell r="D1395" t="str">
            <v/>
          </cell>
          <cell r="E1395" t="str">
            <v/>
          </cell>
          <cell r="F1395" t="str">
            <v/>
          </cell>
          <cell r="G1395" t="str">
            <v/>
          </cell>
        </row>
        <row r="1396">
          <cell r="A1396" t="str">
            <v/>
          </cell>
          <cell r="B1396" t="str">
            <v/>
          </cell>
          <cell r="C1396" t="str">
            <v/>
          </cell>
          <cell r="D1396" t="str">
            <v/>
          </cell>
          <cell r="E1396" t="str">
            <v/>
          </cell>
          <cell r="F1396" t="str">
            <v/>
          </cell>
          <cell r="G1396" t="str">
            <v/>
          </cell>
        </row>
        <row r="1397">
          <cell r="A1397" t="str">
            <v/>
          </cell>
          <cell r="B1397" t="str">
            <v/>
          </cell>
          <cell r="C1397" t="str">
            <v/>
          </cell>
          <cell r="D1397" t="str">
            <v/>
          </cell>
          <cell r="E1397" t="str">
            <v/>
          </cell>
          <cell r="F1397" t="str">
            <v/>
          </cell>
          <cell r="G1397" t="str">
            <v/>
          </cell>
        </row>
        <row r="1398">
          <cell r="A1398" t="str">
            <v/>
          </cell>
          <cell r="B1398" t="str">
            <v/>
          </cell>
          <cell r="C1398" t="str">
            <v/>
          </cell>
          <cell r="D1398" t="str">
            <v/>
          </cell>
          <cell r="E1398" t="str">
            <v/>
          </cell>
          <cell r="F1398" t="str">
            <v/>
          </cell>
          <cell r="G1398" t="str">
            <v/>
          </cell>
        </row>
        <row r="1399">
          <cell r="A1399" t="str">
            <v/>
          </cell>
          <cell r="B1399" t="str">
            <v/>
          </cell>
          <cell r="C1399" t="str">
            <v/>
          </cell>
          <cell r="D1399" t="str">
            <v/>
          </cell>
          <cell r="E1399" t="str">
            <v/>
          </cell>
          <cell r="F1399" t="str">
            <v/>
          </cell>
          <cell r="G1399" t="str">
            <v/>
          </cell>
        </row>
        <row r="1400">
          <cell r="A1400" t="str">
            <v/>
          </cell>
          <cell r="B1400" t="str">
            <v/>
          </cell>
          <cell r="C1400" t="str">
            <v/>
          </cell>
          <cell r="D1400" t="str">
            <v/>
          </cell>
          <cell r="E1400" t="str">
            <v/>
          </cell>
          <cell r="F1400" t="str">
            <v/>
          </cell>
          <cell r="G1400" t="str">
            <v/>
          </cell>
        </row>
        <row r="1401">
          <cell r="A1401" t="str">
            <v/>
          </cell>
          <cell r="B1401" t="str">
            <v/>
          </cell>
          <cell r="C1401" t="str">
            <v/>
          </cell>
          <cell r="D1401" t="str">
            <v/>
          </cell>
          <cell r="E1401" t="str">
            <v/>
          </cell>
          <cell r="F1401" t="str">
            <v/>
          </cell>
          <cell r="G1401" t="str">
            <v/>
          </cell>
        </row>
        <row r="1402">
          <cell r="A1402" t="str">
            <v/>
          </cell>
          <cell r="B1402" t="str">
            <v/>
          </cell>
          <cell r="C1402" t="str">
            <v/>
          </cell>
          <cell r="D1402" t="str">
            <v/>
          </cell>
          <cell r="E1402" t="str">
            <v/>
          </cell>
          <cell r="F1402" t="str">
            <v/>
          </cell>
          <cell r="G1402" t="str">
            <v/>
          </cell>
        </row>
        <row r="1403">
          <cell r="A1403" t="str">
            <v/>
          </cell>
          <cell r="B1403" t="str">
            <v/>
          </cell>
          <cell r="C1403" t="str">
            <v/>
          </cell>
          <cell r="D1403" t="str">
            <v/>
          </cell>
          <cell r="E1403" t="str">
            <v/>
          </cell>
          <cell r="F1403" t="str">
            <v/>
          </cell>
          <cell r="G1403" t="str">
            <v/>
          </cell>
        </row>
        <row r="1404">
          <cell r="A1404" t="str">
            <v/>
          </cell>
          <cell r="B1404" t="str">
            <v/>
          </cell>
          <cell r="C1404" t="str">
            <v/>
          </cell>
          <cell r="D1404" t="str">
            <v/>
          </cell>
          <cell r="E1404" t="str">
            <v/>
          </cell>
          <cell r="F1404" t="str">
            <v/>
          </cell>
          <cell r="G1404" t="str">
            <v/>
          </cell>
        </row>
        <row r="1405">
          <cell r="A1405" t="str">
            <v/>
          </cell>
          <cell r="B1405" t="str">
            <v/>
          </cell>
          <cell r="C1405" t="str">
            <v/>
          </cell>
          <cell r="D1405" t="str">
            <v/>
          </cell>
          <cell r="E1405" t="str">
            <v/>
          </cell>
          <cell r="F1405" t="str">
            <v/>
          </cell>
          <cell r="G1405" t="str">
            <v/>
          </cell>
        </row>
        <row r="1406">
          <cell r="A1406" t="str">
            <v/>
          </cell>
          <cell r="B1406" t="str">
            <v/>
          </cell>
          <cell r="C1406" t="str">
            <v/>
          </cell>
          <cell r="D1406" t="str">
            <v/>
          </cell>
          <cell r="E1406" t="str">
            <v/>
          </cell>
          <cell r="F1406" t="str">
            <v/>
          </cell>
          <cell r="G1406" t="str">
            <v/>
          </cell>
        </row>
        <row r="1407">
          <cell r="A1407" t="str">
            <v/>
          </cell>
          <cell r="B1407" t="str">
            <v/>
          </cell>
          <cell r="C1407" t="str">
            <v/>
          </cell>
          <cell r="D1407" t="str">
            <v/>
          </cell>
          <cell r="E1407" t="str">
            <v/>
          </cell>
          <cell r="F1407" t="str">
            <v/>
          </cell>
          <cell r="G1407" t="str">
            <v/>
          </cell>
        </row>
        <row r="1408">
          <cell r="A1408" t="str">
            <v/>
          </cell>
          <cell r="B1408" t="str">
            <v/>
          </cell>
          <cell r="C1408" t="str">
            <v/>
          </cell>
          <cell r="D1408" t="str">
            <v/>
          </cell>
          <cell r="E1408" t="str">
            <v/>
          </cell>
          <cell r="F1408" t="str">
            <v/>
          </cell>
          <cell r="G1408" t="str">
            <v/>
          </cell>
        </row>
        <row r="1409">
          <cell r="A1409" t="str">
            <v/>
          </cell>
          <cell r="B1409" t="str">
            <v/>
          </cell>
          <cell r="C1409" t="str">
            <v/>
          </cell>
          <cell r="D1409" t="str">
            <v/>
          </cell>
          <cell r="E1409" t="str">
            <v/>
          </cell>
          <cell r="F1409" t="str">
            <v/>
          </cell>
          <cell r="G1409" t="str">
            <v/>
          </cell>
        </row>
        <row r="1410">
          <cell r="A1410" t="str">
            <v/>
          </cell>
          <cell r="B1410" t="str">
            <v/>
          </cell>
          <cell r="C1410" t="str">
            <v/>
          </cell>
          <cell r="D1410" t="str">
            <v/>
          </cell>
          <cell r="E1410" t="str">
            <v/>
          </cell>
          <cell r="F1410" t="str">
            <v/>
          </cell>
          <cell r="G1410" t="str">
            <v/>
          </cell>
        </row>
        <row r="1411">
          <cell r="A1411" t="str">
            <v/>
          </cell>
          <cell r="B1411" t="str">
            <v/>
          </cell>
          <cell r="C1411" t="str">
            <v/>
          </cell>
          <cell r="D1411" t="str">
            <v/>
          </cell>
          <cell r="E1411" t="str">
            <v/>
          </cell>
          <cell r="F1411" t="str">
            <v/>
          </cell>
          <cell r="G1411" t="str">
            <v/>
          </cell>
        </row>
        <row r="1412">
          <cell r="A1412" t="str">
            <v/>
          </cell>
          <cell r="B1412" t="str">
            <v/>
          </cell>
          <cell r="C1412" t="str">
            <v/>
          </cell>
          <cell r="D1412" t="str">
            <v/>
          </cell>
          <cell r="E1412" t="str">
            <v/>
          </cell>
          <cell r="F1412" t="str">
            <v/>
          </cell>
          <cell r="G1412" t="str">
            <v/>
          </cell>
        </row>
        <row r="1413">
          <cell r="A1413" t="str">
            <v/>
          </cell>
          <cell r="B1413" t="str">
            <v/>
          </cell>
          <cell r="C1413" t="str">
            <v/>
          </cell>
          <cell r="D1413" t="str">
            <v/>
          </cell>
          <cell r="E1413" t="str">
            <v/>
          </cell>
          <cell r="F1413" t="str">
            <v/>
          </cell>
          <cell r="G1413" t="str">
            <v/>
          </cell>
        </row>
        <row r="1414">
          <cell r="A1414" t="str">
            <v/>
          </cell>
          <cell r="B1414" t="str">
            <v/>
          </cell>
          <cell r="C1414" t="str">
            <v/>
          </cell>
          <cell r="D1414" t="str">
            <v/>
          </cell>
          <cell r="E1414" t="str">
            <v/>
          </cell>
          <cell r="F1414" t="str">
            <v/>
          </cell>
          <cell r="G1414" t="str">
            <v/>
          </cell>
        </row>
        <row r="1415">
          <cell r="A1415" t="str">
            <v/>
          </cell>
          <cell r="B1415" t="str">
            <v/>
          </cell>
          <cell r="C1415" t="str">
            <v/>
          </cell>
          <cell r="D1415" t="str">
            <v/>
          </cell>
          <cell r="E1415" t="str">
            <v/>
          </cell>
          <cell r="F1415" t="str">
            <v/>
          </cell>
          <cell r="G1415" t="str">
            <v/>
          </cell>
        </row>
        <row r="1416">
          <cell r="A1416" t="str">
            <v/>
          </cell>
          <cell r="B1416" t="str">
            <v/>
          </cell>
          <cell r="C1416" t="str">
            <v/>
          </cell>
          <cell r="D1416" t="str">
            <v/>
          </cell>
          <cell r="E1416" t="str">
            <v/>
          </cell>
          <cell r="F1416" t="str">
            <v/>
          </cell>
          <cell r="G1416" t="str">
            <v/>
          </cell>
        </row>
        <row r="1417">
          <cell r="A1417" t="str">
            <v/>
          </cell>
          <cell r="B1417" t="str">
            <v/>
          </cell>
          <cell r="C1417" t="str">
            <v/>
          </cell>
          <cell r="D1417" t="str">
            <v/>
          </cell>
          <cell r="E1417" t="str">
            <v/>
          </cell>
          <cell r="F1417" t="str">
            <v/>
          </cell>
          <cell r="G1417" t="str">
            <v/>
          </cell>
        </row>
        <row r="1418">
          <cell r="A1418" t="str">
            <v/>
          </cell>
          <cell r="B1418" t="str">
            <v/>
          </cell>
          <cell r="C1418" t="str">
            <v/>
          </cell>
          <cell r="D1418" t="str">
            <v/>
          </cell>
          <cell r="E1418" t="str">
            <v/>
          </cell>
          <cell r="F1418" t="str">
            <v/>
          </cell>
          <cell r="G1418" t="str">
            <v/>
          </cell>
        </row>
        <row r="1419">
          <cell r="A1419" t="str">
            <v/>
          </cell>
          <cell r="B1419" t="str">
            <v/>
          </cell>
          <cell r="C1419" t="str">
            <v/>
          </cell>
          <cell r="D1419" t="str">
            <v/>
          </cell>
          <cell r="E1419" t="str">
            <v/>
          </cell>
          <cell r="F1419" t="str">
            <v/>
          </cell>
          <cell r="G1419" t="str">
            <v/>
          </cell>
        </row>
        <row r="1420">
          <cell r="A1420" t="str">
            <v/>
          </cell>
          <cell r="B1420" t="str">
            <v/>
          </cell>
          <cell r="C1420" t="str">
            <v/>
          </cell>
          <cell r="D1420" t="str">
            <v/>
          </cell>
          <cell r="E1420" t="str">
            <v/>
          </cell>
          <cell r="F1420" t="str">
            <v/>
          </cell>
          <cell r="G1420" t="str">
            <v/>
          </cell>
        </row>
        <row r="1421">
          <cell r="A1421" t="str">
            <v/>
          </cell>
          <cell r="B1421" t="str">
            <v/>
          </cell>
          <cell r="C1421" t="str">
            <v/>
          </cell>
          <cell r="D1421" t="str">
            <v/>
          </cell>
          <cell r="E1421" t="str">
            <v/>
          </cell>
          <cell r="F1421" t="str">
            <v/>
          </cell>
          <cell r="G1421" t="str">
            <v/>
          </cell>
        </row>
        <row r="1422">
          <cell r="A1422" t="str">
            <v/>
          </cell>
          <cell r="B1422" t="str">
            <v/>
          </cell>
          <cell r="C1422" t="str">
            <v/>
          </cell>
          <cell r="D1422" t="str">
            <v/>
          </cell>
          <cell r="E1422" t="str">
            <v/>
          </cell>
          <cell r="F1422" t="str">
            <v/>
          </cell>
          <cell r="G1422" t="str">
            <v/>
          </cell>
        </row>
        <row r="1423">
          <cell r="A1423" t="str">
            <v/>
          </cell>
          <cell r="B1423" t="str">
            <v/>
          </cell>
          <cell r="C1423" t="str">
            <v/>
          </cell>
          <cell r="D1423" t="str">
            <v/>
          </cell>
          <cell r="E1423" t="str">
            <v/>
          </cell>
          <cell r="F1423" t="str">
            <v/>
          </cell>
          <cell r="G1423" t="str">
            <v/>
          </cell>
        </row>
        <row r="1424">
          <cell r="A1424" t="str">
            <v/>
          </cell>
          <cell r="B1424" t="str">
            <v/>
          </cell>
          <cell r="C1424" t="str">
            <v/>
          </cell>
          <cell r="D1424" t="str">
            <v/>
          </cell>
          <cell r="E1424" t="str">
            <v/>
          </cell>
          <cell r="F1424" t="str">
            <v/>
          </cell>
          <cell r="G1424" t="str">
            <v/>
          </cell>
        </row>
        <row r="1425">
          <cell r="A1425" t="str">
            <v/>
          </cell>
          <cell r="B1425" t="str">
            <v/>
          </cell>
          <cell r="C1425" t="str">
            <v/>
          </cell>
          <cell r="D1425" t="str">
            <v/>
          </cell>
          <cell r="E1425" t="str">
            <v/>
          </cell>
          <cell r="F1425" t="str">
            <v/>
          </cell>
          <cell r="G1425" t="str">
            <v/>
          </cell>
        </row>
        <row r="1426">
          <cell r="A1426" t="str">
            <v/>
          </cell>
          <cell r="B1426" t="str">
            <v/>
          </cell>
          <cell r="C1426" t="str">
            <v/>
          </cell>
          <cell r="D1426" t="str">
            <v/>
          </cell>
          <cell r="E1426" t="str">
            <v/>
          </cell>
          <cell r="F1426" t="str">
            <v/>
          </cell>
          <cell r="G1426" t="str">
            <v/>
          </cell>
        </row>
        <row r="1427">
          <cell r="A1427" t="str">
            <v/>
          </cell>
          <cell r="B1427" t="str">
            <v/>
          </cell>
          <cell r="C1427" t="str">
            <v/>
          </cell>
          <cell r="D1427" t="str">
            <v/>
          </cell>
          <cell r="E1427" t="str">
            <v/>
          </cell>
          <cell r="F1427" t="str">
            <v/>
          </cell>
          <cell r="G1427" t="str">
            <v/>
          </cell>
        </row>
        <row r="1428">
          <cell r="A1428" t="str">
            <v/>
          </cell>
          <cell r="B1428" t="str">
            <v/>
          </cell>
          <cell r="C1428" t="str">
            <v/>
          </cell>
          <cell r="D1428" t="str">
            <v/>
          </cell>
          <cell r="E1428" t="str">
            <v/>
          </cell>
          <cell r="F1428" t="str">
            <v/>
          </cell>
          <cell r="G1428" t="str">
            <v/>
          </cell>
        </row>
        <row r="1429">
          <cell r="A1429" t="str">
            <v/>
          </cell>
          <cell r="B1429" t="str">
            <v/>
          </cell>
          <cell r="C1429" t="str">
            <v/>
          </cell>
          <cell r="D1429" t="str">
            <v/>
          </cell>
          <cell r="E1429" t="str">
            <v/>
          </cell>
          <cell r="F1429" t="str">
            <v/>
          </cell>
          <cell r="G1429" t="str">
            <v/>
          </cell>
        </row>
        <row r="1430">
          <cell r="A1430" t="str">
            <v/>
          </cell>
          <cell r="B1430" t="str">
            <v/>
          </cell>
          <cell r="C1430" t="str">
            <v/>
          </cell>
          <cell r="D1430" t="str">
            <v/>
          </cell>
          <cell r="E1430" t="str">
            <v/>
          </cell>
          <cell r="F1430" t="str">
            <v/>
          </cell>
          <cell r="G1430" t="str">
            <v/>
          </cell>
        </row>
        <row r="1431">
          <cell r="A1431" t="str">
            <v/>
          </cell>
          <cell r="B1431" t="str">
            <v/>
          </cell>
          <cell r="C1431" t="str">
            <v/>
          </cell>
          <cell r="D1431" t="str">
            <v/>
          </cell>
          <cell r="E1431" t="str">
            <v/>
          </cell>
          <cell r="F1431" t="str">
            <v/>
          </cell>
          <cell r="G1431" t="str">
            <v/>
          </cell>
        </row>
        <row r="1432">
          <cell r="A1432" t="str">
            <v/>
          </cell>
          <cell r="B1432" t="str">
            <v/>
          </cell>
          <cell r="C1432" t="str">
            <v/>
          </cell>
          <cell r="D1432" t="str">
            <v/>
          </cell>
          <cell r="E1432" t="str">
            <v/>
          </cell>
          <cell r="F1432" t="str">
            <v/>
          </cell>
          <cell r="G1432" t="str">
            <v/>
          </cell>
        </row>
        <row r="1433">
          <cell r="A1433" t="str">
            <v/>
          </cell>
          <cell r="B1433" t="str">
            <v/>
          </cell>
          <cell r="C1433" t="str">
            <v/>
          </cell>
          <cell r="D1433" t="str">
            <v/>
          </cell>
          <cell r="E1433" t="str">
            <v/>
          </cell>
          <cell r="F1433" t="str">
            <v/>
          </cell>
          <cell r="G1433" t="str">
            <v/>
          </cell>
        </row>
        <row r="1434">
          <cell r="A1434" t="str">
            <v/>
          </cell>
          <cell r="B1434" t="str">
            <v/>
          </cell>
          <cell r="C1434" t="str">
            <v/>
          </cell>
          <cell r="D1434" t="str">
            <v/>
          </cell>
          <cell r="E1434" t="str">
            <v/>
          </cell>
          <cell r="F1434" t="str">
            <v/>
          </cell>
          <cell r="G1434" t="str">
            <v/>
          </cell>
        </row>
        <row r="1435">
          <cell r="A1435" t="str">
            <v/>
          </cell>
          <cell r="B1435" t="str">
            <v/>
          </cell>
          <cell r="C1435" t="str">
            <v/>
          </cell>
          <cell r="D1435" t="str">
            <v/>
          </cell>
          <cell r="E1435" t="str">
            <v/>
          </cell>
          <cell r="F1435" t="str">
            <v/>
          </cell>
          <cell r="G1435" t="str">
            <v/>
          </cell>
        </row>
        <row r="1436">
          <cell r="A1436" t="str">
            <v/>
          </cell>
          <cell r="B1436" t="str">
            <v/>
          </cell>
          <cell r="C1436" t="str">
            <v/>
          </cell>
          <cell r="D1436" t="str">
            <v/>
          </cell>
          <cell r="E1436" t="str">
            <v/>
          </cell>
          <cell r="F1436" t="str">
            <v/>
          </cell>
          <cell r="G1436" t="str">
            <v/>
          </cell>
        </row>
        <row r="1437">
          <cell r="A1437" t="str">
            <v/>
          </cell>
          <cell r="B1437" t="str">
            <v/>
          </cell>
          <cell r="C1437" t="str">
            <v/>
          </cell>
          <cell r="D1437" t="str">
            <v/>
          </cell>
          <cell r="E1437" t="str">
            <v/>
          </cell>
          <cell r="F1437" t="str">
            <v/>
          </cell>
          <cell r="G1437" t="str">
            <v/>
          </cell>
        </row>
        <row r="1438">
          <cell r="A1438" t="str">
            <v/>
          </cell>
          <cell r="B1438" t="str">
            <v/>
          </cell>
          <cell r="C1438" t="str">
            <v/>
          </cell>
          <cell r="D1438" t="str">
            <v/>
          </cell>
          <cell r="E1438" t="str">
            <v/>
          </cell>
          <cell r="F1438" t="str">
            <v/>
          </cell>
          <cell r="G1438" t="str">
            <v/>
          </cell>
        </row>
        <row r="1439">
          <cell r="A1439" t="str">
            <v/>
          </cell>
          <cell r="B1439" t="str">
            <v/>
          </cell>
          <cell r="C1439" t="str">
            <v/>
          </cell>
          <cell r="D1439" t="str">
            <v/>
          </cell>
          <cell r="E1439" t="str">
            <v/>
          </cell>
          <cell r="F1439" t="str">
            <v/>
          </cell>
          <cell r="G1439" t="str">
            <v/>
          </cell>
        </row>
        <row r="1440">
          <cell r="A1440" t="str">
            <v/>
          </cell>
          <cell r="B1440" t="str">
            <v/>
          </cell>
          <cell r="C1440" t="str">
            <v/>
          </cell>
          <cell r="D1440" t="str">
            <v/>
          </cell>
          <cell r="E1440" t="str">
            <v/>
          </cell>
          <cell r="F1440" t="str">
            <v/>
          </cell>
          <cell r="G1440" t="str">
            <v/>
          </cell>
        </row>
        <row r="1441">
          <cell r="A1441" t="str">
            <v/>
          </cell>
          <cell r="B1441" t="str">
            <v/>
          </cell>
          <cell r="C1441" t="str">
            <v/>
          </cell>
          <cell r="D1441" t="str">
            <v/>
          </cell>
          <cell r="E1441" t="str">
            <v/>
          </cell>
          <cell r="F1441" t="str">
            <v/>
          </cell>
          <cell r="G1441" t="str">
            <v/>
          </cell>
        </row>
        <row r="1442">
          <cell r="A1442" t="str">
            <v/>
          </cell>
          <cell r="B1442" t="str">
            <v/>
          </cell>
          <cell r="C1442" t="str">
            <v/>
          </cell>
          <cell r="D1442" t="str">
            <v/>
          </cell>
          <cell r="E1442" t="str">
            <v/>
          </cell>
          <cell r="F1442" t="str">
            <v/>
          </cell>
          <cell r="G1442" t="str">
            <v/>
          </cell>
        </row>
        <row r="1443">
          <cell r="A1443" t="str">
            <v/>
          </cell>
          <cell r="B1443" t="str">
            <v/>
          </cell>
          <cell r="C1443" t="str">
            <v/>
          </cell>
          <cell r="D1443" t="str">
            <v/>
          </cell>
          <cell r="E1443" t="str">
            <v/>
          </cell>
          <cell r="F1443" t="str">
            <v/>
          </cell>
          <cell r="G1443" t="str">
            <v/>
          </cell>
        </row>
        <row r="1444">
          <cell r="A1444" t="str">
            <v/>
          </cell>
          <cell r="B1444" t="str">
            <v/>
          </cell>
          <cell r="C1444" t="str">
            <v/>
          </cell>
          <cell r="D1444" t="str">
            <v/>
          </cell>
          <cell r="E1444" t="str">
            <v/>
          </cell>
          <cell r="F1444" t="str">
            <v/>
          </cell>
          <cell r="G1444" t="str">
            <v/>
          </cell>
        </row>
        <row r="1445">
          <cell r="A1445" t="str">
            <v/>
          </cell>
          <cell r="B1445" t="str">
            <v/>
          </cell>
          <cell r="C1445" t="str">
            <v/>
          </cell>
          <cell r="D1445" t="str">
            <v/>
          </cell>
          <cell r="E1445" t="str">
            <v/>
          </cell>
          <cell r="F1445" t="str">
            <v/>
          </cell>
          <cell r="G1445" t="str">
            <v/>
          </cell>
        </row>
        <row r="1446">
          <cell r="A1446" t="str">
            <v/>
          </cell>
          <cell r="B1446" t="str">
            <v/>
          </cell>
          <cell r="C1446" t="str">
            <v/>
          </cell>
          <cell r="D1446" t="str">
            <v/>
          </cell>
          <cell r="E1446" t="str">
            <v/>
          </cell>
          <cell r="F1446" t="str">
            <v/>
          </cell>
          <cell r="G1446" t="str">
            <v/>
          </cell>
        </row>
        <row r="1447">
          <cell r="A1447" t="str">
            <v/>
          </cell>
          <cell r="B1447" t="str">
            <v/>
          </cell>
          <cell r="C1447" t="str">
            <v/>
          </cell>
          <cell r="D1447" t="str">
            <v/>
          </cell>
          <cell r="E1447" t="str">
            <v/>
          </cell>
          <cell r="F1447" t="str">
            <v/>
          </cell>
          <cell r="G1447" t="str">
            <v/>
          </cell>
        </row>
        <row r="1448">
          <cell r="A1448" t="str">
            <v/>
          </cell>
          <cell r="B1448" t="str">
            <v/>
          </cell>
          <cell r="C1448" t="str">
            <v/>
          </cell>
          <cell r="D1448" t="str">
            <v/>
          </cell>
          <cell r="E1448" t="str">
            <v/>
          </cell>
          <cell r="F1448" t="str">
            <v/>
          </cell>
          <cell r="G1448" t="str">
            <v/>
          </cell>
        </row>
        <row r="1449">
          <cell r="A1449" t="str">
            <v/>
          </cell>
          <cell r="B1449" t="str">
            <v/>
          </cell>
          <cell r="C1449" t="str">
            <v/>
          </cell>
          <cell r="D1449" t="str">
            <v/>
          </cell>
          <cell r="E1449" t="str">
            <v/>
          </cell>
          <cell r="F1449" t="str">
            <v/>
          </cell>
          <cell r="G1449" t="str">
            <v/>
          </cell>
        </row>
        <row r="1450">
          <cell r="A1450" t="str">
            <v/>
          </cell>
          <cell r="B1450" t="str">
            <v/>
          </cell>
          <cell r="C1450" t="str">
            <v/>
          </cell>
          <cell r="D1450" t="str">
            <v/>
          </cell>
          <cell r="E1450" t="str">
            <v/>
          </cell>
          <cell r="F1450" t="str">
            <v/>
          </cell>
          <cell r="G1450" t="str">
            <v/>
          </cell>
        </row>
        <row r="1451">
          <cell r="A1451" t="str">
            <v/>
          </cell>
          <cell r="B1451" t="str">
            <v/>
          </cell>
          <cell r="C1451" t="str">
            <v/>
          </cell>
          <cell r="D1451" t="str">
            <v/>
          </cell>
          <cell r="E1451" t="str">
            <v/>
          </cell>
          <cell r="F1451" t="str">
            <v/>
          </cell>
          <cell r="G1451" t="str">
            <v/>
          </cell>
        </row>
        <row r="1452">
          <cell r="A1452" t="str">
            <v/>
          </cell>
          <cell r="B1452" t="str">
            <v/>
          </cell>
          <cell r="C1452" t="str">
            <v/>
          </cell>
          <cell r="D1452" t="str">
            <v/>
          </cell>
          <cell r="E1452" t="str">
            <v/>
          </cell>
          <cell r="F1452" t="str">
            <v/>
          </cell>
          <cell r="G1452" t="str">
            <v/>
          </cell>
        </row>
        <row r="1453">
          <cell r="A1453" t="str">
            <v/>
          </cell>
          <cell r="B1453" t="str">
            <v/>
          </cell>
          <cell r="C1453" t="str">
            <v/>
          </cell>
          <cell r="D1453" t="str">
            <v/>
          </cell>
          <cell r="E1453" t="str">
            <v/>
          </cell>
          <cell r="F1453" t="str">
            <v/>
          </cell>
          <cell r="G1453" t="str">
            <v/>
          </cell>
        </row>
        <row r="1454">
          <cell r="A1454" t="str">
            <v/>
          </cell>
          <cell r="B1454" t="str">
            <v/>
          </cell>
          <cell r="C1454" t="str">
            <v/>
          </cell>
          <cell r="D1454" t="str">
            <v/>
          </cell>
          <cell r="E1454" t="str">
            <v/>
          </cell>
          <cell r="F1454" t="str">
            <v/>
          </cell>
          <cell r="G1454" t="str">
            <v/>
          </cell>
        </row>
        <row r="1455">
          <cell r="A1455" t="str">
            <v/>
          </cell>
          <cell r="B1455" t="str">
            <v/>
          </cell>
          <cell r="C1455" t="str">
            <v/>
          </cell>
          <cell r="D1455" t="str">
            <v/>
          </cell>
          <cell r="E1455" t="str">
            <v/>
          </cell>
          <cell r="F1455" t="str">
            <v/>
          </cell>
          <cell r="G1455" t="str">
            <v/>
          </cell>
        </row>
        <row r="1456">
          <cell r="A1456" t="str">
            <v/>
          </cell>
          <cell r="B1456" t="str">
            <v/>
          </cell>
          <cell r="C1456" t="str">
            <v/>
          </cell>
          <cell r="D1456" t="str">
            <v/>
          </cell>
          <cell r="E1456" t="str">
            <v/>
          </cell>
          <cell r="F1456" t="str">
            <v/>
          </cell>
          <cell r="G1456" t="str">
            <v/>
          </cell>
        </row>
        <row r="1457">
          <cell r="A1457" t="str">
            <v/>
          </cell>
          <cell r="B1457" t="str">
            <v/>
          </cell>
          <cell r="C1457" t="str">
            <v/>
          </cell>
          <cell r="D1457" t="str">
            <v/>
          </cell>
          <cell r="E1457" t="str">
            <v/>
          </cell>
          <cell r="F1457" t="str">
            <v/>
          </cell>
          <cell r="G1457" t="str">
            <v/>
          </cell>
        </row>
        <row r="1458">
          <cell r="A1458" t="str">
            <v/>
          </cell>
          <cell r="B1458" t="str">
            <v/>
          </cell>
          <cell r="C1458" t="str">
            <v/>
          </cell>
          <cell r="D1458" t="str">
            <v/>
          </cell>
          <cell r="E1458" t="str">
            <v/>
          </cell>
          <cell r="F1458" t="str">
            <v/>
          </cell>
          <cell r="G1458" t="str">
            <v/>
          </cell>
        </row>
        <row r="1459">
          <cell r="A1459" t="str">
            <v/>
          </cell>
          <cell r="B1459" t="str">
            <v/>
          </cell>
          <cell r="C1459" t="str">
            <v/>
          </cell>
          <cell r="D1459" t="str">
            <v/>
          </cell>
          <cell r="E1459" t="str">
            <v/>
          </cell>
          <cell r="F1459" t="str">
            <v/>
          </cell>
          <cell r="G1459" t="str">
            <v/>
          </cell>
        </row>
        <row r="1460">
          <cell r="A1460" t="str">
            <v/>
          </cell>
          <cell r="B1460" t="str">
            <v/>
          </cell>
          <cell r="C1460" t="str">
            <v/>
          </cell>
          <cell r="D1460" t="str">
            <v/>
          </cell>
          <cell r="E1460" t="str">
            <v/>
          </cell>
          <cell r="F1460" t="str">
            <v/>
          </cell>
          <cell r="G1460" t="str">
            <v/>
          </cell>
        </row>
        <row r="1461">
          <cell r="A1461" t="str">
            <v/>
          </cell>
          <cell r="B1461" t="str">
            <v/>
          </cell>
          <cell r="C1461" t="str">
            <v/>
          </cell>
          <cell r="D1461" t="str">
            <v/>
          </cell>
          <cell r="E1461" t="str">
            <v/>
          </cell>
          <cell r="F1461" t="str">
            <v/>
          </cell>
          <cell r="G1461" t="str">
            <v/>
          </cell>
        </row>
        <row r="1462">
          <cell r="A1462" t="str">
            <v/>
          </cell>
          <cell r="B1462" t="str">
            <v/>
          </cell>
          <cell r="C1462" t="str">
            <v/>
          </cell>
          <cell r="D1462" t="str">
            <v/>
          </cell>
          <cell r="E1462" t="str">
            <v/>
          </cell>
          <cell r="F1462" t="str">
            <v/>
          </cell>
          <cell r="G1462" t="str">
            <v/>
          </cell>
        </row>
        <row r="1463">
          <cell r="A1463" t="str">
            <v/>
          </cell>
          <cell r="B1463" t="str">
            <v/>
          </cell>
          <cell r="C1463" t="str">
            <v/>
          </cell>
          <cell r="D1463" t="str">
            <v/>
          </cell>
          <cell r="E1463" t="str">
            <v/>
          </cell>
          <cell r="F1463" t="str">
            <v/>
          </cell>
          <cell r="G1463" t="str">
            <v/>
          </cell>
        </row>
        <row r="1464">
          <cell r="A1464" t="str">
            <v/>
          </cell>
          <cell r="B1464" t="str">
            <v/>
          </cell>
          <cell r="C1464" t="str">
            <v/>
          </cell>
          <cell r="D1464" t="str">
            <v/>
          </cell>
          <cell r="E1464" t="str">
            <v/>
          </cell>
          <cell r="F1464" t="str">
            <v/>
          </cell>
          <cell r="G1464" t="str">
            <v/>
          </cell>
        </row>
        <row r="1465">
          <cell r="A1465" t="str">
            <v/>
          </cell>
          <cell r="B1465" t="str">
            <v/>
          </cell>
          <cell r="C1465" t="str">
            <v/>
          </cell>
          <cell r="D1465" t="str">
            <v/>
          </cell>
          <cell r="E1465" t="str">
            <v/>
          </cell>
          <cell r="F1465" t="str">
            <v/>
          </cell>
          <cell r="G1465" t="str">
            <v/>
          </cell>
        </row>
        <row r="1466">
          <cell r="A1466" t="str">
            <v/>
          </cell>
          <cell r="B1466" t="str">
            <v/>
          </cell>
          <cell r="C1466" t="str">
            <v/>
          </cell>
          <cell r="D1466" t="str">
            <v/>
          </cell>
          <cell r="E1466" t="str">
            <v/>
          </cell>
          <cell r="F1466" t="str">
            <v/>
          </cell>
          <cell r="G1466" t="str">
            <v/>
          </cell>
        </row>
        <row r="1467">
          <cell r="A1467" t="str">
            <v/>
          </cell>
          <cell r="B1467" t="str">
            <v/>
          </cell>
          <cell r="C1467" t="str">
            <v/>
          </cell>
          <cell r="D1467" t="str">
            <v/>
          </cell>
          <cell r="E1467" t="str">
            <v/>
          </cell>
          <cell r="F1467" t="str">
            <v/>
          </cell>
          <cell r="G1467" t="str">
            <v/>
          </cell>
        </row>
        <row r="1468">
          <cell r="A1468" t="str">
            <v/>
          </cell>
          <cell r="B1468" t="str">
            <v/>
          </cell>
          <cell r="C1468" t="str">
            <v/>
          </cell>
          <cell r="D1468" t="str">
            <v/>
          </cell>
          <cell r="E1468" t="str">
            <v/>
          </cell>
          <cell r="F1468" t="str">
            <v/>
          </cell>
          <cell r="G1468" t="str">
            <v/>
          </cell>
        </row>
        <row r="1469">
          <cell r="A1469" t="str">
            <v/>
          </cell>
          <cell r="B1469" t="str">
            <v/>
          </cell>
          <cell r="C1469" t="str">
            <v/>
          </cell>
          <cell r="D1469" t="str">
            <v/>
          </cell>
          <cell r="E1469" t="str">
            <v/>
          </cell>
          <cell r="F1469" t="str">
            <v/>
          </cell>
          <cell r="G1469" t="str">
            <v/>
          </cell>
        </row>
        <row r="1470">
          <cell r="A1470" t="str">
            <v/>
          </cell>
          <cell r="B1470" t="str">
            <v/>
          </cell>
          <cell r="C1470" t="str">
            <v/>
          </cell>
          <cell r="D1470" t="str">
            <v/>
          </cell>
          <cell r="E1470" t="str">
            <v/>
          </cell>
          <cell r="F1470" t="str">
            <v/>
          </cell>
          <cell r="G1470" t="str">
            <v/>
          </cell>
        </row>
        <row r="1471">
          <cell r="A1471" t="str">
            <v/>
          </cell>
          <cell r="B1471" t="str">
            <v/>
          </cell>
          <cell r="C1471" t="str">
            <v/>
          </cell>
          <cell r="D1471" t="str">
            <v/>
          </cell>
          <cell r="E1471" t="str">
            <v/>
          </cell>
          <cell r="F1471" t="str">
            <v/>
          </cell>
          <cell r="G1471" t="str">
            <v/>
          </cell>
        </row>
        <row r="1472">
          <cell r="A1472" t="str">
            <v/>
          </cell>
          <cell r="B1472" t="str">
            <v/>
          </cell>
          <cell r="C1472" t="str">
            <v/>
          </cell>
          <cell r="D1472" t="str">
            <v/>
          </cell>
          <cell r="E1472" t="str">
            <v/>
          </cell>
          <cell r="F1472" t="str">
            <v/>
          </cell>
          <cell r="G1472" t="str">
            <v/>
          </cell>
        </row>
        <row r="1473">
          <cell r="A1473" t="str">
            <v/>
          </cell>
          <cell r="B1473" t="str">
            <v/>
          </cell>
          <cell r="C1473" t="str">
            <v/>
          </cell>
          <cell r="D1473" t="str">
            <v/>
          </cell>
          <cell r="E1473" t="str">
            <v/>
          </cell>
          <cell r="F1473" t="str">
            <v/>
          </cell>
          <cell r="G1473" t="str">
            <v/>
          </cell>
        </row>
        <row r="1474">
          <cell r="A1474" t="str">
            <v/>
          </cell>
          <cell r="B1474" t="str">
            <v/>
          </cell>
          <cell r="C1474" t="str">
            <v/>
          </cell>
          <cell r="D1474" t="str">
            <v/>
          </cell>
          <cell r="E1474" t="str">
            <v/>
          </cell>
          <cell r="F1474" t="str">
            <v/>
          </cell>
          <cell r="G1474" t="str">
            <v/>
          </cell>
        </row>
        <row r="1475">
          <cell r="A1475" t="str">
            <v/>
          </cell>
          <cell r="B1475" t="str">
            <v/>
          </cell>
          <cell r="C1475" t="str">
            <v/>
          </cell>
          <cell r="D1475" t="str">
            <v/>
          </cell>
          <cell r="E1475" t="str">
            <v/>
          </cell>
          <cell r="F1475" t="str">
            <v/>
          </cell>
          <cell r="G1475" t="str">
            <v/>
          </cell>
        </row>
        <row r="1476">
          <cell r="A1476" t="str">
            <v/>
          </cell>
          <cell r="B1476" t="str">
            <v/>
          </cell>
          <cell r="C1476" t="str">
            <v/>
          </cell>
          <cell r="D1476" t="str">
            <v/>
          </cell>
          <cell r="E1476" t="str">
            <v/>
          </cell>
          <cell r="F1476" t="str">
            <v/>
          </cell>
          <cell r="G1476" t="str">
            <v/>
          </cell>
        </row>
        <row r="1477">
          <cell r="A1477" t="str">
            <v/>
          </cell>
          <cell r="B1477" t="str">
            <v/>
          </cell>
          <cell r="C1477" t="str">
            <v/>
          </cell>
          <cell r="D1477" t="str">
            <v/>
          </cell>
          <cell r="E1477" t="str">
            <v/>
          </cell>
          <cell r="F1477" t="str">
            <v/>
          </cell>
          <cell r="G1477" t="str">
            <v/>
          </cell>
        </row>
        <row r="1478">
          <cell r="A1478" t="str">
            <v/>
          </cell>
          <cell r="B1478" t="str">
            <v/>
          </cell>
          <cell r="C1478" t="str">
            <v/>
          </cell>
          <cell r="D1478" t="str">
            <v/>
          </cell>
          <cell r="E1478" t="str">
            <v/>
          </cell>
          <cell r="F1478" t="str">
            <v/>
          </cell>
          <cell r="G1478" t="str">
            <v/>
          </cell>
        </row>
        <row r="1479">
          <cell r="A1479" t="str">
            <v/>
          </cell>
          <cell r="B1479" t="str">
            <v/>
          </cell>
          <cell r="C1479" t="str">
            <v/>
          </cell>
          <cell r="D1479" t="str">
            <v/>
          </cell>
          <cell r="E1479" t="str">
            <v/>
          </cell>
          <cell r="F1479" t="str">
            <v/>
          </cell>
          <cell r="G1479" t="str">
            <v/>
          </cell>
        </row>
        <row r="1480">
          <cell r="A1480" t="str">
            <v/>
          </cell>
          <cell r="B1480" t="str">
            <v/>
          </cell>
          <cell r="C1480" t="str">
            <v/>
          </cell>
          <cell r="D1480" t="str">
            <v/>
          </cell>
          <cell r="E1480" t="str">
            <v/>
          </cell>
          <cell r="F1480" t="str">
            <v/>
          </cell>
          <cell r="G1480" t="str">
            <v/>
          </cell>
        </row>
        <row r="1481">
          <cell r="A1481" t="str">
            <v/>
          </cell>
          <cell r="B1481" t="str">
            <v/>
          </cell>
          <cell r="C1481" t="str">
            <v/>
          </cell>
          <cell r="D1481" t="str">
            <v/>
          </cell>
          <cell r="E1481" t="str">
            <v/>
          </cell>
          <cell r="F1481" t="str">
            <v/>
          </cell>
          <cell r="G1481" t="str">
            <v/>
          </cell>
        </row>
        <row r="1482">
          <cell r="A1482" t="str">
            <v/>
          </cell>
          <cell r="B1482" t="str">
            <v/>
          </cell>
          <cell r="C1482" t="str">
            <v/>
          </cell>
          <cell r="D1482" t="str">
            <v/>
          </cell>
          <cell r="E1482" t="str">
            <v/>
          </cell>
          <cell r="F1482" t="str">
            <v/>
          </cell>
          <cell r="G1482" t="str">
            <v/>
          </cell>
        </row>
        <row r="1483">
          <cell r="A1483" t="str">
            <v/>
          </cell>
          <cell r="B1483" t="str">
            <v/>
          </cell>
          <cell r="C1483" t="str">
            <v/>
          </cell>
          <cell r="D1483" t="str">
            <v/>
          </cell>
          <cell r="E1483" t="str">
            <v/>
          </cell>
          <cell r="F1483" t="str">
            <v/>
          </cell>
          <cell r="G1483" t="str">
            <v/>
          </cell>
        </row>
        <row r="1484">
          <cell r="A1484" t="str">
            <v/>
          </cell>
          <cell r="B1484" t="str">
            <v/>
          </cell>
          <cell r="C1484" t="str">
            <v/>
          </cell>
          <cell r="D1484" t="str">
            <v/>
          </cell>
          <cell r="E1484" t="str">
            <v/>
          </cell>
          <cell r="F1484" t="str">
            <v/>
          </cell>
          <cell r="G1484" t="str">
            <v/>
          </cell>
        </row>
        <row r="1485">
          <cell r="A1485" t="str">
            <v/>
          </cell>
          <cell r="B1485" t="str">
            <v/>
          </cell>
          <cell r="C1485" t="str">
            <v/>
          </cell>
          <cell r="D1485" t="str">
            <v/>
          </cell>
          <cell r="E1485" t="str">
            <v/>
          </cell>
          <cell r="F1485" t="str">
            <v/>
          </cell>
          <cell r="G1485" t="str">
            <v/>
          </cell>
        </row>
        <row r="1486">
          <cell r="A1486" t="str">
            <v/>
          </cell>
          <cell r="B1486" t="str">
            <v/>
          </cell>
          <cell r="C1486" t="str">
            <v/>
          </cell>
          <cell r="D1486" t="str">
            <v/>
          </cell>
          <cell r="E1486" t="str">
            <v/>
          </cell>
          <cell r="F1486" t="str">
            <v/>
          </cell>
          <cell r="G1486" t="str">
            <v/>
          </cell>
        </row>
        <row r="1487">
          <cell r="A1487" t="str">
            <v/>
          </cell>
          <cell r="B1487" t="str">
            <v/>
          </cell>
          <cell r="C1487" t="str">
            <v/>
          </cell>
          <cell r="D1487" t="str">
            <v/>
          </cell>
          <cell r="E1487" t="str">
            <v/>
          </cell>
          <cell r="F1487" t="str">
            <v/>
          </cell>
          <cell r="G1487" t="str">
            <v/>
          </cell>
        </row>
        <row r="1488">
          <cell r="A1488" t="str">
            <v/>
          </cell>
          <cell r="B1488" t="str">
            <v/>
          </cell>
          <cell r="C1488" t="str">
            <v/>
          </cell>
          <cell r="D1488" t="str">
            <v/>
          </cell>
          <cell r="E1488" t="str">
            <v/>
          </cell>
          <cell r="F1488" t="str">
            <v/>
          </cell>
          <cell r="G1488" t="str">
            <v/>
          </cell>
        </row>
        <row r="1489">
          <cell r="A1489" t="str">
            <v/>
          </cell>
          <cell r="B1489" t="str">
            <v/>
          </cell>
          <cell r="C1489" t="str">
            <v/>
          </cell>
          <cell r="D1489" t="str">
            <v/>
          </cell>
          <cell r="E1489" t="str">
            <v/>
          </cell>
          <cell r="F1489" t="str">
            <v/>
          </cell>
          <cell r="G1489" t="str">
            <v/>
          </cell>
        </row>
        <row r="1490">
          <cell r="A1490" t="str">
            <v/>
          </cell>
          <cell r="B1490" t="str">
            <v/>
          </cell>
          <cell r="C1490" t="str">
            <v/>
          </cell>
          <cell r="D1490" t="str">
            <v/>
          </cell>
          <cell r="E1490" t="str">
            <v/>
          </cell>
          <cell r="F1490" t="str">
            <v/>
          </cell>
          <cell r="G1490" t="str">
            <v/>
          </cell>
        </row>
        <row r="1491">
          <cell r="A1491" t="str">
            <v/>
          </cell>
          <cell r="B1491" t="str">
            <v/>
          </cell>
          <cell r="C1491" t="str">
            <v/>
          </cell>
          <cell r="D1491" t="str">
            <v/>
          </cell>
          <cell r="E1491" t="str">
            <v/>
          </cell>
          <cell r="F1491" t="str">
            <v/>
          </cell>
          <cell r="G1491" t="str">
            <v/>
          </cell>
        </row>
        <row r="1492">
          <cell r="A1492" t="str">
            <v/>
          </cell>
          <cell r="B1492" t="str">
            <v/>
          </cell>
          <cell r="C1492" t="str">
            <v/>
          </cell>
          <cell r="D1492" t="str">
            <v/>
          </cell>
          <cell r="E1492" t="str">
            <v/>
          </cell>
          <cell r="F1492" t="str">
            <v/>
          </cell>
          <cell r="G1492" t="str">
            <v/>
          </cell>
        </row>
        <row r="1493">
          <cell r="A1493" t="str">
            <v/>
          </cell>
          <cell r="B1493" t="str">
            <v/>
          </cell>
          <cell r="C1493" t="str">
            <v/>
          </cell>
          <cell r="D1493" t="str">
            <v/>
          </cell>
          <cell r="E1493" t="str">
            <v/>
          </cell>
          <cell r="F1493" t="str">
            <v/>
          </cell>
          <cell r="G1493" t="str">
            <v/>
          </cell>
        </row>
        <row r="1494">
          <cell r="A1494" t="str">
            <v/>
          </cell>
          <cell r="B1494" t="str">
            <v/>
          </cell>
          <cell r="C1494" t="str">
            <v/>
          </cell>
          <cell r="D1494" t="str">
            <v/>
          </cell>
          <cell r="E1494" t="str">
            <v/>
          </cell>
          <cell r="F1494" t="str">
            <v/>
          </cell>
          <cell r="G1494" t="str">
            <v/>
          </cell>
        </row>
        <row r="1495">
          <cell r="A1495" t="str">
            <v/>
          </cell>
          <cell r="B1495" t="str">
            <v/>
          </cell>
          <cell r="C1495" t="str">
            <v/>
          </cell>
          <cell r="D1495" t="str">
            <v/>
          </cell>
          <cell r="E1495" t="str">
            <v/>
          </cell>
          <cell r="F1495" t="str">
            <v/>
          </cell>
          <cell r="G1495" t="str">
            <v/>
          </cell>
        </row>
        <row r="1496">
          <cell r="A1496" t="str">
            <v/>
          </cell>
          <cell r="B1496" t="str">
            <v/>
          </cell>
          <cell r="C1496" t="str">
            <v/>
          </cell>
          <cell r="D1496" t="str">
            <v/>
          </cell>
          <cell r="E1496" t="str">
            <v/>
          </cell>
          <cell r="F1496" t="str">
            <v/>
          </cell>
          <cell r="G1496" t="str">
            <v/>
          </cell>
        </row>
        <row r="1497">
          <cell r="A1497" t="str">
            <v/>
          </cell>
          <cell r="B1497" t="str">
            <v/>
          </cell>
          <cell r="C1497" t="str">
            <v/>
          </cell>
          <cell r="D1497" t="str">
            <v/>
          </cell>
          <cell r="E1497" t="str">
            <v/>
          </cell>
          <cell r="F1497" t="str">
            <v/>
          </cell>
          <cell r="G1497" t="str">
            <v/>
          </cell>
        </row>
        <row r="1498">
          <cell r="A1498" t="str">
            <v/>
          </cell>
          <cell r="B1498" t="str">
            <v/>
          </cell>
          <cell r="C1498" t="str">
            <v/>
          </cell>
          <cell r="D1498" t="str">
            <v/>
          </cell>
          <cell r="E1498" t="str">
            <v/>
          </cell>
          <cell r="F1498" t="str">
            <v/>
          </cell>
          <cell r="G1498" t="str">
            <v/>
          </cell>
        </row>
        <row r="1499">
          <cell r="A1499" t="str">
            <v/>
          </cell>
          <cell r="B1499" t="str">
            <v/>
          </cell>
          <cell r="C1499" t="str">
            <v/>
          </cell>
          <cell r="D1499" t="str">
            <v/>
          </cell>
          <cell r="E1499" t="str">
            <v/>
          </cell>
          <cell r="F1499" t="str">
            <v/>
          </cell>
          <cell r="G1499" t="str">
            <v/>
          </cell>
        </row>
        <row r="1500">
          <cell r="A1500" t="str">
            <v/>
          </cell>
          <cell r="B1500" t="str">
            <v/>
          </cell>
          <cell r="C1500" t="str">
            <v/>
          </cell>
          <cell r="D1500" t="str">
            <v/>
          </cell>
          <cell r="E1500" t="str">
            <v/>
          </cell>
          <cell r="F1500" t="str">
            <v/>
          </cell>
          <cell r="G1500" t="str">
            <v/>
          </cell>
        </row>
        <row r="1501">
          <cell r="A1501" t="str">
            <v/>
          </cell>
          <cell r="B1501" t="str">
            <v/>
          </cell>
          <cell r="C1501" t="str">
            <v/>
          </cell>
          <cell r="D1501" t="str">
            <v/>
          </cell>
          <cell r="E1501" t="str">
            <v/>
          </cell>
          <cell r="F1501" t="str">
            <v/>
          </cell>
          <cell r="G1501" t="str">
            <v/>
          </cell>
        </row>
        <row r="1502">
          <cell r="A1502" t="str">
            <v/>
          </cell>
          <cell r="B1502" t="str">
            <v/>
          </cell>
          <cell r="C1502" t="str">
            <v/>
          </cell>
          <cell r="D1502" t="str">
            <v/>
          </cell>
          <cell r="E1502" t="str">
            <v/>
          </cell>
          <cell r="F1502" t="str">
            <v/>
          </cell>
          <cell r="G1502" t="str">
            <v/>
          </cell>
        </row>
        <row r="1503">
          <cell r="A1503" t="str">
            <v/>
          </cell>
          <cell r="B1503" t="str">
            <v/>
          </cell>
          <cell r="C1503" t="str">
            <v/>
          </cell>
          <cell r="D1503" t="str">
            <v/>
          </cell>
          <cell r="E1503" t="str">
            <v/>
          </cell>
          <cell r="F1503" t="str">
            <v/>
          </cell>
          <cell r="G1503" t="str">
            <v/>
          </cell>
        </row>
        <row r="1504">
          <cell r="A1504" t="str">
            <v/>
          </cell>
          <cell r="B1504" t="str">
            <v/>
          </cell>
          <cell r="C1504" t="str">
            <v/>
          </cell>
          <cell r="D1504" t="str">
            <v/>
          </cell>
          <cell r="E1504" t="str">
            <v/>
          </cell>
          <cell r="F1504" t="str">
            <v/>
          </cell>
          <cell r="G1504" t="str">
            <v/>
          </cell>
        </row>
        <row r="1505">
          <cell r="A1505" t="str">
            <v/>
          </cell>
          <cell r="B1505" t="str">
            <v/>
          </cell>
          <cell r="C1505" t="str">
            <v/>
          </cell>
          <cell r="D1505" t="str">
            <v/>
          </cell>
          <cell r="E1505" t="str">
            <v/>
          </cell>
          <cell r="F1505" t="str">
            <v/>
          </cell>
          <cell r="G1505" t="str">
            <v/>
          </cell>
        </row>
        <row r="1506">
          <cell r="A1506" t="str">
            <v/>
          </cell>
          <cell r="B1506" t="str">
            <v/>
          </cell>
          <cell r="C1506" t="str">
            <v/>
          </cell>
          <cell r="D1506" t="str">
            <v/>
          </cell>
          <cell r="E1506" t="str">
            <v/>
          </cell>
          <cell r="F1506" t="str">
            <v/>
          </cell>
          <cell r="G1506" t="str">
            <v/>
          </cell>
        </row>
        <row r="1507">
          <cell r="A1507" t="str">
            <v/>
          </cell>
          <cell r="B1507" t="str">
            <v/>
          </cell>
          <cell r="C1507" t="str">
            <v/>
          </cell>
          <cell r="D1507" t="str">
            <v/>
          </cell>
          <cell r="E1507" t="str">
            <v/>
          </cell>
          <cell r="F1507" t="str">
            <v/>
          </cell>
          <cell r="G1507" t="str">
            <v/>
          </cell>
        </row>
        <row r="1508">
          <cell r="A1508" t="str">
            <v/>
          </cell>
          <cell r="B1508" t="str">
            <v/>
          </cell>
          <cell r="C1508" t="str">
            <v/>
          </cell>
          <cell r="D1508" t="str">
            <v/>
          </cell>
          <cell r="E1508" t="str">
            <v/>
          </cell>
          <cell r="F1508" t="str">
            <v/>
          </cell>
          <cell r="G1508" t="str">
            <v/>
          </cell>
        </row>
        <row r="1509">
          <cell r="A1509" t="str">
            <v/>
          </cell>
          <cell r="B1509" t="str">
            <v/>
          </cell>
          <cell r="C1509" t="str">
            <v/>
          </cell>
          <cell r="D1509" t="str">
            <v/>
          </cell>
          <cell r="E1509" t="str">
            <v/>
          </cell>
          <cell r="F1509" t="str">
            <v/>
          </cell>
          <cell r="G1509" t="str">
            <v/>
          </cell>
        </row>
        <row r="1510">
          <cell r="A1510" t="str">
            <v/>
          </cell>
          <cell r="B1510" t="str">
            <v/>
          </cell>
          <cell r="C1510" t="str">
            <v/>
          </cell>
          <cell r="D1510" t="str">
            <v/>
          </cell>
          <cell r="E1510" t="str">
            <v/>
          </cell>
          <cell r="F1510" t="str">
            <v/>
          </cell>
          <cell r="G1510" t="str">
            <v/>
          </cell>
        </row>
        <row r="1511">
          <cell r="A1511" t="str">
            <v/>
          </cell>
          <cell r="B1511" t="str">
            <v/>
          </cell>
          <cell r="C1511" t="str">
            <v/>
          </cell>
          <cell r="D1511" t="str">
            <v/>
          </cell>
          <cell r="E1511" t="str">
            <v/>
          </cell>
          <cell r="F1511" t="str">
            <v/>
          </cell>
          <cell r="G1511" t="str">
            <v/>
          </cell>
        </row>
        <row r="1512">
          <cell r="A1512" t="str">
            <v/>
          </cell>
          <cell r="B1512" t="str">
            <v/>
          </cell>
          <cell r="C1512" t="str">
            <v/>
          </cell>
          <cell r="D1512" t="str">
            <v/>
          </cell>
          <cell r="E1512" t="str">
            <v/>
          </cell>
          <cell r="F1512" t="str">
            <v/>
          </cell>
          <cell r="G1512" t="str">
            <v/>
          </cell>
        </row>
        <row r="1513">
          <cell r="A1513" t="str">
            <v/>
          </cell>
          <cell r="B1513" t="str">
            <v/>
          </cell>
          <cell r="C1513" t="str">
            <v/>
          </cell>
          <cell r="D1513" t="str">
            <v/>
          </cell>
          <cell r="E1513" t="str">
            <v/>
          </cell>
          <cell r="F1513" t="str">
            <v/>
          </cell>
          <cell r="G1513" t="str">
            <v/>
          </cell>
        </row>
        <row r="1514">
          <cell r="A1514" t="str">
            <v/>
          </cell>
          <cell r="B1514" t="str">
            <v/>
          </cell>
          <cell r="C1514" t="str">
            <v/>
          </cell>
          <cell r="D1514" t="str">
            <v/>
          </cell>
          <cell r="E1514" t="str">
            <v/>
          </cell>
          <cell r="F1514" t="str">
            <v/>
          </cell>
          <cell r="G1514" t="str">
            <v/>
          </cell>
        </row>
        <row r="1515">
          <cell r="A1515" t="str">
            <v/>
          </cell>
          <cell r="B1515" t="str">
            <v/>
          </cell>
          <cell r="C1515" t="str">
            <v/>
          </cell>
          <cell r="D1515" t="str">
            <v/>
          </cell>
          <cell r="E1515" t="str">
            <v/>
          </cell>
          <cell r="F1515" t="str">
            <v/>
          </cell>
          <cell r="G1515" t="str">
            <v/>
          </cell>
        </row>
        <row r="1516">
          <cell r="A1516" t="str">
            <v/>
          </cell>
          <cell r="B1516" t="str">
            <v/>
          </cell>
          <cell r="C1516" t="str">
            <v/>
          </cell>
          <cell r="D1516" t="str">
            <v/>
          </cell>
          <cell r="E1516" t="str">
            <v/>
          </cell>
          <cell r="F1516" t="str">
            <v/>
          </cell>
          <cell r="G1516" t="str">
            <v/>
          </cell>
        </row>
        <row r="1517">
          <cell r="A1517" t="str">
            <v/>
          </cell>
          <cell r="B1517" t="str">
            <v/>
          </cell>
          <cell r="C1517" t="str">
            <v/>
          </cell>
          <cell r="D1517" t="str">
            <v/>
          </cell>
          <cell r="E1517" t="str">
            <v/>
          </cell>
          <cell r="F1517" t="str">
            <v/>
          </cell>
          <cell r="G1517" t="str">
            <v/>
          </cell>
        </row>
        <row r="1518">
          <cell r="A1518" t="str">
            <v/>
          </cell>
          <cell r="B1518" t="str">
            <v/>
          </cell>
          <cell r="C1518" t="str">
            <v/>
          </cell>
          <cell r="D1518" t="str">
            <v/>
          </cell>
          <cell r="E1518" t="str">
            <v/>
          </cell>
          <cell r="F1518" t="str">
            <v/>
          </cell>
          <cell r="G1518" t="str">
            <v/>
          </cell>
        </row>
        <row r="1519">
          <cell r="A1519" t="str">
            <v/>
          </cell>
          <cell r="B1519" t="str">
            <v/>
          </cell>
          <cell r="C1519" t="str">
            <v/>
          </cell>
          <cell r="D1519" t="str">
            <v/>
          </cell>
          <cell r="E1519" t="str">
            <v/>
          </cell>
          <cell r="F1519" t="str">
            <v/>
          </cell>
          <cell r="G1519" t="str">
            <v/>
          </cell>
        </row>
        <row r="1520">
          <cell r="A1520" t="str">
            <v/>
          </cell>
          <cell r="B1520" t="str">
            <v/>
          </cell>
          <cell r="C1520" t="str">
            <v/>
          </cell>
          <cell r="D1520" t="str">
            <v/>
          </cell>
          <cell r="E1520" t="str">
            <v/>
          </cell>
          <cell r="F1520" t="str">
            <v/>
          </cell>
          <cell r="G1520" t="str">
            <v/>
          </cell>
        </row>
        <row r="1521">
          <cell r="A1521" t="str">
            <v/>
          </cell>
          <cell r="B1521" t="str">
            <v/>
          </cell>
          <cell r="C1521" t="str">
            <v/>
          </cell>
          <cell r="D1521" t="str">
            <v/>
          </cell>
          <cell r="E1521" t="str">
            <v/>
          </cell>
          <cell r="F1521" t="str">
            <v/>
          </cell>
          <cell r="G1521" t="str">
            <v/>
          </cell>
        </row>
        <row r="1522">
          <cell r="A1522" t="str">
            <v/>
          </cell>
          <cell r="B1522" t="str">
            <v/>
          </cell>
          <cell r="C1522" t="str">
            <v/>
          </cell>
          <cell r="D1522" t="str">
            <v/>
          </cell>
          <cell r="E1522" t="str">
            <v/>
          </cell>
          <cell r="F1522" t="str">
            <v/>
          </cell>
          <cell r="G1522" t="str">
            <v/>
          </cell>
        </row>
        <row r="1523">
          <cell r="A1523" t="str">
            <v/>
          </cell>
          <cell r="B1523" t="str">
            <v/>
          </cell>
          <cell r="C1523" t="str">
            <v/>
          </cell>
          <cell r="D1523" t="str">
            <v/>
          </cell>
          <cell r="E1523" t="str">
            <v/>
          </cell>
          <cell r="F1523" t="str">
            <v/>
          </cell>
          <cell r="G1523" t="str">
            <v/>
          </cell>
        </row>
        <row r="1524">
          <cell r="A1524" t="str">
            <v/>
          </cell>
          <cell r="B1524" t="str">
            <v/>
          </cell>
          <cell r="C1524" t="str">
            <v/>
          </cell>
          <cell r="D1524" t="str">
            <v/>
          </cell>
          <cell r="E1524" t="str">
            <v/>
          </cell>
          <cell r="F1524" t="str">
            <v/>
          </cell>
          <cell r="G1524" t="str">
            <v/>
          </cell>
        </row>
        <row r="1525">
          <cell r="A1525" t="str">
            <v/>
          </cell>
          <cell r="B1525" t="str">
            <v/>
          </cell>
          <cell r="C1525" t="str">
            <v/>
          </cell>
          <cell r="D1525" t="str">
            <v/>
          </cell>
          <cell r="E1525" t="str">
            <v/>
          </cell>
          <cell r="F1525" t="str">
            <v/>
          </cell>
          <cell r="G1525" t="str">
            <v/>
          </cell>
        </row>
        <row r="1526">
          <cell r="A1526" t="str">
            <v/>
          </cell>
          <cell r="B1526" t="str">
            <v/>
          </cell>
          <cell r="C1526" t="str">
            <v/>
          </cell>
          <cell r="D1526" t="str">
            <v/>
          </cell>
          <cell r="E1526" t="str">
            <v/>
          </cell>
          <cell r="F1526" t="str">
            <v/>
          </cell>
          <cell r="G1526" t="str">
            <v/>
          </cell>
        </row>
        <row r="1527">
          <cell r="A1527" t="str">
            <v/>
          </cell>
          <cell r="B1527" t="str">
            <v/>
          </cell>
          <cell r="C1527" t="str">
            <v/>
          </cell>
          <cell r="D1527" t="str">
            <v/>
          </cell>
          <cell r="E1527" t="str">
            <v/>
          </cell>
          <cell r="F1527" t="str">
            <v/>
          </cell>
          <cell r="G1527" t="str">
            <v/>
          </cell>
        </row>
        <row r="1528">
          <cell r="A1528" t="str">
            <v/>
          </cell>
          <cell r="B1528" t="str">
            <v/>
          </cell>
          <cell r="C1528" t="str">
            <v/>
          </cell>
          <cell r="D1528" t="str">
            <v/>
          </cell>
          <cell r="E1528" t="str">
            <v/>
          </cell>
          <cell r="F1528" t="str">
            <v/>
          </cell>
          <cell r="G1528" t="str">
            <v/>
          </cell>
        </row>
        <row r="1529">
          <cell r="A1529" t="str">
            <v/>
          </cell>
          <cell r="B1529" t="str">
            <v/>
          </cell>
          <cell r="C1529" t="str">
            <v/>
          </cell>
          <cell r="D1529" t="str">
            <v/>
          </cell>
          <cell r="E1529" t="str">
            <v/>
          </cell>
          <cell r="F1529" t="str">
            <v/>
          </cell>
          <cell r="G1529" t="str">
            <v/>
          </cell>
        </row>
        <row r="1530">
          <cell r="A1530" t="str">
            <v/>
          </cell>
          <cell r="B1530" t="str">
            <v/>
          </cell>
          <cell r="C1530" t="str">
            <v/>
          </cell>
          <cell r="D1530" t="str">
            <v/>
          </cell>
          <cell r="E1530" t="str">
            <v/>
          </cell>
          <cell r="F1530" t="str">
            <v/>
          </cell>
          <cell r="G1530" t="str">
            <v/>
          </cell>
        </row>
        <row r="1531">
          <cell r="A1531" t="str">
            <v/>
          </cell>
          <cell r="B1531" t="str">
            <v/>
          </cell>
          <cell r="C1531" t="str">
            <v/>
          </cell>
          <cell r="D1531" t="str">
            <v/>
          </cell>
          <cell r="E1531" t="str">
            <v/>
          </cell>
          <cell r="F1531" t="str">
            <v/>
          </cell>
          <cell r="G1531" t="str">
            <v/>
          </cell>
        </row>
        <row r="1532">
          <cell r="A1532" t="str">
            <v/>
          </cell>
          <cell r="B1532" t="str">
            <v/>
          </cell>
          <cell r="C1532" t="str">
            <v/>
          </cell>
          <cell r="D1532" t="str">
            <v/>
          </cell>
          <cell r="E1532" t="str">
            <v/>
          </cell>
          <cell r="F1532" t="str">
            <v/>
          </cell>
          <cell r="G1532" t="str">
            <v/>
          </cell>
        </row>
        <row r="1533">
          <cell r="A1533" t="str">
            <v/>
          </cell>
          <cell r="B1533" t="str">
            <v/>
          </cell>
          <cell r="C1533" t="str">
            <v/>
          </cell>
          <cell r="D1533" t="str">
            <v/>
          </cell>
          <cell r="E1533" t="str">
            <v/>
          </cell>
          <cell r="F1533" t="str">
            <v/>
          </cell>
          <cell r="G1533" t="str">
            <v/>
          </cell>
        </row>
        <row r="1534">
          <cell r="A1534" t="str">
            <v/>
          </cell>
          <cell r="B1534" t="str">
            <v/>
          </cell>
          <cell r="C1534" t="str">
            <v/>
          </cell>
          <cell r="D1534" t="str">
            <v/>
          </cell>
          <cell r="E1534" t="str">
            <v/>
          </cell>
          <cell r="F1534" t="str">
            <v/>
          </cell>
          <cell r="G1534" t="str">
            <v/>
          </cell>
        </row>
        <row r="1535">
          <cell r="A1535" t="str">
            <v/>
          </cell>
          <cell r="B1535" t="str">
            <v/>
          </cell>
          <cell r="C1535" t="str">
            <v/>
          </cell>
          <cell r="D1535" t="str">
            <v/>
          </cell>
          <cell r="E1535" t="str">
            <v/>
          </cell>
          <cell r="F1535" t="str">
            <v/>
          </cell>
          <cell r="G1535" t="str">
            <v/>
          </cell>
        </row>
        <row r="1536">
          <cell r="A1536" t="str">
            <v/>
          </cell>
          <cell r="B1536" t="str">
            <v/>
          </cell>
          <cell r="C1536" t="str">
            <v/>
          </cell>
          <cell r="D1536" t="str">
            <v/>
          </cell>
          <cell r="E1536" t="str">
            <v/>
          </cell>
          <cell r="F1536" t="str">
            <v/>
          </cell>
          <cell r="G1536" t="str">
            <v/>
          </cell>
        </row>
        <row r="1537">
          <cell r="A1537" t="str">
            <v/>
          </cell>
          <cell r="B1537" t="str">
            <v/>
          </cell>
          <cell r="C1537" t="str">
            <v/>
          </cell>
          <cell r="D1537" t="str">
            <v/>
          </cell>
          <cell r="E1537" t="str">
            <v/>
          </cell>
          <cell r="F1537" t="str">
            <v/>
          </cell>
          <cell r="G1537" t="str">
            <v/>
          </cell>
        </row>
        <row r="1538">
          <cell r="A1538" t="str">
            <v/>
          </cell>
          <cell r="B1538" t="str">
            <v/>
          </cell>
          <cell r="C1538" t="str">
            <v/>
          </cell>
          <cell r="D1538" t="str">
            <v/>
          </cell>
          <cell r="E1538" t="str">
            <v/>
          </cell>
          <cell r="F1538" t="str">
            <v/>
          </cell>
          <cell r="G1538" t="str">
            <v/>
          </cell>
        </row>
        <row r="1539">
          <cell r="A1539" t="str">
            <v/>
          </cell>
          <cell r="B1539" t="str">
            <v/>
          </cell>
          <cell r="C1539" t="str">
            <v/>
          </cell>
          <cell r="D1539" t="str">
            <v/>
          </cell>
          <cell r="E1539" t="str">
            <v/>
          </cell>
          <cell r="F1539" t="str">
            <v/>
          </cell>
          <cell r="G1539" t="str">
            <v/>
          </cell>
        </row>
        <row r="1540">
          <cell r="A1540" t="str">
            <v/>
          </cell>
          <cell r="B1540" t="str">
            <v/>
          </cell>
          <cell r="C1540" t="str">
            <v/>
          </cell>
          <cell r="D1540" t="str">
            <v/>
          </cell>
          <cell r="E1540" t="str">
            <v/>
          </cell>
          <cell r="F1540" t="str">
            <v/>
          </cell>
          <cell r="G1540" t="str">
            <v/>
          </cell>
        </row>
        <row r="1541">
          <cell r="A1541" t="str">
            <v/>
          </cell>
          <cell r="B1541" t="str">
            <v/>
          </cell>
          <cell r="C1541" t="str">
            <v/>
          </cell>
          <cell r="D1541" t="str">
            <v/>
          </cell>
          <cell r="E1541" t="str">
            <v/>
          </cell>
          <cell r="F1541" t="str">
            <v/>
          </cell>
          <cell r="G1541" t="str">
            <v/>
          </cell>
        </row>
        <row r="1542">
          <cell r="A1542" t="str">
            <v/>
          </cell>
          <cell r="B1542" t="str">
            <v/>
          </cell>
          <cell r="C1542" t="str">
            <v/>
          </cell>
          <cell r="D1542" t="str">
            <v/>
          </cell>
          <cell r="E1542" t="str">
            <v/>
          </cell>
          <cell r="F1542" t="str">
            <v/>
          </cell>
          <cell r="G1542" t="str">
            <v/>
          </cell>
        </row>
        <row r="1543">
          <cell r="A1543" t="str">
            <v/>
          </cell>
          <cell r="B1543" t="str">
            <v/>
          </cell>
          <cell r="C1543" t="str">
            <v/>
          </cell>
          <cell r="D1543" t="str">
            <v/>
          </cell>
          <cell r="E1543" t="str">
            <v/>
          </cell>
          <cell r="F1543" t="str">
            <v/>
          </cell>
          <cell r="G1543" t="str">
            <v/>
          </cell>
        </row>
        <row r="1544">
          <cell r="A1544" t="str">
            <v/>
          </cell>
          <cell r="B1544" t="str">
            <v/>
          </cell>
          <cell r="C1544" t="str">
            <v/>
          </cell>
          <cell r="D1544" t="str">
            <v/>
          </cell>
          <cell r="E1544" t="str">
            <v/>
          </cell>
          <cell r="F1544" t="str">
            <v/>
          </cell>
          <cell r="G1544" t="str">
            <v/>
          </cell>
        </row>
        <row r="1545">
          <cell r="A1545" t="str">
            <v/>
          </cell>
          <cell r="B1545" t="str">
            <v/>
          </cell>
          <cell r="C1545" t="str">
            <v/>
          </cell>
          <cell r="D1545" t="str">
            <v/>
          </cell>
          <cell r="E1545" t="str">
            <v/>
          </cell>
          <cell r="F1545" t="str">
            <v/>
          </cell>
          <cell r="G1545" t="str">
            <v/>
          </cell>
        </row>
        <row r="1546">
          <cell r="A1546" t="str">
            <v/>
          </cell>
          <cell r="B1546" t="str">
            <v/>
          </cell>
          <cell r="C1546" t="str">
            <v/>
          </cell>
          <cell r="D1546" t="str">
            <v/>
          </cell>
          <cell r="E1546" t="str">
            <v/>
          </cell>
          <cell r="F1546" t="str">
            <v/>
          </cell>
          <cell r="G1546" t="str">
            <v/>
          </cell>
        </row>
        <row r="1547">
          <cell r="A1547" t="str">
            <v/>
          </cell>
          <cell r="B1547" t="str">
            <v/>
          </cell>
          <cell r="C1547" t="str">
            <v/>
          </cell>
          <cell r="D1547" t="str">
            <v/>
          </cell>
          <cell r="E1547" t="str">
            <v/>
          </cell>
          <cell r="F1547" t="str">
            <v/>
          </cell>
          <cell r="G1547" t="str">
            <v/>
          </cell>
        </row>
        <row r="1548">
          <cell r="A1548" t="str">
            <v/>
          </cell>
          <cell r="B1548" t="str">
            <v/>
          </cell>
          <cell r="C1548" t="str">
            <v/>
          </cell>
          <cell r="D1548" t="str">
            <v/>
          </cell>
          <cell r="E1548" t="str">
            <v/>
          </cell>
          <cell r="F1548" t="str">
            <v/>
          </cell>
          <cell r="G1548" t="str">
            <v/>
          </cell>
        </row>
        <row r="1549">
          <cell r="A1549" t="str">
            <v/>
          </cell>
          <cell r="B1549" t="str">
            <v/>
          </cell>
          <cell r="C1549" t="str">
            <v/>
          </cell>
          <cell r="D1549" t="str">
            <v/>
          </cell>
          <cell r="E1549" t="str">
            <v/>
          </cell>
          <cell r="F1549" t="str">
            <v/>
          </cell>
          <cell r="G1549" t="str">
            <v/>
          </cell>
        </row>
        <row r="1550">
          <cell r="A1550" t="str">
            <v/>
          </cell>
          <cell r="B1550" t="str">
            <v/>
          </cell>
          <cell r="C1550" t="str">
            <v/>
          </cell>
          <cell r="D1550" t="str">
            <v/>
          </cell>
          <cell r="E1550" t="str">
            <v/>
          </cell>
          <cell r="F1550" t="str">
            <v/>
          </cell>
          <cell r="G1550" t="str">
            <v/>
          </cell>
        </row>
        <row r="1551">
          <cell r="A1551" t="str">
            <v/>
          </cell>
          <cell r="B1551" t="str">
            <v/>
          </cell>
          <cell r="C1551" t="str">
            <v/>
          </cell>
          <cell r="D1551" t="str">
            <v/>
          </cell>
          <cell r="E1551" t="str">
            <v/>
          </cell>
          <cell r="F1551" t="str">
            <v/>
          </cell>
          <cell r="G1551" t="str">
            <v/>
          </cell>
        </row>
        <row r="1552">
          <cell r="A1552" t="str">
            <v/>
          </cell>
          <cell r="B1552" t="str">
            <v/>
          </cell>
          <cell r="C1552" t="str">
            <v/>
          </cell>
          <cell r="D1552" t="str">
            <v/>
          </cell>
          <cell r="E1552" t="str">
            <v/>
          </cell>
          <cell r="F1552" t="str">
            <v/>
          </cell>
          <cell r="G1552" t="str">
            <v/>
          </cell>
        </row>
        <row r="1553">
          <cell r="A1553" t="str">
            <v/>
          </cell>
          <cell r="B1553" t="str">
            <v/>
          </cell>
          <cell r="C1553" t="str">
            <v/>
          </cell>
          <cell r="D1553" t="str">
            <v/>
          </cell>
          <cell r="E1553" t="str">
            <v/>
          </cell>
          <cell r="F1553" t="str">
            <v/>
          </cell>
          <cell r="G1553" t="str">
            <v/>
          </cell>
        </row>
        <row r="1554">
          <cell r="A1554" t="str">
            <v/>
          </cell>
          <cell r="B1554" t="str">
            <v/>
          </cell>
          <cell r="C1554" t="str">
            <v/>
          </cell>
          <cell r="D1554" t="str">
            <v/>
          </cell>
          <cell r="E1554" t="str">
            <v/>
          </cell>
          <cell r="F1554" t="str">
            <v/>
          </cell>
          <cell r="G1554" t="str">
            <v/>
          </cell>
        </row>
        <row r="1555">
          <cell r="A1555" t="str">
            <v/>
          </cell>
          <cell r="B1555" t="str">
            <v/>
          </cell>
          <cell r="C1555" t="str">
            <v/>
          </cell>
          <cell r="D1555" t="str">
            <v/>
          </cell>
          <cell r="E1555" t="str">
            <v/>
          </cell>
          <cell r="F1555" t="str">
            <v/>
          </cell>
          <cell r="G1555" t="str">
            <v/>
          </cell>
        </row>
        <row r="1556">
          <cell r="A1556" t="str">
            <v/>
          </cell>
          <cell r="B1556" t="str">
            <v/>
          </cell>
          <cell r="C1556" t="str">
            <v/>
          </cell>
          <cell r="D1556" t="str">
            <v/>
          </cell>
          <cell r="E1556" t="str">
            <v/>
          </cell>
          <cell r="F1556" t="str">
            <v/>
          </cell>
          <cell r="G1556" t="str">
            <v/>
          </cell>
        </row>
        <row r="1557">
          <cell r="A1557" t="str">
            <v/>
          </cell>
          <cell r="B1557" t="str">
            <v/>
          </cell>
          <cell r="C1557" t="str">
            <v/>
          </cell>
          <cell r="D1557" t="str">
            <v/>
          </cell>
          <cell r="E1557" t="str">
            <v/>
          </cell>
          <cell r="F1557" t="str">
            <v/>
          </cell>
          <cell r="G1557" t="str">
            <v/>
          </cell>
        </row>
        <row r="1558">
          <cell r="A1558" t="str">
            <v/>
          </cell>
          <cell r="B1558" t="str">
            <v/>
          </cell>
          <cell r="C1558" t="str">
            <v/>
          </cell>
          <cell r="D1558" t="str">
            <v/>
          </cell>
          <cell r="E1558" t="str">
            <v/>
          </cell>
          <cell r="F1558" t="str">
            <v/>
          </cell>
          <cell r="G1558" t="str">
            <v/>
          </cell>
        </row>
        <row r="1559">
          <cell r="A1559" t="str">
            <v/>
          </cell>
          <cell r="B1559" t="str">
            <v/>
          </cell>
          <cell r="C1559" t="str">
            <v/>
          </cell>
          <cell r="D1559" t="str">
            <v/>
          </cell>
          <cell r="E1559" t="str">
            <v/>
          </cell>
          <cell r="F1559" t="str">
            <v/>
          </cell>
          <cell r="G1559" t="str">
            <v/>
          </cell>
        </row>
        <row r="1560">
          <cell r="A1560" t="str">
            <v/>
          </cell>
          <cell r="B1560" t="str">
            <v/>
          </cell>
          <cell r="C1560" t="str">
            <v/>
          </cell>
          <cell r="D1560" t="str">
            <v/>
          </cell>
          <cell r="E1560" t="str">
            <v/>
          </cell>
          <cell r="F1560" t="str">
            <v/>
          </cell>
          <cell r="G1560" t="str">
            <v/>
          </cell>
        </row>
        <row r="1561">
          <cell r="A1561" t="str">
            <v/>
          </cell>
          <cell r="B1561" t="str">
            <v/>
          </cell>
          <cell r="C1561" t="str">
            <v/>
          </cell>
          <cell r="D1561" t="str">
            <v/>
          </cell>
          <cell r="E1561" t="str">
            <v/>
          </cell>
          <cell r="F1561" t="str">
            <v/>
          </cell>
          <cell r="G1561" t="str">
            <v/>
          </cell>
        </row>
        <row r="1562">
          <cell r="A1562" t="str">
            <v/>
          </cell>
          <cell r="B1562" t="str">
            <v/>
          </cell>
          <cell r="C1562" t="str">
            <v/>
          </cell>
          <cell r="D1562" t="str">
            <v/>
          </cell>
          <cell r="E1562" t="str">
            <v/>
          </cell>
          <cell r="F1562" t="str">
            <v/>
          </cell>
          <cell r="G1562" t="str">
            <v/>
          </cell>
        </row>
        <row r="1563">
          <cell r="A1563" t="str">
            <v/>
          </cell>
          <cell r="B1563" t="str">
            <v/>
          </cell>
          <cell r="C1563" t="str">
            <v/>
          </cell>
          <cell r="D1563" t="str">
            <v/>
          </cell>
          <cell r="E1563" t="str">
            <v/>
          </cell>
          <cell r="F1563" t="str">
            <v/>
          </cell>
          <cell r="G1563" t="str">
            <v/>
          </cell>
        </row>
        <row r="1564">
          <cell r="A1564" t="str">
            <v/>
          </cell>
          <cell r="B1564" t="str">
            <v/>
          </cell>
          <cell r="C1564" t="str">
            <v/>
          </cell>
          <cell r="D1564" t="str">
            <v/>
          </cell>
          <cell r="E1564" t="str">
            <v/>
          </cell>
          <cell r="F1564" t="str">
            <v/>
          </cell>
          <cell r="G1564" t="str">
            <v/>
          </cell>
        </row>
        <row r="1565">
          <cell r="A1565" t="str">
            <v/>
          </cell>
          <cell r="B1565" t="str">
            <v/>
          </cell>
          <cell r="C1565" t="str">
            <v/>
          </cell>
          <cell r="D1565" t="str">
            <v/>
          </cell>
          <cell r="E1565" t="str">
            <v/>
          </cell>
          <cell r="F1565" t="str">
            <v/>
          </cell>
          <cell r="G1565" t="str">
            <v/>
          </cell>
        </row>
        <row r="1566">
          <cell r="A1566" t="str">
            <v/>
          </cell>
          <cell r="B1566" t="str">
            <v/>
          </cell>
          <cell r="C1566" t="str">
            <v/>
          </cell>
          <cell r="D1566" t="str">
            <v/>
          </cell>
          <cell r="E1566" t="str">
            <v/>
          </cell>
          <cell r="F1566" t="str">
            <v/>
          </cell>
          <cell r="G1566" t="str">
            <v/>
          </cell>
        </row>
        <row r="1567">
          <cell r="A1567" t="str">
            <v/>
          </cell>
          <cell r="B1567" t="str">
            <v/>
          </cell>
          <cell r="C1567" t="str">
            <v/>
          </cell>
          <cell r="D1567" t="str">
            <v/>
          </cell>
          <cell r="E1567" t="str">
            <v/>
          </cell>
          <cell r="F1567" t="str">
            <v/>
          </cell>
          <cell r="G1567" t="str">
            <v/>
          </cell>
        </row>
        <row r="1568">
          <cell r="A1568" t="str">
            <v/>
          </cell>
          <cell r="B1568" t="str">
            <v/>
          </cell>
          <cell r="C1568" t="str">
            <v/>
          </cell>
          <cell r="D1568" t="str">
            <v/>
          </cell>
          <cell r="E1568" t="str">
            <v/>
          </cell>
          <cell r="F1568" t="str">
            <v/>
          </cell>
          <cell r="G1568" t="str">
            <v/>
          </cell>
        </row>
        <row r="1569">
          <cell r="A1569" t="str">
            <v/>
          </cell>
          <cell r="B1569" t="str">
            <v/>
          </cell>
          <cell r="C1569" t="str">
            <v/>
          </cell>
          <cell r="D1569" t="str">
            <v/>
          </cell>
          <cell r="E1569" t="str">
            <v/>
          </cell>
          <cell r="F1569" t="str">
            <v/>
          </cell>
          <cell r="G1569" t="str">
            <v/>
          </cell>
        </row>
        <row r="1570">
          <cell r="A1570" t="str">
            <v/>
          </cell>
          <cell r="B1570" t="str">
            <v/>
          </cell>
          <cell r="C1570" t="str">
            <v/>
          </cell>
          <cell r="D1570" t="str">
            <v/>
          </cell>
          <cell r="E1570" t="str">
            <v/>
          </cell>
          <cell r="F1570" t="str">
            <v/>
          </cell>
          <cell r="G1570" t="str">
            <v/>
          </cell>
        </row>
        <row r="1571">
          <cell r="A1571" t="str">
            <v/>
          </cell>
          <cell r="B1571" t="str">
            <v/>
          </cell>
          <cell r="C1571" t="str">
            <v/>
          </cell>
          <cell r="D1571" t="str">
            <v/>
          </cell>
          <cell r="E1571" t="str">
            <v/>
          </cell>
          <cell r="F1571" t="str">
            <v/>
          </cell>
          <cell r="G1571" t="str">
            <v/>
          </cell>
        </row>
        <row r="1572">
          <cell r="A1572" t="str">
            <v/>
          </cell>
          <cell r="B1572" t="str">
            <v/>
          </cell>
          <cell r="C1572" t="str">
            <v/>
          </cell>
          <cell r="D1572" t="str">
            <v/>
          </cell>
          <cell r="E1572" t="str">
            <v/>
          </cell>
          <cell r="F1572" t="str">
            <v/>
          </cell>
          <cell r="G1572" t="str">
            <v/>
          </cell>
        </row>
        <row r="1573">
          <cell r="A1573" t="str">
            <v/>
          </cell>
          <cell r="B1573" t="str">
            <v/>
          </cell>
          <cell r="C1573" t="str">
            <v/>
          </cell>
          <cell r="D1573" t="str">
            <v/>
          </cell>
          <cell r="E1573" t="str">
            <v/>
          </cell>
          <cell r="F1573" t="str">
            <v/>
          </cell>
          <cell r="G1573" t="str">
            <v/>
          </cell>
        </row>
        <row r="1574">
          <cell r="A1574" t="str">
            <v/>
          </cell>
          <cell r="B1574" t="str">
            <v/>
          </cell>
          <cell r="C1574" t="str">
            <v/>
          </cell>
          <cell r="D1574" t="str">
            <v/>
          </cell>
          <cell r="E1574" t="str">
            <v/>
          </cell>
          <cell r="F1574" t="str">
            <v/>
          </cell>
          <cell r="G1574" t="str">
            <v/>
          </cell>
        </row>
        <row r="1575">
          <cell r="A1575" t="str">
            <v/>
          </cell>
          <cell r="B1575" t="str">
            <v/>
          </cell>
          <cell r="C1575" t="str">
            <v/>
          </cell>
          <cell r="D1575" t="str">
            <v/>
          </cell>
          <cell r="E1575" t="str">
            <v/>
          </cell>
          <cell r="F1575" t="str">
            <v/>
          </cell>
          <cell r="G1575" t="str">
            <v/>
          </cell>
        </row>
        <row r="1576">
          <cell r="A1576" t="str">
            <v/>
          </cell>
          <cell r="B1576" t="str">
            <v/>
          </cell>
          <cell r="C1576" t="str">
            <v/>
          </cell>
          <cell r="D1576" t="str">
            <v/>
          </cell>
          <cell r="E1576" t="str">
            <v/>
          </cell>
          <cell r="F1576" t="str">
            <v/>
          </cell>
          <cell r="G1576" t="str">
            <v/>
          </cell>
        </row>
        <row r="1577">
          <cell r="A1577" t="str">
            <v/>
          </cell>
          <cell r="B1577" t="str">
            <v/>
          </cell>
          <cell r="C1577" t="str">
            <v/>
          </cell>
          <cell r="D1577" t="str">
            <v/>
          </cell>
          <cell r="E1577" t="str">
            <v/>
          </cell>
          <cell r="F1577" t="str">
            <v/>
          </cell>
          <cell r="G1577" t="str">
            <v/>
          </cell>
        </row>
        <row r="1578">
          <cell r="A1578" t="str">
            <v/>
          </cell>
          <cell r="B1578" t="str">
            <v/>
          </cell>
          <cell r="C1578" t="str">
            <v/>
          </cell>
          <cell r="D1578" t="str">
            <v/>
          </cell>
          <cell r="E1578" t="str">
            <v/>
          </cell>
          <cell r="F1578" t="str">
            <v/>
          </cell>
          <cell r="G1578" t="str">
            <v/>
          </cell>
        </row>
        <row r="1579">
          <cell r="A1579" t="str">
            <v/>
          </cell>
          <cell r="B1579" t="str">
            <v/>
          </cell>
          <cell r="C1579" t="str">
            <v/>
          </cell>
          <cell r="D1579" t="str">
            <v/>
          </cell>
          <cell r="E1579" t="str">
            <v/>
          </cell>
          <cell r="F1579" t="str">
            <v/>
          </cell>
          <cell r="G1579" t="str">
            <v/>
          </cell>
        </row>
        <row r="1580">
          <cell r="A1580" t="str">
            <v/>
          </cell>
          <cell r="B1580" t="str">
            <v/>
          </cell>
          <cell r="C1580" t="str">
            <v/>
          </cell>
          <cell r="D1580" t="str">
            <v/>
          </cell>
          <cell r="E1580" t="str">
            <v/>
          </cell>
          <cell r="F1580" t="str">
            <v/>
          </cell>
          <cell r="G1580" t="str">
            <v/>
          </cell>
        </row>
        <row r="1581">
          <cell r="A1581" t="str">
            <v/>
          </cell>
          <cell r="B1581" t="str">
            <v/>
          </cell>
          <cell r="C1581" t="str">
            <v/>
          </cell>
          <cell r="D1581" t="str">
            <v/>
          </cell>
          <cell r="E1581" t="str">
            <v/>
          </cell>
          <cell r="F1581" t="str">
            <v/>
          </cell>
          <cell r="G1581" t="str">
            <v/>
          </cell>
        </row>
        <row r="1582">
          <cell r="A1582" t="str">
            <v/>
          </cell>
          <cell r="B1582" t="str">
            <v/>
          </cell>
          <cell r="C1582" t="str">
            <v/>
          </cell>
          <cell r="D1582" t="str">
            <v/>
          </cell>
          <cell r="E1582" t="str">
            <v/>
          </cell>
          <cell r="F1582" t="str">
            <v/>
          </cell>
          <cell r="G1582" t="str">
            <v/>
          </cell>
        </row>
        <row r="1583">
          <cell r="A1583" t="str">
            <v/>
          </cell>
          <cell r="B1583" t="str">
            <v/>
          </cell>
          <cell r="C1583" t="str">
            <v/>
          </cell>
          <cell r="D1583" t="str">
            <v/>
          </cell>
          <cell r="E1583" t="str">
            <v/>
          </cell>
          <cell r="F1583" t="str">
            <v/>
          </cell>
          <cell r="G1583" t="str">
            <v/>
          </cell>
        </row>
        <row r="1584">
          <cell r="A1584" t="str">
            <v/>
          </cell>
          <cell r="B1584" t="str">
            <v/>
          </cell>
          <cell r="C1584" t="str">
            <v/>
          </cell>
          <cell r="D1584" t="str">
            <v/>
          </cell>
          <cell r="E1584" t="str">
            <v/>
          </cell>
          <cell r="F1584" t="str">
            <v/>
          </cell>
          <cell r="G1584" t="str">
            <v/>
          </cell>
        </row>
        <row r="1585">
          <cell r="A1585" t="str">
            <v/>
          </cell>
          <cell r="B1585" t="str">
            <v/>
          </cell>
          <cell r="C1585" t="str">
            <v/>
          </cell>
          <cell r="D1585" t="str">
            <v/>
          </cell>
          <cell r="E1585" t="str">
            <v/>
          </cell>
          <cell r="F1585" t="str">
            <v/>
          </cell>
          <cell r="G1585" t="str">
            <v/>
          </cell>
        </row>
        <row r="1586">
          <cell r="A1586" t="str">
            <v/>
          </cell>
          <cell r="B1586" t="str">
            <v/>
          </cell>
          <cell r="C1586" t="str">
            <v/>
          </cell>
          <cell r="D1586" t="str">
            <v/>
          </cell>
          <cell r="E1586" t="str">
            <v/>
          </cell>
          <cell r="F1586" t="str">
            <v/>
          </cell>
          <cell r="G1586" t="str">
            <v/>
          </cell>
        </row>
        <row r="1587">
          <cell r="A1587" t="str">
            <v/>
          </cell>
          <cell r="B1587" t="str">
            <v/>
          </cell>
          <cell r="C1587" t="str">
            <v/>
          </cell>
          <cell r="D1587" t="str">
            <v/>
          </cell>
          <cell r="E1587" t="str">
            <v/>
          </cell>
          <cell r="F1587" t="str">
            <v/>
          </cell>
          <cell r="G1587" t="str">
            <v/>
          </cell>
        </row>
        <row r="1588">
          <cell r="A1588" t="str">
            <v/>
          </cell>
          <cell r="B1588" t="str">
            <v/>
          </cell>
          <cell r="C1588" t="str">
            <v/>
          </cell>
          <cell r="D1588" t="str">
            <v/>
          </cell>
          <cell r="E1588" t="str">
            <v/>
          </cell>
          <cell r="F1588" t="str">
            <v/>
          </cell>
          <cell r="G1588" t="str">
            <v/>
          </cell>
        </row>
        <row r="1589">
          <cell r="A1589" t="str">
            <v/>
          </cell>
          <cell r="B1589" t="str">
            <v/>
          </cell>
          <cell r="C1589" t="str">
            <v/>
          </cell>
          <cell r="D1589" t="str">
            <v/>
          </cell>
          <cell r="E1589" t="str">
            <v/>
          </cell>
          <cell r="F1589" t="str">
            <v/>
          </cell>
          <cell r="G1589" t="str">
            <v/>
          </cell>
        </row>
        <row r="1590">
          <cell r="A1590" t="str">
            <v/>
          </cell>
          <cell r="B1590" t="str">
            <v/>
          </cell>
          <cell r="C1590" t="str">
            <v/>
          </cell>
          <cell r="D1590" t="str">
            <v/>
          </cell>
          <cell r="E1590" t="str">
            <v/>
          </cell>
          <cell r="F1590" t="str">
            <v/>
          </cell>
          <cell r="G1590" t="str">
            <v/>
          </cell>
        </row>
        <row r="1591">
          <cell r="A1591" t="str">
            <v/>
          </cell>
          <cell r="B1591" t="str">
            <v/>
          </cell>
          <cell r="C1591" t="str">
            <v/>
          </cell>
          <cell r="D1591" t="str">
            <v/>
          </cell>
          <cell r="E1591" t="str">
            <v/>
          </cell>
          <cell r="F1591" t="str">
            <v/>
          </cell>
          <cell r="G1591" t="str">
            <v/>
          </cell>
        </row>
        <row r="1592">
          <cell r="A1592" t="str">
            <v/>
          </cell>
          <cell r="B1592" t="str">
            <v/>
          </cell>
          <cell r="C1592" t="str">
            <v/>
          </cell>
          <cell r="D1592" t="str">
            <v/>
          </cell>
          <cell r="E1592" t="str">
            <v/>
          </cell>
          <cell r="F1592" t="str">
            <v/>
          </cell>
          <cell r="G1592" t="str">
            <v/>
          </cell>
        </row>
        <row r="1593">
          <cell r="A1593" t="str">
            <v/>
          </cell>
          <cell r="B1593" t="str">
            <v/>
          </cell>
          <cell r="C1593" t="str">
            <v/>
          </cell>
          <cell r="D1593" t="str">
            <v/>
          </cell>
          <cell r="E1593" t="str">
            <v/>
          </cell>
          <cell r="F1593" t="str">
            <v/>
          </cell>
          <cell r="G1593" t="str">
            <v/>
          </cell>
        </row>
        <row r="1594">
          <cell r="A1594" t="str">
            <v/>
          </cell>
          <cell r="B1594" t="str">
            <v/>
          </cell>
          <cell r="C1594" t="str">
            <v/>
          </cell>
          <cell r="D1594" t="str">
            <v/>
          </cell>
          <cell r="E1594" t="str">
            <v/>
          </cell>
          <cell r="F1594" t="str">
            <v/>
          </cell>
          <cell r="G1594" t="str">
            <v/>
          </cell>
        </row>
        <row r="1595">
          <cell r="A1595" t="str">
            <v/>
          </cell>
          <cell r="B1595" t="str">
            <v/>
          </cell>
          <cell r="C1595" t="str">
            <v/>
          </cell>
          <cell r="D1595" t="str">
            <v/>
          </cell>
          <cell r="E1595" t="str">
            <v/>
          </cell>
          <cell r="F1595" t="str">
            <v/>
          </cell>
          <cell r="G1595" t="str">
            <v/>
          </cell>
        </row>
        <row r="1596">
          <cell r="A1596" t="str">
            <v/>
          </cell>
          <cell r="B1596" t="str">
            <v/>
          </cell>
          <cell r="C1596" t="str">
            <v/>
          </cell>
          <cell r="D1596" t="str">
            <v/>
          </cell>
          <cell r="E1596" t="str">
            <v/>
          </cell>
          <cell r="F1596" t="str">
            <v/>
          </cell>
          <cell r="G1596" t="str">
            <v/>
          </cell>
        </row>
        <row r="1597">
          <cell r="A1597" t="str">
            <v/>
          </cell>
          <cell r="B1597" t="str">
            <v/>
          </cell>
          <cell r="C1597" t="str">
            <v/>
          </cell>
          <cell r="D1597" t="str">
            <v/>
          </cell>
          <cell r="E1597" t="str">
            <v/>
          </cell>
          <cell r="F1597" t="str">
            <v/>
          </cell>
          <cell r="G1597" t="str">
            <v/>
          </cell>
        </row>
        <row r="1598">
          <cell r="A1598" t="str">
            <v/>
          </cell>
          <cell r="B1598" t="str">
            <v/>
          </cell>
          <cell r="C1598" t="str">
            <v/>
          </cell>
          <cell r="D1598" t="str">
            <v/>
          </cell>
          <cell r="E1598" t="str">
            <v/>
          </cell>
          <cell r="F1598" t="str">
            <v/>
          </cell>
          <cell r="G1598" t="str">
            <v/>
          </cell>
        </row>
        <row r="1599">
          <cell r="A1599" t="str">
            <v/>
          </cell>
          <cell r="B1599" t="str">
            <v/>
          </cell>
          <cell r="C1599" t="str">
            <v/>
          </cell>
          <cell r="D1599" t="str">
            <v/>
          </cell>
          <cell r="E1599" t="str">
            <v/>
          </cell>
          <cell r="F1599" t="str">
            <v/>
          </cell>
          <cell r="G1599" t="str">
            <v/>
          </cell>
        </row>
        <row r="1600">
          <cell r="A1600" t="str">
            <v/>
          </cell>
          <cell r="B1600" t="str">
            <v/>
          </cell>
          <cell r="C1600" t="str">
            <v/>
          </cell>
          <cell r="D1600" t="str">
            <v/>
          </cell>
          <cell r="E1600" t="str">
            <v/>
          </cell>
          <cell r="F1600" t="str">
            <v/>
          </cell>
          <cell r="G1600" t="str">
            <v/>
          </cell>
        </row>
        <row r="1601">
          <cell r="A1601" t="str">
            <v/>
          </cell>
          <cell r="B1601" t="str">
            <v/>
          </cell>
          <cell r="C1601" t="str">
            <v/>
          </cell>
          <cell r="D1601" t="str">
            <v/>
          </cell>
          <cell r="E1601" t="str">
            <v/>
          </cell>
          <cell r="F1601" t="str">
            <v/>
          </cell>
          <cell r="G1601" t="str">
            <v/>
          </cell>
        </row>
        <row r="1602">
          <cell r="A1602" t="str">
            <v/>
          </cell>
          <cell r="B1602" t="str">
            <v/>
          </cell>
          <cell r="C1602" t="str">
            <v/>
          </cell>
          <cell r="D1602" t="str">
            <v/>
          </cell>
          <cell r="E1602" t="str">
            <v/>
          </cell>
          <cell r="F1602" t="str">
            <v/>
          </cell>
          <cell r="G1602" t="str">
            <v/>
          </cell>
        </row>
        <row r="1603">
          <cell r="A1603" t="str">
            <v/>
          </cell>
          <cell r="B1603" t="str">
            <v/>
          </cell>
          <cell r="C1603" t="str">
            <v/>
          </cell>
          <cell r="D1603" t="str">
            <v/>
          </cell>
          <cell r="E1603" t="str">
            <v/>
          </cell>
          <cell r="F1603" t="str">
            <v/>
          </cell>
          <cell r="G1603" t="str">
            <v/>
          </cell>
        </row>
        <row r="1604">
          <cell r="A1604" t="str">
            <v/>
          </cell>
          <cell r="B1604" t="str">
            <v/>
          </cell>
          <cell r="C1604" t="str">
            <v/>
          </cell>
          <cell r="D1604" t="str">
            <v/>
          </cell>
          <cell r="E1604" t="str">
            <v/>
          </cell>
          <cell r="F1604" t="str">
            <v/>
          </cell>
          <cell r="G1604" t="str">
            <v/>
          </cell>
        </row>
        <row r="1605">
          <cell r="A1605" t="str">
            <v/>
          </cell>
          <cell r="B1605" t="str">
            <v/>
          </cell>
          <cell r="C1605" t="str">
            <v/>
          </cell>
          <cell r="D1605" t="str">
            <v/>
          </cell>
          <cell r="E1605" t="str">
            <v/>
          </cell>
          <cell r="F1605" t="str">
            <v/>
          </cell>
          <cell r="G1605" t="str">
            <v/>
          </cell>
        </row>
        <row r="1606">
          <cell r="A1606" t="str">
            <v/>
          </cell>
          <cell r="B1606" t="str">
            <v/>
          </cell>
          <cell r="C1606" t="str">
            <v/>
          </cell>
          <cell r="D1606" t="str">
            <v/>
          </cell>
          <cell r="E1606" t="str">
            <v/>
          </cell>
          <cell r="F1606" t="str">
            <v/>
          </cell>
          <cell r="G1606" t="str">
            <v/>
          </cell>
        </row>
        <row r="1607">
          <cell r="A1607" t="str">
            <v/>
          </cell>
          <cell r="B1607" t="str">
            <v/>
          </cell>
          <cell r="C1607" t="str">
            <v/>
          </cell>
          <cell r="D1607" t="str">
            <v/>
          </cell>
          <cell r="E1607" t="str">
            <v/>
          </cell>
          <cell r="F1607" t="str">
            <v/>
          </cell>
          <cell r="G1607" t="str">
            <v/>
          </cell>
        </row>
        <row r="1608">
          <cell r="A1608" t="str">
            <v/>
          </cell>
          <cell r="B1608" t="str">
            <v/>
          </cell>
          <cell r="C1608" t="str">
            <v/>
          </cell>
          <cell r="D1608" t="str">
            <v/>
          </cell>
          <cell r="E1608" t="str">
            <v/>
          </cell>
          <cell r="F1608" t="str">
            <v/>
          </cell>
          <cell r="G1608" t="str">
            <v/>
          </cell>
        </row>
        <row r="1609">
          <cell r="A1609" t="str">
            <v/>
          </cell>
          <cell r="B1609" t="str">
            <v/>
          </cell>
          <cell r="C1609" t="str">
            <v/>
          </cell>
          <cell r="D1609" t="str">
            <v/>
          </cell>
          <cell r="E1609" t="str">
            <v/>
          </cell>
          <cell r="F1609" t="str">
            <v/>
          </cell>
          <cell r="G1609" t="str">
            <v/>
          </cell>
        </row>
        <row r="1610">
          <cell r="A1610" t="str">
            <v/>
          </cell>
          <cell r="B1610" t="str">
            <v/>
          </cell>
          <cell r="C1610" t="str">
            <v/>
          </cell>
          <cell r="D1610" t="str">
            <v/>
          </cell>
          <cell r="E1610" t="str">
            <v/>
          </cell>
          <cell r="F1610" t="str">
            <v/>
          </cell>
          <cell r="G1610" t="str">
            <v/>
          </cell>
        </row>
        <row r="1611">
          <cell r="A1611" t="str">
            <v/>
          </cell>
          <cell r="B1611" t="str">
            <v/>
          </cell>
          <cell r="C1611" t="str">
            <v/>
          </cell>
          <cell r="D1611" t="str">
            <v/>
          </cell>
          <cell r="E1611" t="str">
            <v/>
          </cell>
          <cell r="F1611" t="str">
            <v/>
          </cell>
          <cell r="G1611" t="str">
            <v/>
          </cell>
        </row>
        <row r="1612">
          <cell r="A1612" t="str">
            <v/>
          </cell>
          <cell r="B1612" t="str">
            <v/>
          </cell>
          <cell r="C1612" t="str">
            <v/>
          </cell>
          <cell r="D1612" t="str">
            <v/>
          </cell>
          <cell r="E1612" t="str">
            <v/>
          </cell>
          <cell r="F1612" t="str">
            <v/>
          </cell>
          <cell r="G1612" t="str">
            <v/>
          </cell>
        </row>
        <row r="1613">
          <cell r="A1613" t="str">
            <v/>
          </cell>
          <cell r="B1613" t="str">
            <v/>
          </cell>
          <cell r="C1613" t="str">
            <v/>
          </cell>
          <cell r="D1613" t="str">
            <v/>
          </cell>
          <cell r="E1613" t="str">
            <v/>
          </cell>
          <cell r="F1613" t="str">
            <v/>
          </cell>
          <cell r="G1613" t="str">
            <v/>
          </cell>
        </row>
        <row r="1614">
          <cell r="A1614" t="str">
            <v/>
          </cell>
          <cell r="B1614" t="str">
            <v/>
          </cell>
          <cell r="C1614" t="str">
            <v/>
          </cell>
          <cell r="D1614" t="str">
            <v/>
          </cell>
          <cell r="E1614" t="str">
            <v/>
          </cell>
          <cell r="F1614" t="str">
            <v/>
          </cell>
          <cell r="G1614" t="str">
            <v/>
          </cell>
        </row>
        <row r="1615">
          <cell r="A1615" t="str">
            <v/>
          </cell>
          <cell r="B1615" t="str">
            <v/>
          </cell>
          <cell r="C1615" t="str">
            <v/>
          </cell>
          <cell r="D1615" t="str">
            <v/>
          </cell>
          <cell r="E1615" t="str">
            <v/>
          </cell>
          <cell r="F1615" t="str">
            <v/>
          </cell>
          <cell r="G1615" t="str">
            <v/>
          </cell>
        </row>
        <row r="1616">
          <cell r="A1616" t="str">
            <v/>
          </cell>
          <cell r="B1616" t="str">
            <v/>
          </cell>
          <cell r="C1616" t="str">
            <v/>
          </cell>
          <cell r="D1616" t="str">
            <v/>
          </cell>
          <cell r="E1616" t="str">
            <v/>
          </cell>
          <cell r="F1616" t="str">
            <v/>
          </cell>
          <cell r="G1616" t="str">
            <v/>
          </cell>
        </row>
        <row r="1617">
          <cell r="A1617" t="str">
            <v/>
          </cell>
          <cell r="B1617" t="str">
            <v/>
          </cell>
          <cell r="C1617" t="str">
            <v/>
          </cell>
          <cell r="D1617" t="str">
            <v/>
          </cell>
          <cell r="E1617" t="str">
            <v/>
          </cell>
          <cell r="F1617" t="str">
            <v/>
          </cell>
          <cell r="G1617" t="str">
            <v/>
          </cell>
        </row>
        <row r="1618">
          <cell r="A1618" t="str">
            <v/>
          </cell>
          <cell r="B1618" t="str">
            <v/>
          </cell>
          <cell r="C1618" t="str">
            <v/>
          </cell>
          <cell r="D1618" t="str">
            <v/>
          </cell>
          <cell r="E1618" t="str">
            <v/>
          </cell>
          <cell r="F1618" t="str">
            <v/>
          </cell>
          <cell r="G1618" t="str">
            <v/>
          </cell>
        </row>
        <row r="1619">
          <cell r="A1619" t="str">
            <v/>
          </cell>
          <cell r="B1619" t="str">
            <v/>
          </cell>
          <cell r="C1619" t="str">
            <v/>
          </cell>
          <cell r="D1619" t="str">
            <v/>
          </cell>
          <cell r="E1619" t="str">
            <v/>
          </cell>
          <cell r="F1619" t="str">
            <v/>
          </cell>
          <cell r="G1619" t="str">
            <v/>
          </cell>
        </row>
        <row r="1620">
          <cell r="A1620" t="str">
            <v/>
          </cell>
          <cell r="B1620" t="str">
            <v/>
          </cell>
          <cell r="C1620" t="str">
            <v/>
          </cell>
          <cell r="D1620" t="str">
            <v/>
          </cell>
          <cell r="E1620" t="str">
            <v/>
          </cell>
          <cell r="F1620" t="str">
            <v/>
          </cell>
          <cell r="G1620" t="str">
            <v/>
          </cell>
        </row>
        <row r="1621">
          <cell r="A1621" t="str">
            <v/>
          </cell>
          <cell r="B1621" t="str">
            <v/>
          </cell>
          <cell r="C1621" t="str">
            <v/>
          </cell>
          <cell r="D1621" t="str">
            <v/>
          </cell>
          <cell r="E1621" t="str">
            <v/>
          </cell>
          <cell r="F1621" t="str">
            <v/>
          </cell>
          <cell r="G1621" t="str">
            <v/>
          </cell>
        </row>
        <row r="1622">
          <cell r="A1622" t="str">
            <v/>
          </cell>
          <cell r="B1622" t="str">
            <v/>
          </cell>
          <cell r="C1622" t="str">
            <v/>
          </cell>
          <cell r="D1622" t="str">
            <v/>
          </cell>
          <cell r="E1622" t="str">
            <v/>
          </cell>
          <cell r="F1622" t="str">
            <v/>
          </cell>
          <cell r="G1622" t="str">
            <v/>
          </cell>
        </row>
        <row r="1623">
          <cell r="A1623" t="str">
            <v/>
          </cell>
          <cell r="B1623" t="str">
            <v/>
          </cell>
          <cell r="C1623" t="str">
            <v/>
          </cell>
          <cell r="D1623" t="str">
            <v/>
          </cell>
          <cell r="E1623" t="str">
            <v/>
          </cell>
          <cell r="F1623" t="str">
            <v/>
          </cell>
          <cell r="G1623" t="str">
            <v/>
          </cell>
        </row>
        <row r="1624">
          <cell r="A1624" t="str">
            <v/>
          </cell>
          <cell r="B1624" t="str">
            <v/>
          </cell>
          <cell r="C1624" t="str">
            <v/>
          </cell>
          <cell r="D1624" t="str">
            <v/>
          </cell>
          <cell r="E1624" t="str">
            <v/>
          </cell>
          <cell r="F1624" t="str">
            <v/>
          </cell>
          <cell r="G1624" t="str">
            <v/>
          </cell>
        </row>
        <row r="1625">
          <cell r="A1625" t="str">
            <v/>
          </cell>
          <cell r="B1625" t="str">
            <v/>
          </cell>
          <cell r="C1625" t="str">
            <v/>
          </cell>
          <cell r="D1625" t="str">
            <v/>
          </cell>
          <cell r="E1625" t="str">
            <v/>
          </cell>
          <cell r="F1625" t="str">
            <v/>
          </cell>
          <cell r="G1625" t="str">
            <v/>
          </cell>
        </row>
        <row r="1626">
          <cell r="A1626" t="str">
            <v/>
          </cell>
          <cell r="B1626" t="str">
            <v/>
          </cell>
          <cell r="C1626" t="str">
            <v/>
          </cell>
          <cell r="D1626" t="str">
            <v/>
          </cell>
          <cell r="E1626" t="str">
            <v/>
          </cell>
          <cell r="F1626" t="str">
            <v/>
          </cell>
          <cell r="G1626" t="str">
            <v/>
          </cell>
        </row>
        <row r="1627">
          <cell r="A1627" t="str">
            <v/>
          </cell>
          <cell r="B1627" t="str">
            <v/>
          </cell>
          <cell r="C1627" t="str">
            <v/>
          </cell>
          <cell r="D1627" t="str">
            <v/>
          </cell>
          <cell r="E1627" t="str">
            <v/>
          </cell>
          <cell r="F1627" t="str">
            <v/>
          </cell>
          <cell r="G1627" t="str">
            <v/>
          </cell>
        </row>
        <row r="1628">
          <cell r="A1628" t="str">
            <v/>
          </cell>
          <cell r="B1628" t="str">
            <v/>
          </cell>
          <cell r="C1628" t="str">
            <v/>
          </cell>
          <cell r="D1628" t="str">
            <v/>
          </cell>
          <cell r="E1628" t="str">
            <v/>
          </cell>
          <cell r="F1628" t="str">
            <v/>
          </cell>
          <cell r="G1628" t="str">
            <v/>
          </cell>
        </row>
        <row r="1629">
          <cell r="A1629" t="str">
            <v/>
          </cell>
          <cell r="B1629" t="str">
            <v/>
          </cell>
          <cell r="C1629" t="str">
            <v/>
          </cell>
          <cell r="D1629" t="str">
            <v/>
          </cell>
          <cell r="E1629" t="str">
            <v/>
          </cell>
          <cell r="F1629" t="str">
            <v/>
          </cell>
          <cell r="G1629" t="str">
            <v/>
          </cell>
        </row>
        <row r="1630">
          <cell r="A1630" t="str">
            <v/>
          </cell>
          <cell r="B1630" t="str">
            <v/>
          </cell>
          <cell r="C1630" t="str">
            <v/>
          </cell>
          <cell r="D1630" t="str">
            <v/>
          </cell>
          <cell r="E1630" t="str">
            <v/>
          </cell>
          <cell r="F1630" t="str">
            <v/>
          </cell>
          <cell r="G1630" t="str">
            <v/>
          </cell>
        </row>
        <row r="1631">
          <cell r="A1631" t="str">
            <v/>
          </cell>
          <cell r="B1631" t="str">
            <v/>
          </cell>
          <cell r="C1631" t="str">
            <v/>
          </cell>
          <cell r="D1631" t="str">
            <v/>
          </cell>
          <cell r="E1631" t="str">
            <v/>
          </cell>
          <cell r="F1631" t="str">
            <v/>
          </cell>
          <cell r="G1631" t="str">
            <v/>
          </cell>
        </row>
        <row r="1632">
          <cell r="A1632" t="str">
            <v/>
          </cell>
          <cell r="B1632" t="str">
            <v/>
          </cell>
          <cell r="C1632" t="str">
            <v/>
          </cell>
          <cell r="D1632" t="str">
            <v/>
          </cell>
          <cell r="E1632" t="str">
            <v/>
          </cell>
          <cell r="F1632" t="str">
            <v/>
          </cell>
          <cell r="G1632" t="str">
            <v/>
          </cell>
        </row>
        <row r="1633">
          <cell r="A1633" t="str">
            <v/>
          </cell>
          <cell r="B1633" t="str">
            <v/>
          </cell>
          <cell r="C1633" t="str">
            <v/>
          </cell>
          <cell r="D1633" t="str">
            <v/>
          </cell>
          <cell r="E1633" t="str">
            <v/>
          </cell>
          <cell r="F1633" t="str">
            <v/>
          </cell>
          <cell r="G1633" t="str">
            <v/>
          </cell>
        </row>
        <row r="1634">
          <cell r="A1634" t="str">
            <v/>
          </cell>
          <cell r="B1634" t="str">
            <v/>
          </cell>
          <cell r="C1634" t="str">
            <v/>
          </cell>
          <cell r="D1634" t="str">
            <v/>
          </cell>
          <cell r="E1634" t="str">
            <v/>
          </cell>
          <cell r="F1634" t="str">
            <v/>
          </cell>
          <cell r="G1634" t="str">
            <v/>
          </cell>
        </row>
        <row r="1635">
          <cell r="A1635" t="str">
            <v/>
          </cell>
          <cell r="B1635" t="str">
            <v/>
          </cell>
          <cell r="C1635" t="str">
            <v/>
          </cell>
          <cell r="D1635" t="str">
            <v/>
          </cell>
          <cell r="E1635" t="str">
            <v/>
          </cell>
          <cell r="F1635" t="str">
            <v/>
          </cell>
          <cell r="G1635" t="str">
            <v/>
          </cell>
        </row>
        <row r="1636">
          <cell r="A1636" t="str">
            <v/>
          </cell>
          <cell r="B1636" t="str">
            <v/>
          </cell>
          <cell r="C1636" t="str">
            <v/>
          </cell>
          <cell r="D1636" t="str">
            <v/>
          </cell>
          <cell r="E1636" t="str">
            <v/>
          </cell>
          <cell r="F1636" t="str">
            <v/>
          </cell>
          <cell r="G1636" t="str">
            <v/>
          </cell>
        </row>
        <row r="1637">
          <cell r="A1637" t="str">
            <v/>
          </cell>
          <cell r="B1637" t="str">
            <v/>
          </cell>
          <cell r="C1637" t="str">
            <v/>
          </cell>
          <cell r="D1637" t="str">
            <v/>
          </cell>
          <cell r="E1637" t="str">
            <v/>
          </cell>
          <cell r="F1637" t="str">
            <v/>
          </cell>
          <cell r="G1637" t="str">
            <v/>
          </cell>
        </row>
        <row r="1638">
          <cell r="A1638" t="str">
            <v/>
          </cell>
          <cell r="B1638" t="str">
            <v/>
          </cell>
          <cell r="C1638" t="str">
            <v/>
          </cell>
          <cell r="D1638" t="str">
            <v/>
          </cell>
          <cell r="E1638" t="str">
            <v/>
          </cell>
          <cell r="F1638" t="str">
            <v/>
          </cell>
          <cell r="G1638" t="str">
            <v/>
          </cell>
        </row>
        <row r="1639">
          <cell r="A1639" t="str">
            <v/>
          </cell>
          <cell r="B1639" t="str">
            <v/>
          </cell>
          <cell r="C1639" t="str">
            <v/>
          </cell>
          <cell r="D1639" t="str">
            <v/>
          </cell>
          <cell r="E1639" t="str">
            <v/>
          </cell>
          <cell r="F1639" t="str">
            <v/>
          </cell>
          <cell r="G1639" t="str">
            <v/>
          </cell>
        </row>
        <row r="1640">
          <cell r="A1640" t="str">
            <v/>
          </cell>
          <cell r="B1640" t="str">
            <v/>
          </cell>
          <cell r="C1640" t="str">
            <v/>
          </cell>
          <cell r="D1640" t="str">
            <v/>
          </cell>
          <cell r="E1640" t="str">
            <v/>
          </cell>
          <cell r="F1640" t="str">
            <v/>
          </cell>
          <cell r="G1640" t="str">
            <v/>
          </cell>
        </row>
        <row r="1641">
          <cell r="A1641" t="str">
            <v/>
          </cell>
          <cell r="B1641" t="str">
            <v/>
          </cell>
          <cell r="C1641" t="str">
            <v/>
          </cell>
          <cell r="D1641" t="str">
            <v/>
          </cell>
          <cell r="E1641" t="str">
            <v/>
          </cell>
          <cell r="F1641" t="str">
            <v/>
          </cell>
          <cell r="G1641" t="str">
            <v/>
          </cell>
        </row>
        <row r="1642">
          <cell r="A1642" t="str">
            <v/>
          </cell>
          <cell r="B1642" t="str">
            <v/>
          </cell>
          <cell r="C1642" t="str">
            <v/>
          </cell>
          <cell r="D1642" t="str">
            <v/>
          </cell>
          <cell r="E1642" t="str">
            <v/>
          </cell>
          <cell r="F1642" t="str">
            <v/>
          </cell>
          <cell r="G1642" t="str">
            <v/>
          </cell>
        </row>
        <row r="1643">
          <cell r="A1643" t="str">
            <v/>
          </cell>
          <cell r="B1643" t="str">
            <v/>
          </cell>
          <cell r="C1643" t="str">
            <v/>
          </cell>
          <cell r="D1643" t="str">
            <v/>
          </cell>
          <cell r="E1643" t="str">
            <v/>
          </cell>
          <cell r="F1643" t="str">
            <v/>
          </cell>
          <cell r="G1643" t="str">
            <v/>
          </cell>
        </row>
        <row r="1644">
          <cell r="A1644" t="str">
            <v/>
          </cell>
          <cell r="B1644" t="str">
            <v/>
          </cell>
          <cell r="C1644" t="str">
            <v/>
          </cell>
          <cell r="D1644" t="str">
            <v/>
          </cell>
          <cell r="E1644" t="str">
            <v/>
          </cell>
          <cell r="F1644" t="str">
            <v/>
          </cell>
          <cell r="G1644" t="str">
            <v/>
          </cell>
        </row>
        <row r="1645">
          <cell r="A1645" t="str">
            <v/>
          </cell>
          <cell r="B1645" t="str">
            <v/>
          </cell>
          <cell r="C1645" t="str">
            <v/>
          </cell>
          <cell r="D1645" t="str">
            <v/>
          </cell>
          <cell r="E1645" t="str">
            <v/>
          </cell>
          <cell r="F1645" t="str">
            <v/>
          </cell>
          <cell r="G1645" t="str">
            <v/>
          </cell>
        </row>
        <row r="1646">
          <cell r="A1646" t="str">
            <v/>
          </cell>
          <cell r="B1646" t="str">
            <v/>
          </cell>
          <cell r="C1646" t="str">
            <v/>
          </cell>
          <cell r="D1646" t="str">
            <v/>
          </cell>
          <cell r="E1646" t="str">
            <v/>
          </cell>
          <cell r="F1646" t="str">
            <v/>
          </cell>
          <cell r="G1646" t="str">
            <v/>
          </cell>
        </row>
        <row r="1647">
          <cell r="A1647" t="str">
            <v/>
          </cell>
          <cell r="B1647" t="str">
            <v/>
          </cell>
          <cell r="C1647" t="str">
            <v/>
          </cell>
          <cell r="D1647" t="str">
            <v/>
          </cell>
          <cell r="E1647" t="str">
            <v/>
          </cell>
          <cell r="F1647" t="str">
            <v/>
          </cell>
          <cell r="G1647" t="str">
            <v/>
          </cell>
        </row>
        <row r="1648">
          <cell r="A1648" t="str">
            <v/>
          </cell>
          <cell r="B1648" t="str">
            <v/>
          </cell>
          <cell r="C1648" t="str">
            <v/>
          </cell>
          <cell r="D1648" t="str">
            <v/>
          </cell>
          <cell r="E1648" t="str">
            <v/>
          </cell>
          <cell r="F1648" t="str">
            <v/>
          </cell>
          <cell r="G1648" t="str">
            <v/>
          </cell>
        </row>
        <row r="1649">
          <cell r="A1649" t="str">
            <v/>
          </cell>
          <cell r="B1649" t="str">
            <v/>
          </cell>
          <cell r="C1649" t="str">
            <v/>
          </cell>
          <cell r="D1649" t="str">
            <v/>
          </cell>
          <cell r="E1649" t="str">
            <v/>
          </cell>
          <cell r="F1649" t="str">
            <v/>
          </cell>
          <cell r="G1649" t="str">
            <v/>
          </cell>
        </row>
        <row r="1650">
          <cell r="A1650" t="str">
            <v/>
          </cell>
          <cell r="B1650" t="str">
            <v/>
          </cell>
          <cell r="C1650" t="str">
            <v/>
          </cell>
          <cell r="D1650" t="str">
            <v/>
          </cell>
          <cell r="E1650" t="str">
            <v/>
          </cell>
          <cell r="F1650" t="str">
            <v/>
          </cell>
          <cell r="G1650" t="str">
            <v/>
          </cell>
        </row>
        <row r="1651">
          <cell r="A1651" t="str">
            <v/>
          </cell>
          <cell r="B1651" t="str">
            <v/>
          </cell>
          <cell r="C1651" t="str">
            <v/>
          </cell>
          <cell r="D1651" t="str">
            <v/>
          </cell>
          <cell r="E1651" t="str">
            <v/>
          </cell>
          <cell r="F1651" t="str">
            <v/>
          </cell>
          <cell r="G1651" t="str">
            <v/>
          </cell>
        </row>
        <row r="1652">
          <cell r="A1652" t="str">
            <v/>
          </cell>
          <cell r="B1652" t="str">
            <v/>
          </cell>
          <cell r="C1652" t="str">
            <v/>
          </cell>
          <cell r="D1652" t="str">
            <v/>
          </cell>
          <cell r="E1652" t="str">
            <v/>
          </cell>
          <cell r="F1652" t="str">
            <v/>
          </cell>
          <cell r="G1652" t="str">
            <v/>
          </cell>
        </row>
        <row r="1653">
          <cell r="A1653" t="str">
            <v/>
          </cell>
          <cell r="B1653" t="str">
            <v/>
          </cell>
          <cell r="C1653" t="str">
            <v/>
          </cell>
          <cell r="D1653" t="str">
            <v/>
          </cell>
          <cell r="E1653" t="str">
            <v/>
          </cell>
          <cell r="F1653" t="str">
            <v/>
          </cell>
          <cell r="G1653" t="str">
            <v/>
          </cell>
        </row>
        <row r="1654">
          <cell r="A1654" t="str">
            <v/>
          </cell>
          <cell r="B1654" t="str">
            <v/>
          </cell>
          <cell r="C1654" t="str">
            <v/>
          </cell>
          <cell r="D1654" t="str">
            <v/>
          </cell>
          <cell r="E1654" t="str">
            <v/>
          </cell>
          <cell r="F1654" t="str">
            <v/>
          </cell>
          <cell r="G1654" t="str">
            <v/>
          </cell>
        </row>
        <row r="1655">
          <cell r="A1655" t="str">
            <v/>
          </cell>
          <cell r="B1655" t="str">
            <v/>
          </cell>
          <cell r="C1655" t="str">
            <v/>
          </cell>
          <cell r="D1655" t="str">
            <v/>
          </cell>
          <cell r="E1655" t="str">
            <v/>
          </cell>
          <cell r="F1655" t="str">
            <v/>
          </cell>
          <cell r="G1655" t="str">
            <v/>
          </cell>
        </row>
        <row r="1656">
          <cell r="A1656" t="str">
            <v/>
          </cell>
          <cell r="B1656" t="str">
            <v/>
          </cell>
          <cell r="C1656" t="str">
            <v/>
          </cell>
          <cell r="D1656" t="str">
            <v/>
          </cell>
          <cell r="E1656" t="str">
            <v/>
          </cell>
          <cell r="F1656" t="str">
            <v/>
          </cell>
          <cell r="G1656" t="str">
            <v/>
          </cell>
        </row>
        <row r="1657">
          <cell r="A1657" t="str">
            <v/>
          </cell>
          <cell r="B1657" t="str">
            <v/>
          </cell>
          <cell r="C1657" t="str">
            <v/>
          </cell>
          <cell r="D1657" t="str">
            <v/>
          </cell>
          <cell r="E1657" t="str">
            <v/>
          </cell>
          <cell r="F1657" t="str">
            <v/>
          </cell>
          <cell r="G1657" t="str">
            <v/>
          </cell>
        </row>
        <row r="1658">
          <cell r="A1658" t="str">
            <v/>
          </cell>
          <cell r="B1658" t="str">
            <v/>
          </cell>
          <cell r="C1658" t="str">
            <v/>
          </cell>
          <cell r="D1658" t="str">
            <v/>
          </cell>
          <cell r="E1658" t="str">
            <v/>
          </cell>
          <cell r="F1658" t="str">
            <v/>
          </cell>
          <cell r="G1658" t="str">
            <v/>
          </cell>
        </row>
        <row r="1659">
          <cell r="A1659" t="str">
            <v/>
          </cell>
          <cell r="B1659" t="str">
            <v/>
          </cell>
          <cell r="C1659" t="str">
            <v/>
          </cell>
          <cell r="D1659" t="str">
            <v/>
          </cell>
          <cell r="E1659" t="str">
            <v/>
          </cell>
          <cell r="F1659" t="str">
            <v/>
          </cell>
          <cell r="G1659" t="str">
            <v/>
          </cell>
        </row>
        <row r="1660">
          <cell r="A1660" t="str">
            <v/>
          </cell>
          <cell r="B1660" t="str">
            <v/>
          </cell>
          <cell r="C1660" t="str">
            <v/>
          </cell>
          <cell r="D1660" t="str">
            <v/>
          </cell>
          <cell r="E1660" t="str">
            <v/>
          </cell>
          <cell r="F1660" t="str">
            <v/>
          </cell>
          <cell r="G1660" t="str">
            <v/>
          </cell>
        </row>
        <row r="1661">
          <cell r="A1661" t="str">
            <v/>
          </cell>
          <cell r="B1661" t="str">
            <v/>
          </cell>
          <cell r="C1661" t="str">
            <v/>
          </cell>
          <cell r="D1661" t="str">
            <v/>
          </cell>
          <cell r="E1661" t="str">
            <v/>
          </cell>
          <cell r="F1661" t="str">
            <v/>
          </cell>
          <cell r="G1661" t="str">
            <v/>
          </cell>
        </row>
        <row r="1662">
          <cell r="A1662" t="str">
            <v/>
          </cell>
          <cell r="B1662" t="str">
            <v/>
          </cell>
          <cell r="C1662" t="str">
            <v/>
          </cell>
          <cell r="D1662" t="str">
            <v/>
          </cell>
          <cell r="E1662" t="str">
            <v/>
          </cell>
          <cell r="F1662" t="str">
            <v/>
          </cell>
          <cell r="G1662" t="str">
            <v/>
          </cell>
        </row>
        <row r="1663">
          <cell r="A1663" t="str">
            <v/>
          </cell>
          <cell r="B1663" t="str">
            <v/>
          </cell>
          <cell r="C1663" t="str">
            <v/>
          </cell>
          <cell r="D1663" t="str">
            <v/>
          </cell>
          <cell r="E1663" t="str">
            <v/>
          </cell>
          <cell r="F1663" t="str">
            <v/>
          </cell>
          <cell r="G1663" t="str">
            <v/>
          </cell>
        </row>
        <row r="1664">
          <cell r="A1664" t="str">
            <v/>
          </cell>
          <cell r="B1664" t="str">
            <v/>
          </cell>
          <cell r="C1664" t="str">
            <v/>
          </cell>
          <cell r="D1664" t="str">
            <v/>
          </cell>
          <cell r="E1664" t="str">
            <v/>
          </cell>
          <cell r="F1664" t="str">
            <v/>
          </cell>
          <cell r="G1664" t="str">
            <v/>
          </cell>
        </row>
        <row r="1665">
          <cell r="A1665" t="str">
            <v/>
          </cell>
          <cell r="B1665" t="str">
            <v/>
          </cell>
          <cell r="C1665" t="str">
            <v/>
          </cell>
          <cell r="D1665" t="str">
            <v/>
          </cell>
          <cell r="E1665" t="str">
            <v/>
          </cell>
          <cell r="F1665" t="str">
            <v/>
          </cell>
          <cell r="G1665" t="str">
            <v/>
          </cell>
        </row>
        <row r="1666">
          <cell r="A1666" t="str">
            <v/>
          </cell>
          <cell r="B1666" t="str">
            <v/>
          </cell>
          <cell r="C1666" t="str">
            <v/>
          </cell>
          <cell r="D1666" t="str">
            <v/>
          </cell>
          <cell r="E1666" t="str">
            <v/>
          </cell>
          <cell r="F1666" t="str">
            <v/>
          </cell>
          <cell r="G1666" t="str">
            <v/>
          </cell>
        </row>
        <row r="1667">
          <cell r="A1667" t="str">
            <v/>
          </cell>
          <cell r="B1667" t="str">
            <v/>
          </cell>
          <cell r="C1667" t="str">
            <v/>
          </cell>
          <cell r="D1667" t="str">
            <v/>
          </cell>
          <cell r="E1667" t="str">
            <v/>
          </cell>
          <cell r="F1667" t="str">
            <v/>
          </cell>
          <cell r="G1667" t="str">
            <v/>
          </cell>
        </row>
        <row r="1668">
          <cell r="A1668" t="str">
            <v/>
          </cell>
          <cell r="B1668" t="str">
            <v/>
          </cell>
          <cell r="C1668" t="str">
            <v/>
          </cell>
          <cell r="D1668" t="str">
            <v/>
          </cell>
          <cell r="E1668" t="str">
            <v/>
          </cell>
          <cell r="F1668" t="str">
            <v/>
          </cell>
          <cell r="G1668" t="str">
            <v/>
          </cell>
        </row>
        <row r="1669">
          <cell r="A1669" t="str">
            <v/>
          </cell>
          <cell r="B1669" t="str">
            <v/>
          </cell>
          <cell r="C1669" t="str">
            <v/>
          </cell>
          <cell r="D1669" t="str">
            <v/>
          </cell>
          <cell r="E1669" t="str">
            <v/>
          </cell>
          <cell r="F1669" t="str">
            <v/>
          </cell>
          <cell r="G1669" t="str">
            <v/>
          </cell>
        </row>
        <row r="1670">
          <cell r="A1670" t="str">
            <v/>
          </cell>
          <cell r="B1670" t="str">
            <v/>
          </cell>
          <cell r="C1670" t="str">
            <v/>
          </cell>
          <cell r="D1670" t="str">
            <v/>
          </cell>
          <cell r="E1670" t="str">
            <v/>
          </cell>
          <cell r="F1670" t="str">
            <v/>
          </cell>
          <cell r="G1670" t="str">
            <v/>
          </cell>
        </row>
        <row r="1671">
          <cell r="A1671" t="str">
            <v/>
          </cell>
          <cell r="B1671" t="str">
            <v/>
          </cell>
          <cell r="C1671" t="str">
            <v/>
          </cell>
          <cell r="D1671" t="str">
            <v/>
          </cell>
          <cell r="E1671" t="str">
            <v/>
          </cell>
          <cell r="F1671" t="str">
            <v/>
          </cell>
          <cell r="G1671" t="str">
            <v/>
          </cell>
        </row>
        <row r="1672">
          <cell r="A1672" t="str">
            <v/>
          </cell>
          <cell r="B1672" t="str">
            <v/>
          </cell>
          <cell r="C1672" t="str">
            <v/>
          </cell>
          <cell r="D1672" t="str">
            <v/>
          </cell>
          <cell r="E1672" t="str">
            <v/>
          </cell>
          <cell r="F1672" t="str">
            <v/>
          </cell>
          <cell r="G1672" t="str">
            <v/>
          </cell>
        </row>
        <row r="1673">
          <cell r="A1673" t="str">
            <v/>
          </cell>
          <cell r="B1673" t="str">
            <v/>
          </cell>
          <cell r="C1673" t="str">
            <v/>
          </cell>
          <cell r="D1673" t="str">
            <v/>
          </cell>
          <cell r="E1673" t="str">
            <v/>
          </cell>
          <cell r="F1673" t="str">
            <v/>
          </cell>
          <cell r="G1673" t="str">
            <v/>
          </cell>
        </row>
        <row r="1674">
          <cell r="A1674" t="str">
            <v/>
          </cell>
          <cell r="B1674" t="str">
            <v/>
          </cell>
          <cell r="C1674" t="str">
            <v/>
          </cell>
          <cell r="D1674" t="str">
            <v/>
          </cell>
          <cell r="E1674" t="str">
            <v/>
          </cell>
          <cell r="F1674" t="str">
            <v/>
          </cell>
          <cell r="G1674" t="str">
            <v/>
          </cell>
        </row>
        <row r="1675">
          <cell r="A1675" t="str">
            <v/>
          </cell>
          <cell r="B1675" t="str">
            <v/>
          </cell>
          <cell r="C1675" t="str">
            <v/>
          </cell>
          <cell r="D1675" t="str">
            <v/>
          </cell>
          <cell r="E1675" t="str">
            <v/>
          </cell>
          <cell r="F1675" t="str">
            <v/>
          </cell>
          <cell r="G1675" t="str">
            <v/>
          </cell>
        </row>
        <row r="1676">
          <cell r="A1676" t="str">
            <v/>
          </cell>
          <cell r="B1676" t="str">
            <v/>
          </cell>
          <cell r="C1676" t="str">
            <v/>
          </cell>
          <cell r="D1676" t="str">
            <v/>
          </cell>
          <cell r="E1676" t="str">
            <v/>
          </cell>
          <cell r="F1676" t="str">
            <v/>
          </cell>
          <cell r="G1676" t="str">
            <v/>
          </cell>
        </row>
        <row r="1677">
          <cell r="A1677" t="str">
            <v/>
          </cell>
          <cell r="B1677" t="str">
            <v/>
          </cell>
          <cell r="C1677" t="str">
            <v/>
          </cell>
          <cell r="D1677" t="str">
            <v/>
          </cell>
          <cell r="E1677" t="str">
            <v/>
          </cell>
          <cell r="F1677" t="str">
            <v/>
          </cell>
          <cell r="G1677" t="str">
            <v/>
          </cell>
        </row>
        <row r="1678">
          <cell r="A1678" t="str">
            <v/>
          </cell>
          <cell r="B1678" t="str">
            <v/>
          </cell>
          <cell r="C1678" t="str">
            <v/>
          </cell>
          <cell r="D1678" t="str">
            <v/>
          </cell>
          <cell r="E1678" t="str">
            <v/>
          </cell>
          <cell r="F1678" t="str">
            <v/>
          </cell>
          <cell r="G1678" t="str">
            <v/>
          </cell>
        </row>
        <row r="1679">
          <cell r="A1679" t="str">
            <v/>
          </cell>
          <cell r="B1679" t="str">
            <v/>
          </cell>
          <cell r="C1679" t="str">
            <v/>
          </cell>
          <cell r="D1679" t="str">
            <v/>
          </cell>
          <cell r="E1679" t="str">
            <v/>
          </cell>
          <cell r="F1679" t="str">
            <v/>
          </cell>
          <cell r="G1679" t="str">
            <v/>
          </cell>
        </row>
        <row r="1680">
          <cell r="A1680" t="str">
            <v/>
          </cell>
          <cell r="B1680" t="str">
            <v/>
          </cell>
          <cell r="C1680" t="str">
            <v/>
          </cell>
          <cell r="D1680" t="str">
            <v/>
          </cell>
          <cell r="E1680" t="str">
            <v/>
          </cell>
          <cell r="F1680" t="str">
            <v/>
          </cell>
          <cell r="G1680" t="str">
            <v/>
          </cell>
        </row>
        <row r="1681">
          <cell r="A1681" t="str">
            <v/>
          </cell>
          <cell r="B1681" t="str">
            <v/>
          </cell>
          <cell r="C1681" t="str">
            <v/>
          </cell>
          <cell r="D1681" t="str">
            <v/>
          </cell>
          <cell r="E1681" t="str">
            <v/>
          </cell>
          <cell r="F1681" t="str">
            <v/>
          </cell>
          <cell r="G1681" t="str">
            <v/>
          </cell>
        </row>
        <row r="1682">
          <cell r="A1682" t="str">
            <v/>
          </cell>
          <cell r="B1682" t="str">
            <v/>
          </cell>
          <cell r="C1682" t="str">
            <v/>
          </cell>
          <cell r="D1682" t="str">
            <v/>
          </cell>
          <cell r="E1682" t="str">
            <v/>
          </cell>
          <cell r="F1682" t="str">
            <v/>
          </cell>
          <cell r="G1682" t="str">
            <v/>
          </cell>
        </row>
        <row r="1683">
          <cell r="A1683" t="str">
            <v/>
          </cell>
          <cell r="B1683" t="str">
            <v/>
          </cell>
          <cell r="C1683" t="str">
            <v/>
          </cell>
          <cell r="D1683" t="str">
            <v/>
          </cell>
          <cell r="E1683" t="str">
            <v/>
          </cell>
          <cell r="F1683" t="str">
            <v/>
          </cell>
          <cell r="G1683" t="str">
            <v/>
          </cell>
        </row>
        <row r="1684">
          <cell r="A1684" t="str">
            <v/>
          </cell>
          <cell r="B1684" t="str">
            <v/>
          </cell>
          <cell r="C1684" t="str">
            <v/>
          </cell>
          <cell r="D1684" t="str">
            <v/>
          </cell>
          <cell r="E1684" t="str">
            <v/>
          </cell>
          <cell r="F1684" t="str">
            <v/>
          </cell>
          <cell r="G1684" t="str">
            <v/>
          </cell>
        </row>
        <row r="1685">
          <cell r="A1685" t="str">
            <v/>
          </cell>
          <cell r="B1685" t="str">
            <v/>
          </cell>
          <cell r="C1685" t="str">
            <v/>
          </cell>
          <cell r="D1685" t="str">
            <v/>
          </cell>
          <cell r="E1685" t="str">
            <v/>
          </cell>
          <cell r="F1685" t="str">
            <v/>
          </cell>
          <cell r="G1685" t="str">
            <v/>
          </cell>
        </row>
        <row r="1686">
          <cell r="A1686" t="str">
            <v/>
          </cell>
          <cell r="B1686" t="str">
            <v/>
          </cell>
          <cell r="C1686" t="str">
            <v/>
          </cell>
          <cell r="D1686" t="str">
            <v/>
          </cell>
          <cell r="E1686" t="str">
            <v/>
          </cell>
          <cell r="F1686" t="str">
            <v/>
          </cell>
          <cell r="G1686" t="str">
            <v/>
          </cell>
        </row>
        <row r="1687">
          <cell r="A1687" t="str">
            <v/>
          </cell>
          <cell r="B1687" t="str">
            <v/>
          </cell>
          <cell r="C1687" t="str">
            <v/>
          </cell>
          <cell r="D1687" t="str">
            <v/>
          </cell>
          <cell r="E1687" t="str">
            <v/>
          </cell>
          <cell r="F1687" t="str">
            <v/>
          </cell>
          <cell r="G1687" t="str">
            <v/>
          </cell>
        </row>
        <row r="1688">
          <cell r="A1688" t="str">
            <v/>
          </cell>
          <cell r="B1688" t="str">
            <v/>
          </cell>
          <cell r="C1688" t="str">
            <v/>
          </cell>
          <cell r="D1688" t="str">
            <v/>
          </cell>
          <cell r="E1688" t="str">
            <v/>
          </cell>
          <cell r="F1688" t="str">
            <v/>
          </cell>
          <cell r="G1688" t="str">
            <v/>
          </cell>
        </row>
        <row r="1689">
          <cell r="A1689" t="str">
            <v/>
          </cell>
          <cell r="B1689" t="str">
            <v/>
          </cell>
          <cell r="C1689" t="str">
            <v/>
          </cell>
          <cell r="D1689" t="str">
            <v/>
          </cell>
          <cell r="E1689" t="str">
            <v/>
          </cell>
          <cell r="F1689" t="str">
            <v/>
          </cell>
          <cell r="G1689" t="str">
            <v/>
          </cell>
        </row>
        <row r="1690">
          <cell r="A1690" t="str">
            <v/>
          </cell>
          <cell r="B1690" t="str">
            <v/>
          </cell>
          <cell r="C1690" t="str">
            <v/>
          </cell>
          <cell r="D1690" t="str">
            <v/>
          </cell>
          <cell r="E1690" t="str">
            <v/>
          </cell>
          <cell r="F1690" t="str">
            <v/>
          </cell>
          <cell r="G1690" t="str">
            <v/>
          </cell>
        </row>
        <row r="1691">
          <cell r="A1691" t="str">
            <v/>
          </cell>
          <cell r="B1691" t="str">
            <v/>
          </cell>
          <cell r="C1691" t="str">
            <v/>
          </cell>
          <cell r="D1691" t="str">
            <v/>
          </cell>
          <cell r="E1691" t="str">
            <v/>
          </cell>
          <cell r="F1691" t="str">
            <v/>
          </cell>
          <cell r="G1691" t="str">
            <v/>
          </cell>
        </row>
        <row r="1692">
          <cell r="A1692" t="str">
            <v/>
          </cell>
          <cell r="B1692" t="str">
            <v/>
          </cell>
          <cell r="C1692" t="str">
            <v/>
          </cell>
          <cell r="D1692" t="str">
            <v/>
          </cell>
          <cell r="E1692" t="str">
            <v/>
          </cell>
          <cell r="F1692" t="str">
            <v/>
          </cell>
          <cell r="G1692" t="str">
            <v/>
          </cell>
        </row>
        <row r="1693">
          <cell r="A1693" t="str">
            <v/>
          </cell>
          <cell r="B1693" t="str">
            <v/>
          </cell>
          <cell r="C1693" t="str">
            <v/>
          </cell>
          <cell r="D1693" t="str">
            <v/>
          </cell>
          <cell r="E1693" t="str">
            <v/>
          </cell>
          <cell r="F1693" t="str">
            <v/>
          </cell>
          <cell r="G1693" t="str">
            <v/>
          </cell>
        </row>
        <row r="1694">
          <cell r="A1694" t="str">
            <v/>
          </cell>
          <cell r="B1694" t="str">
            <v/>
          </cell>
          <cell r="C1694" t="str">
            <v/>
          </cell>
          <cell r="D1694" t="str">
            <v/>
          </cell>
          <cell r="E1694" t="str">
            <v/>
          </cell>
          <cell r="F1694" t="str">
            <v/>
          </cell>
          <cell r="G1694" t="str">
            <v/>
          </cell>
        </row>
        <row r="1695">
          <cell r="A1695" t="str">
            <v/>
          </cell>
          <cell r="B1695" t="str">
            <v/>
          </cell>
          <cell r="C1695" t="str">
            <v/>
          </cell>
          <cell r="D1695" t="str">
            <v/>
          </cell>
          <cell r="E1695" t="str">
            <v/>
          </cell>
          <cell r="F1695" t="str">
            <v/>
          </cell>
          <cell r="G1695" t="str">
            <v/>
          </cell>
        </row>
        <row r="1696">
          <cell r="A1696" t="str">
            <v/>
          </cell>
          <cell r="B1696" t="str">
            <v/>
          </cell>
          <cell r="C1696" t="str">
            <v/>
          </cell>
          <cell r="D1696" t="str">
            <v/>
          </cell>
          <cell r="E1696" t="str">
            <v/>
          </cell>
          <cell r="F1696" t="str">
            <v/>
          </cell>
          <cell r="G1696" t="str">
            <v/>
          </cell>
        </row>
        <row r="1697">
          <cell r="A1697" t="str">
            <v/>
          </cell>
          <cell r="B1697" t="str">
            <v/>
          </cell>
          <cell r="C1697" t="str">
            <v/>
          </cell>
          <cell r="D1697" t="str">
            <v/>
          </cell>
          <cell r="E1697" t="str">
            <v/>
          </cell>
          <cell r="F1697" t="str">
            <v/>
          </cell>
          <cell r="G1697" t="str">
            <v/>
          </cell>
        </row>
        <row r="1698">
          <cell r="A1698" t="str">
            <v/>
          </cell>
          <cell r="B1698" t="str">
            <v/>
          </cell>
          <cell r="C1698" t="str">
            <v/>
          </cell>
          <cell r="D1698" t="str">
            <v/>
          </cell>
          <cell r="E1698" t="str">
            <v/>
          </cell>
          <cell r="F1698" t="str">
            <v/>
          </cell>
          <cell r="G1698" t="str">
            <v/>
          </cell>
        </row>
        <row r="1699">
          <cell r="A1699" t="str">
            <v/>
          </cell>
          <cell r="B1699" t="str">
            <v/>
          </cell>
          <cell r="C1699" t="str">
            <v/>
          </cell>
          <cell r="D1699" t="str">
            <v/>
          </cell>
          <cell r="E1699" t="str">
            <v/>
          </cell>
          <cell r="F1699" t="str">
            <v/>
          </cell>
          <cell r="G1699" t="str">
            <v/>
          </cell>
        </row>
        <row r="1700">
          <cell r="A1700" t="str">
            <v/>
          </cell>
          <cell r="B1700" t="str">
            <v/>
          </cell>
          <cell r="C1700" t="str">
            <v/>
          </cell>
          <cell r="D1700" t="str">
            <v/>
          </cell>
          <cell r="E1700" t="str">
            <v/>
          </cell>
          <cell r="F1700" t="str">
            <v/>
          </cell>
          <cell r="G1700" t="str">
            <v/>
          </cell>
        </row>
        <row r="1701">
          <cell r="A1701" t="str">
            <v/>
          </cell>
          <cell r="B1701" t="str">
            <v/>
          </cell>
          <cell r="C1701" t="str">
            <v/>
          </cell>
          <cell r="D1701" t="str">
            <v/>
          </cell>
          <cell r="E1701" t="str">
            <v/>
          </cell>
          <cell r="F1701" t="str">
            <v/>
          </cell>
          <cell r="G1701" t="str">
            <v/>
          </cell>
        </row>
        <row r="1702">
          <cell r="A1702" t="str">
            <v/>
          </cell>
          <cell r="B1702" t="str">
            <v/>
          </cell>
          <cell r="C1702" t="str">
            <v/>
          </cell>
          <cell r="D1702" t="str">
            <v/>
          </cell>
          <cell r="E1702" t="str">
            <v/>
          </cell>
          <cell r="F1702" t="str">
            <v/>
          </cell>
          <cell r="G1702" t="str">
            <v/>
          </cell>
        </row>
        <row r="1703">
          <cell r="A1703" t="str">
            <v/>
          </cell>
          <cell r="B1703" t="str">
            <v/>
          </cell>
          <cell r="C1703" t="str">
            <v/>
          </cell>
          <cell r="D1703" t="str">
            <v/>
          </cell>
          <cell r="E1703" t="str">
            <v/>
          </cell>
          <cell r="F1703" t="str">
            <v/>
          </cell>
          <cell r="G1703" t="str">
            <v/>
          </cell>
        </row>
        <row r="1704">
          <cell r="A1704" t="str">
            <v/>
          </cell>
          <cell r="B1704" t="str">
            <v/>
          </cell>
          <cell r="C1704" t="str">
            <v/>
          </cell>
          <cell r="D1704" t="str">
            <v/>
          </cell>
          <cell r="E1704" t="str">
            <v/>
          </cell>
          <cell r="F1704" t="str">
            <v/>
          </cell>
          <cell r="G1704" t="str">
            <v/>
          </cell>
        </row>
        <row r="1705">
          <cell r="A1705" t="str">
            <v/>
          </cell>
          <cell r="B1705" t="str">
            <v/>
          </cell>
          <cell r="C1705" t="str">
            <v/>
          </cell>
          <cell r="D1705" t="str">
            <v/>
          </cell>
          <cell r="E1705" t="str">
            <v/>
          </cell>
          <cell r="F1705" t="str">
            <v/>
          </cell>
          <cell r="G1705" t="str">
            <v/>
          </cell>
        </row>
        <row r="1706">
          <cell r="A1706" t="str">
            <v/>
          </cell>
          <cell r="B1706" t="str">
            <v/>
          </cell>
          <cell r="C1706" t="str">
            <v/>
          </cell>
          <cell r="D1706" t="str">
            <v/>
          </cell>
          <cell r="E1706" t="str">
            <v/>
          </cell>
          <cell r="F1706" t="str">
            <v/>
          </cell>
          <cell r="G1706" t="str">
            <v/>
          </cell>
        </row>
        <row r="1707">
          <cell r="A1707" t="str">
            <v/>
          </cell>
          <cell r="B1707" t="str">
            <v/>
          </cell>
          <cell r="C1707" t="str">
            <v/>
          </cell>
          <cell r="D1707" t="str">
            <v/>
          </cell>
          <cell r="E1707" t="str">
            <v/>
          </cell>
          <cell r="F1707" t="str">
            <v/>
          </cell>
          <cell r="G1707" t="str">
            <v/>
          </cell>
        </row>
        <row r="1708">
          <cell r="A1708" t="str">
            <v/>
          </cell>
          <cell r="B1708" t="str">
            <v/>
          </cell>
          <cell r="C1708" t="str">
            <v/>
          </cell>
          <cell r="D1708" t="str">
            <v/>
          </cell>
          <cell r="E1708" t="str">
            <v/>
          </cell>
          <cell r="F1708" t="str">
            <v/>
          </cell>
          <cell r="G1708" t="str">
            <v/>
          </cell>
        </row>
        <row r="1709">
          <cell r="A1709" t="str">
            <v/>
          </cell>
          <cell r="B1709" t="str">
            <v/>
          </cell>
          <cell r="C1709" t="str">
            <v/>
          </cell>
          <cell r="D1709" t="str">
            <v/>
          </cell>
          <cell r="E1709" t="str">
            <v/>
          </cell>
          <cell r="F1709" t="str">
            <v/>
          </cell>
          <cell r="G1709" t="str">
            <v/>
          </cell>
        </row>
        <row r="1710">
          <cell r="A1710" t="str">
            <v/>
          </cell>
          <cell r="B1710" t="str">
            <v/>
          </cell>
          <cell r="C1710" t="str">
            <v/>
          </cell>
          <cell r="D1710" t="str">
            <v/>
          </cell>
          <cell r="E1710" t="str">
            <v/>
          </cell>
          <cell r="F1710" t="str">
            <v/>
          </cell>
          <cell r="G1710" t="str">
            <v/>
          </cell>
        </row>
        <row r="1711">
          <cell r="A1711" t="str">
            <v/>
          </cell>
          <cell r="B1711" t="str">
            <v/>
          </cell>
          <cell r="C1711" t="str">
            <v/>
          </cell>
          <cell r="D1711" t="str">
            <v/>
          </cell>
          <cell r="E1711" t="str">
            <v/>
          </cell>
          <cell r="F1711" t="str">
            <v/>
          </cell>
          <cell r="G1711" t="str">
            <v/>
          </cell>
        </row>
        <row r="1712">
          <cell r="A1712" t="str">
            <v/>
          </cell>
          <cell r="B1712" t="str">
            <v/>
          </cell>
          <cell r="C1712" t="str">
            <v/>
          </cell>
          <cell r="D1712" t="str">
            <v/>
          </cell>
          <cell r="E1712" t="str">
            <v/>
          </cell>
          <cell r="F1712" t="str">
            <v/>
          </cell>
          <cell r="G1712" t="str">
            <v/>
          </cell>
        </row>
        <row r="1713">
          <cell r="A1713" t="str">
            <v/>
          </cell>
          <cell r="B1713" t="str">
            <v/>
          </cell>
          <cell r="C1713" t="str">
            <v/>
          </cell>
          <cell r="D1713" t="str">
            <v/>
          </cell>
          <cell r="E1713" t="str">
            <v/>
          </cell>
          <cell r="F1713" t="str">
            <v/>
          </cell>
          <cell r="G1713" t="str">
            <v/>
          </cell>
        </row>
        <row r="1714">
          <cell r="A1714" t="str">
            <v/>
          </cell>
          <cell r="B1714" t="str">
            <v/>
          </cell>
          <cell r="C1714" t="str">
            <v/>
          </cell>
          <cell r="D1714" t="str">
            <v/>
          </cell>
          <cell r="E1714" t="str">
            <v/>
          </cell>
          <cell r="F1714" t="str">
            <v/>
          </cell>
          <cell r="G1714" t="str">
            <v/>
          </cell>
        </row>
        <row r="1715">
          <cell r="A1715" t="str">
            <v/>
          </cell>
          <cell r="B1715" t="str">
            <v/>
          </cell>
          <cell r="C1715" t="str">
            <v/>
          </cell>
          <cell r="D1715" t="str">
            <v/>
          </cell>
          <cell r="E1715" t="str">
            <v/>
          </cell>
          <cell r="F1715" t="str">
            <v/>
          </cell>
          <cell r="G1715" t="str">
            <v/>
          </cell>
        </row>
        <row r="1716">
          <cell r="A1716" t="str">
            <v/>
          </cell>
          <cell r="B1716" t="str">
            <v/>
          </cell>
          <cell r="C1716" t="str">
            <v/>
          </cell>
          <cell r="D1716" t="str">
            <v/>
          </cell>
          <cell r="E1716" t="str">
            <v/>
          </cell>
          <cell r="F1716" t="str">
            <v/>
          </cell>
          <cell r="G1716" t="str">
            <v/>
          </cell>
        </row>
        <row r="1717">
          <cell r="A1717" t="str">
            <v/>
          </cell>
          <cell r="B1717" t="str">
            <v/>
          </cell>
          <cell r="C1717" t="str">
            <v/>
          </cell>
          <cell r="D1717" t="str">
            <v/>
          </cell>
          <cell r="E1717" t="str">
            <v/>
          </cell>
          <cell r="F1717" t="str">
            <v/>
          </cell>
          <cell r="G1717" t="str">
            <v/>
          </cell>
        </row>
        <row r="1718">
          <cell r="A1718" t="str">
            <v/>
          </cell>
          <cell r="B1718" t="str">
            <v/>
          </cell>
          <cell r="C1718" t="str">
            <v/>
          </cell>
          <cell r="D1718" t="str">
            <v/>
          </cell>
          <cell r="E1718" t="str">
            <v/>
          </cell>
          <cell r="F1718" t="str">
            <v/>
          </cell>
          <cell r="G1718" t="str">
            <v/>
          </cell>
        </row>
        <row r="1719">
          <cell r="A1719" t="str">
            <v/>
          </cell>
          <cell r="B1719" t="str">
            <v/>
          </cell>
          <cell r="C1719" t="str">
            <v/>
          </cell>
          <cell r="D1719" t="str">
            <v/>
          </cell>
          <cell r="E1719" t="str">
            <v/>
          </cell>
          <cell r="F1719" t="str">
            <v/>
          </cell>
          <cell r="G1719" t="str">
            <v/>
          </cell>
        </row>
        <row r="1720">
          <cell r="A1720" t="str">
            <v/>
          </cell>
          <cell r="B1720" t="str">
            <v/>
          </cell>
          <cell r="C1720" t="str">
            <v/>
          </cell>
          <cell r="D1720" t="str">
            <v/>
          </cell>
          <cell r="E1720" t="str">
            <v/>
          </cell>
          <cell r="F1720" t="str">
            <v/>
          </cell>
          <cell r="G1720" t="str">
            <v/>
          </cell>
        </row>
        <row r="1721">
          <cell r="A1721" t="str">
            <v/>
          </cell>
          <cell r="B1721" t="str">
            <v/>
          </cell>
          <cell r="C1721" t="str">
            <v/>
          </cell>
          <cell r="D1721" t="str">
            <v/>
          </cell>
          <cell r="E1721" t="str">
            <v/>
          </cell>
          <cell r="F1721" t="str">
            <v/>
          </cell>
          <cell r="G1721" t="str">
            <v/>
          </cell>
        </row>
        <row r="1722">
          <cell r="A1722" t="str">
            <v/>
          </cell>
          <cell r="B1722" t="str">
            <v/>
          </cell>
          <cell r="C1722" t="str">
            <v/>
          </cell>
          <cell r="D1722" t="str">
            <v/>
          </cell>
          <cell r="E1722" t="str">
            <v/>
          </cell>
          <cell r="F1722" t="str">
            <v/>
          </cell>
          <cell r="G1722" t="str">
            <v/>
          </cell>
        </row>
        <row r="1723">
          <cell r="A1723" t="str">
            <v/>
          </cell>
          <cell r="B1723" t="str">
            <v/>
          </cell>
          <cell r="C1723" t="str">
            <v/>
          </cell>
          <cell r="D1723" t="str">
            <v/>
          </cell>
          <cell r="E1723" t="str">
            <v/>
          </cell>
          <cell r="F1723" t="str">
            <v/>
          </cell>
          <cell r="G1723" t="str">
            <v/>
          </cell>
        </row>
        <row r="1724">
          <cell r="A1724" t="str">
            <v/>
          </cell>
          <cell r="B1724" t="str">
            <v/>
          </cell>
          <cell r="C1724" t="str">
            <v/>
          </cell>
          <cell r="D1724" t="str">
            <v/>
          </cell>
          <cell r="E1724" t="str">
            <v/>
          </cell>
          <cell r="F1724" t="str">
            <v/>
          </cell>
          <cell r="G1724" t="str">
            <v/>
          </cell>
        </row>
        <row r="1725">
          <cell r="A1725" t="str">
            <v/>
          </cell>
          <cell r="B1725" t="str">
            <v/>
          </cell>
          <cell r="C1725" t="str">
            <v/>
          </cell>
          <cell r="D1725" t="str">
            <v/>
          </cell>
          <cell r="E1725" t="str">
            <v/>
          </cell>
          <cell r="F1725" t="str">
            <v/>
          </cell>
          <cell r="G1725" t="str">
            <v/>
          </cell>
        </row>
        <row r="1726">
          <cell r="A1726" t="str">
            <v/>
          </cell>
          <cell r="B1726" t="str">
            <v/>
          </cell>
          <cell r="C1726" t="str">
            <v/>
          </cell>
          <cell r="D1726" t="str">
            <v/>
          </cell>
          <cell r="E1726" t="str">
            <v/>
          </cell>
          <cell r="F1726" t="str">
            <v/>
          </cell>
          <cell r="G1726" t="str">
            <v/>
          </cell>
        </row>
        <row r="1727">
          <cell r="A1727" t="str">
            <v/>
          </cell>
          <cell r="B1727" t="str">
            <v/>
          </cell>
          <cell r="C1727" t="str">
            <v/>
          </cell>
          <cell r="D1727" t="str">
            <v/>
          </cell>
          <cell r="E1727" t="str">
            <v/>
          </cell>
          <cell r="F1727" t="str">
            <v/>
          </cell>
          <cell r="G1727" t="str">
            <v/>
          </cell>
        </row>
        <row r="1728">
          <cell r="A1728" t="str">
            <v/>
          </cell>
          <cell r="B1728" t="str">
            <v/>
          </cell>
          <cell r="C1728" t="str">
            <v/>
          </cell>
          <cell r="D1728" t="str">
            <v/>
          </cell>
          <cell r="E1728" t="str">
            <v/>
          </cell>
          <cell r="F1728" t="str">
            <v/>
          </cell>
          <cell r="G1728" t="str">
            <v/>
          </cell>
        </row>
        <row r="1729">
          <cell r="A1729" t="str">
            <v/>
          </cell>
          <cell r="B1729" t="str">
            <v/>
          </cell>
          <cell r="C1729" t="str">
            <v/>
          </cell>
          <cell r="D1729" t="str">
            <v/>
          </cell>
          <cell r="E1729" t="str">
            <v/>
          </cell>
          <cell r="F1729" t="str">
            <v/>
          </cell>
          <cell r="G1729" t="str">
            <v/>
          </cell>
        </row>
        <row r="1730">
          <cell r="A1730" t="str">
            <v/>
          </cell>
          <cell r="B1730" t="str">
            <v/>
          </cell>
          <cell r="C1730" t="str">
            <v/>
          </cell>
          <cell r="D1730" t="str">
            <v/>
          </cell>
          <cell r="E1730" t="str">
            <v/>
          </cell>
          <cell r="F1730" t="str">
            <v/>
          </cell>
          <cell r="G1730" t="str">
            <v/>
          </cell>
        </row>
        <row r="1731">
          <cell r="A1731" t="str">
            <v/>
          </cell>
          <cell r="B1731" t="str">
            <v/>
          </cell>
          <cell r="C1731" t="str">
            <v/>
          </cell>
          <cell r="D1731" t="str">
            <v/>
          </cell>
          <cell r="E1731" t="str">
            <v/>
          </cell>
          <cell r="F1731" t="str">
            <v/>
          </cell>
          <cell r="G1731" t="str">
            <v/>
          </cell>
        </row>
        <row r="1732">
          <cell r="A1732" t="str">
            <v/>
          </cell>
          <cell r="B1732" t="str">
            <v/>
          </cell>
          <cell r="C1732" t="str">
            <v/>
          </cell>
          <cell r="D1732" t="str">
            <v/>
          </cell>
          <cell r="E1732" t="str">
            <v/>
          </cell>
          <cell r="F1732" t="str">
            <v/>
          </cell>
          <cell r="G1732" t="str">
            <v/>
          </cell>
        </row>
        <row r="1733">
          <cell r="A1733" t="str">
            <v/>
          </cell>
          <cell r="B1733" t="str">
            <v/>
          </cell>
          <cell r="C1733" t="str">
            <v/>
          </cell>
          <cell r="D1733" t="str">
            <v/>
          </cell>
          <cell r="E1733" t="str">
            <v/>
          </cell>
          <cell r="F1733" t="str">
            <v/>
          </cell>
          <cell r="G1733" t="str">
            <v/>
          </cell>
        </row>
        <row r="1734">
          <cell r="A1734" t="str">
            <v/>
          </cell>
          <cell r="B1734" t="str">
            <v/>
          </cell>
          <cell r="C1734" t="str">
            <v/>
          </cell>
          <cell r="D1734" t="str">
            <v/>
          </cell>
          <cell r="E1734" t="str">
            <v/>
          </cell>
          <cell r="F1734" t="str">
            <v/>
          </cell>
          <cell r="G1734" t="str">
            <v/>
          </cell>
        </row>
        <row r="1735">
          <cell r="A1735" t="str">
            <v/>
          </cell>
          <cell r="B1735" t="str">
            <v/>
          </cell>
          <cell r="C1735" t="str">
            <v/>
          </cell>
          <cell r="D1735" t="str">
            <v/>
          </cell>
          <cell r="E1735" t="str">
            <v/>
          </cell>
          <cell r="F1735" t="str">
            <v/>
          </cell>
          <cell r="G1735" t="str">
            <v/>
          </cell>
        </row>
        <row r="1736">
          <cell r="A1736" t="str">
            <v/>
          </cell>
          <cell r="B1736" t="str">
            <v/>
          </cell>
          <cell r="C1736" t="str">
            <v/>
          </cell>
          <cell r="D1736" t="str">
            <v/>
          </cell>
          <cell r="E1736" t="str">
            <v/>
          </cell>
          <cell r="F1736" t="str">
            <v/>
          </cell>
          <cell r="G1736" t="str">
            <v/>
          </cell>
        </row>
        <row r="1737">
          <cell r="A1737" t="str">
            <v/>
          </cell>
          <cell r="B1737" t="str">
            <v/>
          </cell>
          <cell r="C1737" t="str">
            <v/>
          </cell>
          <cell r="D1737" t="str">
            <v/>
          </cell>
          <cell r="E1737" t="str">
            <v/>
          </cell>
          <cell r="F1737" t="str">
            <v/>
          </cell>
          <cell r="G1737" t="str">
            <v/>
          </cell>
        </row>
        <row r="1738">
          <cell r="A1738" t="str">
            <v/>
          </cell>
          <cell r="B1738" t="str">
            <v/>
          </cell>
          <cell r="C1738" t="str">
            <v/>
          </cell>
          <cell r="D1738" t="str">
            <v/>
          </cell>
          <cell r="E1738" t="str">
            <v/>
          </cell>
          <cell r="F1738" t="str">
            <v/>
          </cell>
          <cell r="G1738" t="str">
            <v/>
          </cell>
        </row>
        <row r="1739">
          <cell r="A1739" t="str">
            <v/>
          </cell>
          <cell r="B1739" t="str">
            <v/>
          </cell>
          <cell r="C1739" t="str">
            <v/>
          </cell>
          <cell r="D1739" t="str">
            <v/>
          </cell>
          <cell r="E1739" t="str">
            <v/>
          </cell>
          <cell r="F1739" t="str">
            <v/>
          </cell>
          <cell r="G1739" t="str">
            <v/>
          </cell>
        </row>
        <row r="1740">
          <cell r="A1740" t="str">
            <v/>
          </cell>
          <cell r="B1740" t="str">
            <v/>
          </cell>
          <cell r="C1740" t="str">
            <v/>
          </cell>
          <cell r="D1740" t="str">
            <v/>
          </cell>
          <cell r="E1740" t="str">
            <v/>
          </cell>
          <cell r="F1740" t="str">
            <v/>
          </cell>
          <cell r="G1740" t="str">
            <v/>
          </cell>
        </row>
        <row r="1741">
          <cell r="A1741" t="str">
            <v/>
          </cell>
          <cell r="B1741" t="str">
            <v/>
          </cell>
          <cell r="C1741" t="str">
            <v/>
          </cell>
          <cell r="D1741" t="str">
            <v/>
          </cell>
          <cell r="E1741" t="str">
            <v/>
          </cell>
          <cell r="F1741" t="str">
            <v/>
          </cell>
          <cell r="G1741" t="str">
            <v/>
          </cell>
        </row>
        <row r="1742">
          <cell r="A1742" t="str">
            <v/>
          </cell>
          <cell r="B1742" t="str">
            <v/>
          </cell>
          <cell r="C1742" t="str">
            <v/>
          </cell>
          <cell r="D1742" t="str">
            <v/>
          </cell>
          <cell r="E1742" t="str">
            <v/>
          </cell>
          <cell r="F1742" t="str">
            <v/>
          </cell>
          <cell r="G1742" t="str">
            <v/>
          </cell>
        </row>
        <row r="1743">
          <cell r="A1743" t="str">
            <v/>
          </cell>
          <cell r="B1743" t="str">
            <v/>
          </cell>
          <cell r="C1743" t="str">
            <v/>
          </cell>
          <cell r="D1743" t="str">
            <v/>
          </cell>
          <cell r="E1743" t="str">
            <v/>
          </cell>
          <cell r="F1743" t="str">
            <v/>
          </cell>
          <cell r="G1743" t="str">
            <v/>
          </cell>
        </row>
        <row r="1744">
          <cell r="A1744" t="str">
            <v/>
          </cell>
          <cell r="B1744" t="str">
            <v/>
          </cell>
          <cell r="C1744" t="str">
            <v/>
          </cell>
          <cell r="D1744" t="str">
            <v/>
          </cell>
          <cell r="E1744" t="str">
            <v/>
          </cell>
          <cell r="F1744" t="str">
            <v/>
          </cell>
          <cell r="G1744" t="str">
            <v/>
          </cell>
        </row>
        <row r="1745">
          <cell r="A1745" t="str">
            <v/>
          </cell>
          <cell r="B1745" t="str">
            <v/>
          </cell>
          <cell r="C1745" t="str">
            <v/>
          </cell>
          <cell r="D1745" t="str">
            <v/>
          </cell>
          <cell r="E1745" t="str">
            <v/>
          </cell>
          <cell r="F1745" t="str">
            <v/>
          </cell>
          <cell r="G1745" t="str">
            <v/>
          </cell>
        </row>
        <row r="1746">
          <cell r="A1746" t="str">
            <v/>
          </cell>
          <cell r="B1746" t="str">
            <v/>
          </cell>
          <cell r="C1746" t="str">
            <v/>
          </cell>
          <cell r="D1746" t="str">
            <v/>
          </cell>
          <cell r="E1746" t="str">
            <v/>
          </cell>
          <cell r="F1746" t="str">
            <v/>
          </cell>
          <cell r="G1746" t="str">
            <v/>
          </cell>
        </row>
        <row r="1747">
          <cell r="A1747" t="str">
            <v/>
          </cell>
          <cell r="B1747" t="str">
            <v/>
          </cell>
          <cell r="C1747" t="str">
            <v/>
          </cell>
          <cell r="D1747" t="str">
            <v/>
          </cell>
          <cell r="E1747" t="str">
            <v/>
          </cell>
          <cell r="F1747" t="str">
            <v/>
          </cell>
          <cell r="G1747" t="str">
            <v/>
          </cell>
        </row>
        <row r="1748">
          <cell r="A1748" t="str">
            <v/>
          </cell>
          <cell r="B1748" t="str">
            <v/>
          </cell>
          <cell r="C1748" t="str">
            <v/>
          </cell>
          <cell r="D1748" t="str">
            <v/>
          </cell>
          <cell r="E1748" t="str">
            <v/>
          </cell>
          <cell r="F1748" t="str">
            <v/>
          </cell>
          <cell r="G1748" t="str">
            <v/>
          </cell>
        </row>
        <row r="1749">
          <cell r="A1749" t="str">
            <v/>
          </cell>
          <cell r="B1749" t="str">
            <v/>
          </cell>
          <cell r="C1749" t="str">
            <v/>
          </cell>
          <cell r="D1749" t="str">
            <v/>
          </cell>
          <cell r="E1749" t="str">
            <v/>
          </cell>
          <cell r="F1749" t="str">
            <v/>
          </cell>
          <cell r="G1749" t="str">
            <v/>
          </cell>
        </row>
        <row r="1750">
          <cell r="A1750" t="str">
            <v/>
          </cell>
          <cell r="B1750" t="str">
            <v/>
          </cell>
          <cell r="C1750" t="str">
            <v/>
          </cell>
          <cell r="D1750" t="str">
            <v/>
          </cell>
          <cell r="E1750" t="str">
            <v/>
          </cell>
          <cell r="F1750" t="str">
            <v/>
          </cell>
          <cell r="G1750" t="str">
            <v/>
          </cell>
        </row>
        <row r="1751">
          <cell r="A1751" t="str">
            <v/>
          </cell>
          <cell r="B1751" t="str">
            <v/>
          </cell>
          <cell r="C1751" t="str">
            <v/>
          </cell>
          <cell r="D1751" t="str">
            <v/>
          </cell>
          <cell r="E1751" t="str">
            <v/>
          </cell>
          <cell r="F1751" t="str">
            <v/>
          </cell>
          <cell r="G1751" t="str">
            <v/>
          </cell>
        </row>
        <row r="1752">
          <cell r="A1752" t="str">
            <v/>
          </cell>
          <cell r="B1752" t="str">
            <v/>
          </cell>
          <cell r="C1752" t="str">
            <v/>
          </cell>
          <cell r="D1752" t="str">
            <v/>
          </cell>
          <cell r="E1752" t="str">
            <v/>
          </cell>
          <cell r="F1752" t="str">
            <v/>
          </cell>
          <cell r="G1752" t="str">
            <v/>
          </cell>
        </row>
        <row r="1753">
          <cell r="A1753" t="str">
            <v/>
          </cell>
          <cell r="B1753" t="str">
            <v/>
          </cell>
          <cell r="C1753" t="str">
            <v/>
          </cell>
          <cell r="D1753" t="str">
            <v/>
          </cell>
          <cell r="E1753" t="str">
            <v/>
          </cell>
          <cell r="F1753" t="str">
            <v/>
          </cell>
          <cell r="G1753" t="str">
            <v/>
          </cell>
        </row>
        <row r="1754">
          <cell r="A1754" t="str">
            <v/>
          </cell>
          <cell r="B1754" t="str">
            <v/>
          </cell>
          <cell r="C1754" t="str">
            <v/>
          </cell>
          <cell r="D1754" t="str">
            <v/>
          </cell>
          <cell r="E1754" t="str">
            <v/>
          </cell>
          <cell r="F1754" t="str">
            <v/>
          </cell>
          <cell r="G1754" t="str">
            <v/>
          </cell>
        </row>
        <row r="1755">
          <cell r="A1755" t="str">
            <v/>
          </cell>
          <cell r="B1755" t="str">
            <v/>
          </cell>
          <cell r="C1755" t="str">
            <v/>
          </cell>
          <cell r="D1755" t="str">
            <v/>
          </cell>
          <cell r="E1755" t="str">
            <v/>
          </cell>
          <cell r="F1755" t="str">
            <v/>
          </cell>
          <cell r="G1755" t="str">
            <v/>
          </cell>
        </row>
        <row r="1756">
          <cell r="A1756" t="str">
            <v/>
          </cell>
          <cell r="B1756" t="str">
            <v/>
          </cell>
          <cell r="C1756" t="str">
            <v/>
          </cell>
          <cell r="D1756" t="str">
            <v/>
          </cell>
          <cell r="E1756" t="str">
            <v/>
          </cell>
          <cell r="F1756" t="str">
            <v/>
          </cell>
          <cell r="G1756" t="str">
            <v/>
          </cell>
        </row>
        <row r="1757">
          <cell r="A1757" t="str">
            <v/>
          </cell>
          <cell r="B1757" t="str">
            <v/>
          </cell>
          <cell r="C1757" t="str">
            <v/>
          </cell>
          <cell r="D1757" t="str">
            <v/>
          </cell>
          <cell r="E1757" t="str">
            <v/>
          </cell>
          <cell r="F1757" t="str">
            <v/>
          </cell>
          <cell r="G1757" t="str">
            <v/>
          </cell>
        </row>
        <row r="1758">
          <cell r="A1758" t="str">
            <v/>
          </cell>
          <cell r="B1758" t="str">
            <v/>
          </cell>
          <cell r="C1758" t="str">
            <v/>
          </cell>
          <cell r="D1758" t="str">
            <v/>
          </cell>
          <cell r="E1758" t="str">
            <v/>
          </cell>
          <cell r="F1758" t="str">
            <v/>
          </cell>
          <cell r="G1758" t="str">
            <v/>
          </cell>
        </row>
        <row r="1759">
          <cell r="A1759" t="str">
            <v/>
          </cell>
          <cell r="B1759" t="str">
            <v/>
          </cell>
          <cell r="C1759" t="str">
            <v/>
          </cell>
          <cell r="D1759" t="str">
            <v/>
          </cell>
          <cell r="E1759" t="str">
            <v/>
          </cell>
          <cell r="F1759" t="str">
            <v/>
          </cell>
          <cell r="G1759" t="str">
            <v/>
          </cell>
        </row>
        <row r="1760">
          <cell r="A1760" t="str">
            <v/>
          </cell>
          <cell r="B1760" t="str">
            <v/>
          </cell>
          <cell r="C1760" t="str">
            <v/>
          </cell>
          <cell r="D1760" t="str">
            <v/>
          </cell>
          <cell r="E1760" t="str">
            <v/>
          </cell>
          <cell r="F1760" t="str">
            <v/>
          </cell>
          <cell r="G1760" t="str">
            <v/>
          </cell>
        </row>
        <row r="1761">
          <cell r="A1761" t="str">
            <v/>
          </cell>
          <cell r="B1761" t="str">
            <v/>
          </cell>
          <cell r="C1761" t="str">
            <v/>
          </cell>
          <cell r="D1761" t="str">
            <v/>
          </cell>
          <cell r="E1761" t="str">
            <v/>
          </cell>
          <cell r="F1761" t="str">
            <v/>
          </cell>
          <cell r="G1761"/>
        </row>
        <row r="1762">
          <cell r="A1762" t="str">
            <v/>
          </cell>
          <cell r="B1762" t="str">
            <v/>
          </cell>
          <cell r="C1762" t="str">
            <v/>
          </cell>
          <cell r="D1762" t="str">
            <v/>
          </cell>
          <cell r="E1762" t="str">
            <v/>
          </cell>
          <cell r="F1762" t="str">
            <v/>
          </cell>
          <cell r="G1762"/>
        </row>
        <row r="1763">
          <cell r="A1763" t="str">
            <v/>
          </cell>
          <cell r="B1763" t="str">
            <v/>
          </cell>
          <cell r="C1763" t="str">
            <v/>
          </cell>
          <cell r="D1763" t="str">
            <v/>
          </cell>
          <cell r="E1763" t="str">
            <v/>
          </cell>
          <cell r="F1763" t="str">
            <v/>
          </cell>
          <cell r="G1763"/>
        </row>
        <row r="1764">
          <cell r="A1764" t="str">
            <v/>
          </cell>
          <cell r="B1764" t="str">
            <v/>
          </cell>
          <cell r="C1764" t="str">
            <v/>
          </cell>
          <cell r="D1764" t="str">
            <v/>
          </cell>
          <cell r="E1764" t="str">
            <v/>
          </cell>
          <cell r="F1764" t="str">
            <v/>
          </cell>
          <cell r="G1764"/>
        </row>
        <row r="1765">
          <cell r="A1765" t="str">
            <v/>
          </cell>
          <cell r="B1765" t="str">
            <v/>
          </cell>
          <cell r="C1765" t="str">
            <v/>
          </cell>
          <cell r="D1765" t="str">
            <v/>
          </cell>
          <cell r="E1765" t="str">
            <v/>
          </cell>
          <cell r="F1765" t="str">
            <v/>
          </cell>
          <cell r="G1765"/>
        </row>
        <row r="1766">
          <cell r="A1766" t="str">
            <v/>
          </cell>
          <cell r="B1766" t="str">
            <v/>
          </cell>
          <cell r="C1766" t="str">
            <v/>
          </cell>
          <cell r="D1766" t="str">
            <v/>
          </cell>
          <cell r="E1766" t="str">
            <v/>
          </cell>
          <cell r="F1766" t="str">
            <v/>
          </cell>
          <cell r="G1766"/>
        </row>
        <row r="1767">
          <cell r="A1767" t="str">
            <v/>
          </cell>
          <cell r="B1767" t="str">
            <v/>
          </cell>
          <cell r="C1767" t="str">
            <v/>
          </cell>
          <cell r="D1767" t="str">
            <v/>
          </cell>
          <cell r="E1767" t="str">
            <v/>
          </cell>
          <cell r="F1767" t="str">
            <v/>
          </cell>
          <cell r="G1767"/>
        </row>
        <row r="1768">
          <cell r="A1768" t="str">
            <v/>
          </cell>
          <cell r="B1768" t="str">
            <v/>
          </cell>
          <cell r="C1768" t="str">
            <v/>
          </cell>
          <cell r="D1768" t="str">
            <v/>
          </cell>
          <cell r="E1768" t="str">
            <v/>
          </cell>
          <cell r="F1768" t="str">
            <v/>
          </cell>
          <cell r="G1768"/>
        </row>
        <row r="1769">
          <cell r="A1769" t="str">
            <v/>
          </cell>
          <cell r="B1769" t="str">
            <v/>
          </cell>
          <cell r="C1769" t="str">
            <v/>
          </cell>
          <cell r="D1769" t="str">
            <v/>
          </cell>
          <cell r="E1769" t="str">
            <v/>
          </cell>
          <cell r="F1769" t="str">
            <v/>
          </cell>
          <cell r="G1769"/>
        </row>
        <row r="1770">
          <cell r="A1770" t="str">
            <v/>
          </cell>
          <cell r="B1770" t="str">
            <v/>
          </cell>
          <cell r="C1770" t="str">
            <v/>
          </cell>
          <cell r="D1770" t="str">
            <v/>
          </cell>
          <cell r="E1770" t="str">
            <v/>
          </cell>
          <cell r="F1770" t="str">
            <v/>
          </cell>
          <cell r="G1770"/>
        </row>
        <row r="1771">
          <cell r="A1771" t="str">
            <v/>
          </cell>
          <cell r="B1771" t="str">
            <v/>
          </cell>
          <cell r="C1771" t="str">
            <v/>
          </cell>
          <cell r="D1771" t="str">
            <v/>
          </cell>
          <cell r="E1771" t="str">
            <v/>
          </cell>
          <cell r="F1771" t="str">
            <v/>
          </cell>
          <cell r="G1771"/>
        </row>
        <row r="1772">
          <cell r="A1772" t="str">
            <v/>
          </cell>
          <cell r="B1772" t="str">
            <v/>
          </cell>
          <cell r="C1772" t="str">
            <v/>
          </cell>
          <cell r="D1772" t="str">
            <v/>
          </cell>
          <cell r="E1772" t="str">
            <v/>
          </cell>
          <cell r="F1772" t="str">
            <v/>
          </cell>
          <cell r="G1772"/>
        </row>
        <row r="1773">
          <cell r="A1773" t="str">
            <v/>
          </cell>
          <cell r="B1773" t="str">
            <v/>
          </cell>
          <cell r="C1773" t="str">
            <v/>
          </cell>
          <cell r="D1773" t="str">
            <v/>
          </cell>
          <cell r="E1773" t="str">
            <v/>
          </cell>
          <cell r="F1773" t="str">
            <v/>
          </cell>
          <cell r="G1773"/>
        </row>
        <row r="1774">
          <cell r="A1774" t="str">
            <v/>
          </cell>
          <cell r="B1774" t="str">
            <v/>
          </cell>
          <cell r="C1774" t="str">
            <v/>
          </cell>
          <cell r="D1774" t="str">
            <v/>
          </cell>
          <cell r="E1774" t="str">
            <v/>
          </cell>
          <cell r="F1774" t="str">
            <v/>
          </cell>
          <cell r="G1774"/>
        </row>
        <row r="1775">
          <cell r="A1775" t="str">
            <v/>
          </cell>
          <cell r="B1775" t="str">
            <v/>
          </cell>
          <cell r="C1775" t="str">
            <v/>
          </cell>
          <cell r="D1775" t="str">
            <v/>
          </cell>
          <cell r="E1775" t="str">
            <v/>
          </cell>
          <cell r="F1775" t="str">
            <v/>
          </cell>
          <cell r="G1775"/>
        </row>
        <row r="1776">
          <cell r="A1776" t="str">
            <v/>
          </cell>
          <cell r="B1776" t="str">
            <v/>
          </cell>
          <cell r="C1776" t="str">
            <v/>
          </cell>
          <cell r="D1776" t="str">
            <v/>
          </cell>
          <cell r="E1776" t="str">
            <v/>
          </cell>
          <cell r="F1776" t="str">
            <v/>
          </cell>
          <cell r="G1776"/>
        </row>
        <row r="1777">
          <cell r="A1777" t="str">
            <v/>
          </cell>
          <cell r="B1777" t="str">
            <v/>
          </cell>
          <cell r="C1777" t="str">
            <v/>
          </cell>
          <cell r="D1777" t="str">
            <v/>
          </cell>
          <cell r="E1777" t="str">
            <v/>
          </cell>
          <cell r="F1777" t="str">
            <v/>
          </cell>
          <cell r="G1777"/>
        </row>
        <row r="1778">
          <cell r="A1778" t="str">
            <v/>
          </cell>
          <cell r="B1778" t="str">
            <v/>
          </cell>
          <cell r="C1778" t="str">
            <v/>
          </cell>
          <cell r="D1778" t="str">
            <v/>
          </cell>
          <cell r="E1778" t="str">
            <v/>
          </cell>
          <cell r="F1778" t="str">
            <v/>
          </cell>
          <cell r="G1778"/>
        </row>
        <row r="1779">
          <cell r="A1779" t="str">
            <v/>
          </cell>
          <cell r="B1779" t="str">
            <v/>
          </cell>
          <cell r="C1779" t="str">
            <v/>
          </cell>
          <cell r="D1779" t="str">
            <v/>
          </cell>
          <cell r="E1779" t="str">
            <v/>
          </cell>
          <cell r="F1779" t="str">
            <v/>
          </cell>
          <cell r="G1779"/>
        </row>
        <row r="1780">
          <cell r="A1780" t="str">
            <v/>
          </cell>
          <cell r="B1780" t="str">
            <v/>
          </cell>
          <cell r="C1780" t="str">
            <v/>
          </cell>
          <cell r="D1780" t="str">
            <v/>
          </cell>
          <cell r="E1780" t="str">
            <v/>
          </cell>
          <cell r="F1780" t="str">
            <v/>
          </cell>
          <cell r="G1780"/>
        </row>
        <row r="1781">
          <cell r="A1781" t="str">
            <v/>
          </cell>
          <cell r="B1781" t="str">
            <v/>
          </cell>
          <cell r="C1781" t="str">
            <v/>
          </cell>
          <cell r="D1781" t="str">
            <v/>
          </cell>
          <cell r="E1781" t="str">
            <v/>
          </cell>
          <cell r="F1781" t="str">
            <v/>
          </cell>
          <cell r="G1781"/>
        </row>
        <row r="1782">
          <cell r="A1782" t="str">
            <v/>
          </cell>
          <cell r="B1782" t="str">
            <v/>
          </cell>
          <cell r="C1782" t="str">
            <v/>
          </cell>
          <cell r="D1782" t="str">
            <v/>
          </cell>
          <cell r="E1782" t="str">
            <v/>
          </cell>
          <cell r="F1782" t="str">
            <v/>
          </cell>
          <cell r="G1782"/>
        </row>
        <row r="1783">
          <cell r="A1783" t="str">
            <v/>
          </cell>
          <cell r="B1783" t="str">
            <v/>
          </cell>
          <cell r="C1783" t="str">
            <v/>
          </cell>
          <cell r="D1783" t="str">
            <v/>
          </cell>
          <cell r="E1783" t="str">
            <v/>
          </cell>
          <cell r="F1783" t="str">
            <v/>
          </cell>
          <cell r="G1783"/>
        </row>
        <row r="1784">
          <cell r="A1784" t="str">
            <v/>
          </cell>
          <cell r="B1784" t="str">
            <v/>
          </cell>
          <cell r="C1784" t="str">
            <v/>
          </cell>
          <cell r="D1784" t="str">
            <v/>
          </cell>
          <cell r="E1784" t="str">
            <v/>
          </cell>
          <cell r="F1784" t="str">
            <v/>
          </cell>
          <cell r="G1784"/>
        </row>
        <row r="1785">
          <cell r="A1785" t="str">
            <v/>
          </cell>
          <cell r="B1785" t="str">
            <v/>
          </cell>
          <cell r="C1785" t="str">
            <v/>
          </cell>
          <cell r="D1785" t="str">
            <v/>
          </cell>
          <cell r="E1785" t="str">
            <v/>
          </cell>
          <cell r="F1785" t="str">
            <v/>
          </cell>
          <cell r="G1785"/>
        </row>
        <row r="1786">
          <cell r="A1786" t="str">
            <v/>
          </cell>
          <cell r="B1786" t="str">
            <v/>
          </cell>
          <cell r="C1786" t="str">
            <v/>
          </cell>
          <cell r="D1786" t="str">
            <v/>
          </cell>
          <cell r="E1786" t="str">
            <v/>
          </cell>
          <cell r="F1786" t="str">
            <v/>
          </cell>
          <cell r="G1786"/>
        </row>
        <row r="1787">
          <cell r="A1787" t="str">
            <v/>
          </cell>
          <cell r="B1787" t="str">
            <v/>
          </cell>
          <cell r="C1787" t="str">
            <v/>
          </cell>
          <cell r="D1787" t="str">
            <v/>
          </cell>
          <cell r="E1787" t="str">
            <v/>
          </cell>
          <cell r="F1787" t="str">
            <v/>
          </cell>
          <cell r="G1787"/>
        </row>
        <row r="1788">
          <cell r="A1788" t="str">
            <v/>
          </cell>
          <cell r="B1788" t="str">
            <v/>
          </cell>
          <cell r="C1788" t="str">
            <v/>
          </cell>
          <cell r="D1788" t="str">
            <v/>
          </cell>
          <cell r="E1788" t="str">
            <v/>
          </cell>
          <cell r="F1788" t="str">
            <v/>
          </cell>
          <cell r="G1788"/>
        </row>
        <row r="1789">
          <cell r="A1789" t="str">
            <v/>
          </cell>
          <cell r="B1789" t="str">
            <v/>
          </cell>
          <cell r="C1789" t="str">
            <v/>
          </cell>
          <cell r="D1789" t="str">
            <v/>
          </cell>
          <cell r="E1789" t="str">
            <v/>
          </cell>
          <cell r="F1789" t="str">
            <v/>
          </cell>
          <cell r="G1789"/>
        </row>
        <row r="1790">
          <cell r="A1790" t="str">
            <v/>
          </cell>
          <cell r="B1790" t="str">
            <v/>
          </cell>
          <cell r="C1790" t="str">
            <v/>
          </cell>
          <cell r="D1790" t="str">
            <v/>
          </cell>
          <cell r="E1790" t="str">
            <v/>
          </cell>
          <cell r="F1790" t="str">
            <v/>
          </cell>
          <cell r="G1790"/>
        </row>
        <row r="1791">
          <cell r="A1791" t="str">
            <v/>
          </cell>
          <cell r="B1791" t="str">
            <v/>
          </cell>
          <cell r="C1791" t="str">
            <v/>
          </cell>
          <cell r="D1791" t="str">
            <v/>
          </cell>
          <cell r="E1791" t="str">
            <v/>
          </cell>
          <cell r="F1791" t="str">
            <v/>
          </cell>
          <cell r="G1791"/>
        </row>
        <row r="1792">
          <cell r="A1792" t="str">
            <v/>
          </cell>
          <cell r="B1792" t="str">
            <v/>
          </cell>
          <cell r="C1792" t="str">
            <v/>
          </cell>
          <cell r="D1792" t="str">
            <v/>
          </cell>
          <cell r="E1792" t="str">
            <v/>
          </cell>
          <cell r="F1792" t="str">
            <v/>
          </cell>
          <cell r="G1792"/>
        </row>
        <row r="1793">
          <cell r="A1793" t="str">
            <v/>
          </cell>
          <cell r="B1793" t="str">
            <v/>
          </cell>
          <cell r="C1793" t="str">
            <v/>
          </cell>
          <cell r="D1793" t="str">
            <v/>
          </cell>
          <cell r="E1793" t="str">
            <v/>
          </cell>
          <cell r="F1793" t="str">
            <v/>
          </cell>
          <cell r="G1793"/>
        </row>
        <row r="1794">
          <cell r="A1794" t="str">
            <v/>
          </cell>
          <cell r="B1794" t="str">
            <v/>
          </cell>
          <cell r="C1794" t="str">
            <v/>
          </cell>
          <cell r="D1794" t="str">
            <v/>
          </cell>
          <cell r="E1794" t="str">
            <v/>
          </cell>
          <cell r="F1794" t="str">
            <v/>
          </cell>
          <cell r="G1794"/>
        </row>
        <row r="1795">
          <cell r="A1795" t="str">
            <v/>
          </cell>
          <cell r="B1795" t="str">
            <v/>
          </cell>
          <cell r="C1795" t="str">
            <v/>
          </cell>
          <cell r="D1795" t="str">
            <v/>
          </cell>
          <cell r="E1795" t="str">
            <v/>
          </cell>
          <cell r="F1795" t="str">
            <v/>
          </cell>
          <cell r="G1795"/>
        </row>
        <row r="1796">
          <cell r="A1796" t="str">
            <v/>
          </cell>
          <cell r="B1796" t="str">
            <v/>
          </cell>
          <cell r="C1796" t="str">
            <v/>
          </cell>
          <cell r="D1796" t="str">
            <v/>
          </cell>
          <cell r="E1796" t="str">
            <v/>
          </cell>
          <cell r="F1796" t="str">
            <v/>
          </cell>
          <cell r="G1796"/>
        </row>
        <row r="1797">
          <cell r="A1797" t="str">
            <v/>
          </cell>
          <cell r="B1797" t="str">
            <v/>
          </cell>
          <cell r="C1797" t="str">
            <v/>
          </cell>
          <cell r="D1797" t="str">
            <v/>
          </cell>
          <cell r="E1797" t="str">
            <v/>
          </cell>
          <cell r="F1797" t="str">
            <v/>
          </cell>
          <cell r="G1797"/>
        </row>
        <row r="1798">
          <cell r="A1798" t="str">
            <v/>
          </cell>
          <cell r="B1798" t="str">
            <v/>
          </cell>
          <cell r="C1798" t="str">
            <v/>
          </cell>
          <cell r="D1798" t="str">
            <v/>
          </cell>
          <cell r="E1798" t="str">
            <v/>
          </cell>
          <cell r="F1798" t="str">
            <v/>
          </cell>
          <cell r="G1798"/>
        </row>
        <row r="1799">
          <cell r="A1799" t="str">
            <v/>
          </cell>
          <cell r="B1799" t="str">
            <v/>
          </cell>
          <cell r="C1799" t="str">
            <v/>
          </cell>
          <cell r="D1799" t="str">
            <v/>
          </cell>
          <cell r="E1799" t="str">
            <v/>
          </cell>
          <cell r="F1799" t="str">
            <v/>
          </cell>
          <cell r="G1799"/>
        </row>
        <row r="1800">
          <cell r="A1800" t="str">
            <v/>
          </cell>
          <cell r="B1800" t="str">
            <v/>
          </cell>
          <cell r="C1800" t="str">
            <v/>
          </cell>
          <cell r="D1800" t="str">
            <v/>
          </cell>
          <cell r="E1800" t="str">
            <v/>
          </cell>
          <cell r="F1800" t="str">
            <v/>
          </cell>
          <cell r="G1800"/>
        </row>
        <row r="1801">
          <cell r="A1801" t="str">
            <v/>
          </cell>
          <cell r="B1801" t="str">
            <v/>
          </cell>
          <cell r="C1801" t="str">
            <v/>
          </cell>
          <cell r="D1801" t="str">
            <v/>
          </cell>
          <cell r="E1801" t="str">
            <v/>
          </cell>
          <cell r="F1801" t="str">
            <v/>
          </cell>
          <cell r="G1801"/>
        </row>
        <row r="1802">
          <cell r="A1802" t="str">
            <v/>
          </cell>
          <cell r="B1802" t="str">
            <v/>
          </cell>
          <cell r="C1802" t="str">
            <v/>
          </cell>
          <cell r="D1802" t="str">
            <v/>
          </cell>
          <cell r="E1802" t="str">
            <v/>
          </cell>
          <cell r="F1802" t="str">
            <v/>
          </cell>
          <cell r="G1802"/>
        </row>
        <row r="1803">
          <cell r="A1803" t="str">
            <v/>
          </cell>
          <cell r="B1803" t="str">
            <v/>
          </cell>
          <cell r="C1803" t="str">
            <v/>
          </cell>
          <cell r="D1803" t="str">
            <v/>
          </cell>
          <cell r="E1803" t="str">
            <v/>
          </cell>
          <cell r="F1803" t="str">
            <v/>
          </cell>
          <cell r="G1803"/>
        </row>
        <row r="1804">
          <cell r="A1804" t="str">
            <v/>
          </cell>
          <cell r="B1804" t="str">
            <v/>
          </cell>
          <cell r="C1804" t="str">
            <v/>
          </cell>
          <cell r="D1804" t="str">
            <v/>
          </cell>
          <cell r="E1804" t="str">
            <v/>
          </cell>
          <cell r="F1804" t="str">
            <v/>
          </cell>
          <cell r="G1804"/>
        </row>
        <row r="1805">
          <cell r="A1805" t="str">
            <v/>
          </cell>
          <cell r="B1805" t="str">
            <v/>
          </cell>
          <cell r="C1805" t="str">
            <v/>
          </cell>
          <cell r="D1805" t="str">
            <v/>
          </cell>
          <cell r="E1805" t="str">
            <v/>
          </cell>
          <cell r="F1805" t="str">
            <v/>
          </cell>
          <cell r="G1805"/>
        </row>
        <row r="1806">
          <cell r="A1806" t="str">
            <v/>
          </cell>
          <cell r="B1806" t="str">
            <v/>
          </cell>
          <cell r="C1806" t="str">
            <v/>
          </cell>
          <cell r="D1806" t="str">
            <v/>
          </cell>
          <cell r="E1806" t="str">
            <v/>
          </cell>
          <cell r="F1806" t="str">
            <v/>
          </cell>
          <cell r="G1806"/>
        </row>
        <row r="1807">
          <cell r="A1807" t="str">
            <v/>
          </cell>
          <cell r="B1807" t="str">
            <v/>
          </cell>
          <cell r="C1807" t="str">
            <v/>
          </cell>
          <cell r="D1807" t="str">
            <v/>
          </cell>
          <cell r="E1807" t="str">
            <v/>
          </cell>
          <cell r="F1807" t="str">
            <v/>
          </cell>
          <cell r="G1807"/>
        </row>
        <row r="1808">
          <cell r="A1808" t="str">
            <v/>
          </cell>
          <cell r="B1808" t="str">
            <v/>
          </cell>
          <cell r="C1808" t="str">
            <v/>
          </cell>
          <cell r="D1808" t="str">
            <v/>
          </cell>
          <cell r="E1808" t="str">
            <v/>
          </cell>
          <cell r="F1808" t="str">
            <v/>
          </cell>
          <cell r="G1808"/>
        </row>
        <row r="1809">
          <cell r="A1809" t="str">
            <v/>
          </cell>
          <cell r="B1809" t="str">
            <v/>
          </cell>
          <cell r="C1809" t="str">
            <v/>
          </cell>
          <cell r="D1809" t="str">
            <v/>
          </cell>
          <cell r="E1809" t="str">
            <v/>
          </cell>
          <cell r="F1809" t="str">
            <v/>
          </cell>
          <cell r="G1809"/>
        </row>
        <row r="1810">
          <cell r="A1810" t="str">
            <v/>
          </cell>
          <cell r="B1810" t="str">
            <v/>
          </cell>
          <cell r="C1810" t="str">
            <v/>
          </cell>
          <cell r="D1810" t="str">
            <v/>
          </cell>
          <cell r="E1810" t="str">
            <v/>
          </cell>
          <cell r="F1810" t="str">
            <v/>
          </cell>
          <cell r="G1810"/>
        </row>
        <row r="1811">
          <cell r="A1811" t="str">
            <v/>
          </cell>
          <cell r="B1811" t="str">
            <v/>
          </cell>
          <cell r="C1811" t="str">
            <v/>
          </cell>
          <cell r="D1811" t="str">
            <v/>
          </cell>
          <cell r="E1811" t="str">
            <v/>
          </cell>
          <cell r="F1811" t="str">
            <v/>
          </cell>
          <cell r="G1811"/>
        </row>
        <row r="1812">
          <cell r="A1812" t="str">
            <v/>
          </cell>
          <cell r="B1812" t="str">
            <v/>
          </cell>
          <cell r="C1812" t="str">
            <v/>
          </cell>
          <cell r="D1812" t="str">
            <v/>
          </cell>
          <cell r="E1812" t="str">
            <v/>
          </cell>
          <cell r="F1812" t="str">
            <v/>
          </cell>
          <cell r="G1812"/>
        </row>
        <row r="1813">
          <cell r="A1813" t="str">
            <v/>
          </cell>
          <cell r="B1813" t="str">
            <v/>
          </cell>
          <cell r="C1813" t="str">
            <v/>
          </cell>
          <cell r="D1813" t="str">
            <v/>
          </cell>
          <cell r="E1813" t="str">
            <v/>
          </cell>
          <cell r="F1813" t="str">
            <v/>
          </cell>
          <cell r="G1813"/>
        </row>
        <row r="1814">
          <cell r="A1814" t="str">
            <v/>
          </cell>
          <cell r="B1814" t="str">
            <v/>
          </cell>
          <cell r="C1814" t="str">
            <v/>
          </cell>
          <cell r="D1814" t="str">
            <v/>
          </cell>
          <cell r="E1814" t="str">
            <v/>
          </cell>
          <cell r="F1814" t="str">
            <v/>
          </cell>
          <cell r="G1814"/>
        </row>
        <row r="1815">
          <cell r="A1815" t="str">
            <v/>
          </cell>
          <cell r="B1815" t="str">
            <v/>
          </cell>
          <cell r="C1815" t="str">
            <v/>
          </cell>
          <cell r="D1815" t="str">
            <v/>
          </cell>
          <cell r="E1815" t="str">
            <v/>
          </cell>
          <cell r="F1815" t="str">
            <v/>
          </cell>
          <cell r="G1815"/>
        </row>
        <row r="1816">
          <cell r="A1816" t="str">
            <v/>
          </cell>
          <cell r="B1816" t="str">
            <v/>
          </cell>
          <cell r="C1816" t="str">
            <v/>
          </cell>
          <cell r="D1816" t="str">
            <v/>
          </cell>
          <cell r="E1816" t="str">
            <v/>
          </cell>
          <cell r="F1816" t="str">
            <v/>
          </cell>
          <cell r="G1816"/>
        </row>
        <row r="1817">
          <cell r="A1817" t="str">
            <v/>
          </cell>
          <cell r="B1817" t="str">
            <v/>
          </cell>
          <cell r="C1817" t="str">
            <v/>
          </cell>
          <cell r="D1817" t="str">
            <v/>
          </cell>
          <cell r="E1817" t="str">
            <v/>
          </cell>
          <cell r="F1817" t="str">
            <v/>
          </cell>
          <cell r="G1817"/>
        </row>
        <row r="1818">
          <cell r="A1818" t="str">
            <v/>
          </cell>
          <cell r="B1818" t="str">
            <v/>
          </cell>
          <cell r="C1818" t="str">
            <v/>
          </cell>
          <cell r="D1818" t="str">
            <v/>
          </cell>
          <cell r="E1818" t="str">
            <v/>
          </cell>
          <cell r="F1818" t="str">
            <v/>
          </cell>
          <cell r="G1818"/>
        </row>
        <row r="1819">
          <cell r="A1819" t="str">
            <v/>
          </cell>
          <cell r="B1819" t="str">
            <v/>
          </cell>
          <cell r="C1819" t="str">
            <v/>
          </cell>
          <cell r="D1819" t="str">
            <v/>
          </cell>
          <cell r="E1819" t="str">
            <v/>
          </cell>
          <cell r="F1819" t="str">
            <v/>
          </cell>
          <cell r="G1819"/>
        </row>
        <row r="1820">
          <cell r="A1820" t="str">
            <v/>
          </cell>
          <cell r="B1820" t="str">
            <v/>
          </cell>
          <cell r="C1820" t="str">
            <v/>
          </cell>
          <cell r="D1820" t="str">
            <v/>
          </cell>
          <cell r="E1820" t="str">
            <v/>
          </cell>
          <cell r="F1820" t="str">
            <v/>
          </cell>
          <cell r="G1820"/>
        </row>
        <row r="1821">
          <cell r="A1821" t="str">
            <v/>
          </cell>
          <cell r="B1821" t="str">
            <v/>
          </cell>
          <cell r="C1821" t="str">
            <v/>
          </cell>
          <cell r="D1821" t="str">
            <v/>
          </cell>
          <cell r="E1821" t="str">
            <v/>
          </cell>
          <cell r="F1821" t="str">
            <v/>
          </cell>
          <cell r="G1821"/>
        </row>
        <row r="1822">
          <cell r="A1822" t="str">
            <v/>
          </cell>
          <cell r="B1822" t="str">
            <v/>
          </cell>
          <cell r="C1822" t="str">
            <v/>
          </cell>
          <cell r="D1822" t="str">
            <v/>
          </cell>
          <cell r="E1822" t="str">
            <v/>
          </cell>
          <cell r="F1822" t="str">
            <v/>
          </cell>
          <cell r="G1822"/>
        </row>
        <row r="1823">
          <cell r="A1823" t="str">
            <v/>
          </cell>
          <cell r="B1823" t="str">
            <v/>
          </cell>
          <cell r="C1823" t="str">
            <v/>
          </cell>
          <cell r="D1823" t="str">
            <v/>
          </cell>
          <cell r="E1823" t="str">
            <v/>
          </cell>
          <cell r="F1823" t="str">
            <v/>
          </cell>
          <cell r="G1823"/>
        </row>
        <row r="1824">
          <cell r="A1824" t="str">
            <v/>
          </cell>
          <cell r="B1824" t="str">
            <v/>
          </cell>
          <cell r="C1824" t="str">
            <v/>
          </cell>
          <cell r="D1824" t="str">
            <v/>
          </cell>
          <cell r="E1824" t="str">
            <v/>
          </cell>
          <cell r="F1824" t="str">
            <v/>
          </cell>
          <cell r="G1824"/>
        </row>
        <row r="1825">
          <cell r="A1825" t="str">
            <v/>
          </cell>
          <cell r="B1825" t="str">
            <v/>
          </cell>
          <cell r="C1825" t="str">
            <v/>
          </cell>
          <cell r="D1825" t="str">
            <v/>
          </cell>
          <cell r="E1825" t="str">
            <v/>
          </cell>
          <cell r="F1825" t="str">
            <v/>
          </cell>
          <cell r="G1825"/>
        </row>
        <row r="1826">
          <cell r="A1826" t="str">
            <v/>
          </cell>
          <cell r="B1826" t="str">
            <v/>
          </cell>
          <cell r="C1826" t="str">
            <v/>
          </cell>
          <cell r="D1826" t="str">
            <v/>
          </cell>
          <cell r="E1826" t="str">
            <v/>
          </cell>
          <cell r="F1826" t="str">
            <v/>
          </cell>
          <cell r="G1826"/>
        </row>
        <row r="1827">
          <cell r="A1827" t="str">
            <v/>
          </cell>
          <cell r="B1827" t="str">
            <v/>
          </cell>
          <cell r="C1827" t="str">
            <v/>
          </cell>
          <cell r="D1827" t="str">
            <v/>
          </cell>
          <cell r="E1827" t="str">
            <v/>
          </cell>
          <cell r="F1827" t="str">
            <v/>
          </cell>
          <cell r="G1827"/>
        </row>
        <row r="1828">
          <cell r="A1828" t="str">
            <v/>
          </cell>
          <cell r="B1828" t="str">
            <v/>
          </cell>
          <cell r="C1828" t="str">
            <v/>
          </cell>
          <cell r="D1828" t="str">
            <v/>
          </cell>
          <cell r="E1828" t="str">
            <v/>
          </cell>
          <cell r="F1828" t="str">
            <v/>
          </cell>
          <cell r="G1828"/>
        </row>
        <row r="1829">
          <cell r="A1829" t="str">
            <v/>
          </cell>
          <cell r="B1829" t="str">
            <v/>
          </cell>
          <cell r="C1829" t="str">
            <v/>
          </cell>
          <cell r="D1829" t="str">
            <v/>
          </cell>
          <cell r="E1829" t="str">
            <v/>
          </cell>
          <cell r="F1829" t="str">
            <v/>
          </cell>
          <cell r="G1829"/>
        </row>
        <row r="1830">
          <cell r="A1830" t="str">
            <v/>
          </cell>
          <cell r="B1830" t="str">
            <v/>
          </cell>
          <cell r="C1830" t="str">
            <v/>
          </cell>
          <cell r="D1830" t="str">
            <v/>
          </cell>
          <cell r="E1830" t="str">
            <v/>
          </cell>
          <cell r="F1830" t="str">
            <v/>
          </cell>
          <cell r="G1830"/>
        </row>
        <row r="1831">
          <cell r="A1831" t="str">
            <v/>
          </cell>
          <cell r="B1831" t="str">
            <v/>
          </cell>
          <cell r="C1831" t="str">
            <v/>
          </cell>
          <cell r="D1831" t="str">
            <v/>
          </cell>
          <cell r="E1831" t="str">
            <v/>
          </cell>
          <cell r="F1831" t="str">
            <v/>
          </cell>
          <cell r="G1831"/>
        </row>
        <row r="1832">
          <cell r="A1832" t="str">
            <v/>
          </cell>
          <cell r="B1832" t="str">
            <v/>
          </cell>
          <cell r="C1832" t="str">
            <v/>
          </cell>
          <cell r="D1832" t="str">
            <v/>
          </cell>
          <cell r="E1832" t="str">
            <v/>
          </cell>
          <cell r="F1832" t="str">
            <v/>
          </cell>
          <cell r="G1832"/>
        </row>
        <row r="1833">
          <cell r="A1833" t="str">
            <v/>
          </cell>
          <cell r="B1833" t="str">
            <v/>
          </cell>
          <cell r="C1833" t="str">
            <v/>
          </cell>
          <cell r="D1833" t="str">
            <v/>
          </cell>
          <cell r="E1833" t="str">
            <v/>
          </cell>
          <cell r="F1833" t="str">
            <v/>
          </cell>
          <cell r="G1833"/>
        </row>
        <row r="1834">
          <cell r="A1834" t="str">
            <v/>
          </cell>
          <cell r="B1834" t="str">
            <v/>
          </cell>
          <cell r="C1834" t="str">
            <v/>
          </cell>
          <cell r="D1834" t="str">
            <v/>
          </cell>
          <cell r="E1834" t="str">
            <v/>
          </cell>
          <cell r="F1834" t="str">
            <v/>
          </cell>
          <cell r="G1834"/>
        </row>
        <row r="1835">
          <cell r="A1835" t="str">
            <v/>
          </cell>
          <cell r="B1835" t="str">
            <v/>
          </cell>
          <cell r="C1835" t="str">
            <v/>
          </cell>
          <cell r="D1835" t="str">
            <v/>
          </cell>
          <cell r="E1835" t="str">
            <v/>
          </cell>
          <cell r="F1835" t="str">
            <v/>
          </cell>
          <cell r="G1835"/>
        </row>
        <row r="1836">
          <cell r="A1836" t="str">
            <v/>
          </cell>
          <cell r="B1836" t="str">
            <v/>
          </cell>
          <cell r="C1836" t="str">
            <v/>
          </cell>
          <cell r="D1836" t="str">
            <v/>
          </cell>
          <cell r="E1836" t="str">
            <v/>
          </cell>
          <cell r="F1836" t="str">
            <v/>
          </cell>
          <cell r="G1836"/>
        </row>
        <row r="1837">
          <cell r="A1837" t="str">
            <v/>
          </cell>
          <cell r="B1837" t="str">
            <v/>
          </cell>
          <cell r="C1837" t="str">
            <v/>
          </cell>
          <cell r="D1837" t="str">
            <v/>
          </cell>
          <cell r="E1837" t="str">
            <v/>
          </cell>
          <cell r="F1837" t="str">
            <v/>
          </cell>
          <cell r="G1837"/>
        </row>
        <row r="1838">
          <cell r="A1838" t="str">
            <v/>
          </cell>
          <cell r="B1838" t="str">
            <v/>
          </cell>
          <cell r="C1838" t="str">
            <v/>
          </cell>
          <cell r="D1838" t="str">
            <v/>
          </cell>
          <cell r="E1838" t="str">
            <v/>
          </cell>
          <cell r="F1838" t="str">
            <v/>
          </cell>
          <cell r="G1838"/>
        </row>
        <row r="1839">
          <cell r="A1839" t="str">
            <v/>
          </cell>
          <cell r="B1839" t="str">
            <v/>
          </cell>
          <cell r="C1839" t="str">
            <v/>
          </cell>
          <cell r="D1839" t="str">
            <v/>
          </cell>
          <cell r="E1839" t="str">
            <v/>
          </cell>
          <cell r="F1839" t="str">
            <v/>
          </cell>
          <cell r="G1839"/>
        </row>
        <row r="1840">
          <cell r="A1840" t="str">
            <v/>
          </cell>
          <cell r="B1840" t="str">
            <v/>
          </cell>
          <cell r="C1840" t="str">
            <v/>
          </cell>
          <cell r="D1840" t="str">
            <v/>
          </cell>
          <cell r="E1840" t="str">
            <v/>
          </cell>
          <cell r="F1840" t="str">
            <v/>
          </cell>
          <cell r="G1840"/>
        </row>
        <row r="1841">
          <cell r="A1841" t="str">
            <v/>
          </cell>
          <cell r="B1841" t="str">
            <v/>
          </cell>
          <cell r="C1841" t="str">
            <v/>
          </cell>
          <cell r="D1841" t="str">
            <v/>
          </cell>
          <cell r="E1841" t="str">
            <v/>
          </cell>
          <cell r="F1841" t="str">
            <v/>
          </cell>
          <cell r="G1841"/>
        </row>
        <row r="1842">
          <cell r="A1842" t="str">
            <v/>
          </cell>
          <cell r="B1842" t="str">
            <v/>
          </cell>
          <cell r="C1842" t="str">
            <v/>
          </cell>
          <cell r="D1842" t="str">
            <v/>
          </cell>
          <cell r="E1842" t="str">
            <v/>
          </cell>
          <cell r="F1842" t="str">
            <v/>
          </cell>
          <cell r="G1842"/>
        </row>
        <row r="1843">
          <cell r="A1843" t="str">
            <v/>
          </cell>
          <cell r="B1843" t="str">
            <v/>
          </cell>
          <cell r="C1843" t="str">
            <v/>
          </cell>
          <cell r="D1843" t="str">
            <v/>
          </cell>
          <cell r="E1843" t="str">
            <v/>
          </cell>
          <cell r="F1843" t="str">
            <v/>
          </cell>
          <cell r="G1843"/>
        </row>
        <row r="1844">
          <cell r="A1844" t="str">
            <v/>
          </cell>
          <cell r="B1844" t="str">
            <v/>
          </cell>
          <cell r="C1844" t="str">
            <v/>
          </cell>
          <cell r="D1844" t="str">
            <v/>
          </cell>
          <cell r="E1844" t="str">
            <v/>
          </cell>
          <cell r="F1844" t="str">
            <v/>
          </cell>
          <cell r="G1844"/>
        </row>
        <row r="1845">
          <cell r="A1845" t="str">
            <v/>
          </cell>
          <cell r="B1845" t="str">
            <v/>
          </cell>
          <cell r="C1845" t="str">
            <v/>
          </cell>
          <cell r="D1845" t="str">
            <v/>
          </cell>
          <cell r="E1845" t="str">
            <v/>
          </cell>
          <cell r="F1845" t="str">
            <v/>
          </cell>
          <cell r="G1845"/>
        </row>
        <row r="1846">
          <cell r="A1846" t="str">
            <v/>
          </cell>
          <cell r="B1846" t="str">
            <v/>
          </cell>
          <cell r="C1846" t="str">
            <v/>
          </cell>
          <cell r="D1846" t="str">
            <v/>
          </cell>
          <cell r="E1846" t="str">
            <v/>
          </cell>
          <cell r="F1846" t="str">
            <v/>
          </cell>
          <cell r="G1846"/>
        </row>
        <row r="1847">
          <cell r="A1847" t="str">
            <v/>
          </cell>
          <cell r="B1847" t="str">
            <v/>
          </cell>
          <cell r="C1847" t="str">
            <v/>
          </cell>
          <cell r="D1847" t="str">
            <v/>
          </cell>
          <cell r="E1847" t="str">
            <v/>
          </cell>
          <cell r="F1847" t="str">
            <v/>
          </cell>
          <cell r="G1847"/>
        </row>
        <row r="1848">
          <cell r="A1848" t="str">
            <v/>
          </cell>
          <cell r="B1848" t="str">
            <v/>
          </cell>
          <cell r="C1848" t="str">
            <v/>
          </cell>
          <cell r="D1848" t="str">
            <v/>
          </cell>
          <cell r="E1848" t="str">
            <v/>
          </cell>
          <cell r="F1848" t="str">
            <v/>
          </cell>
          <cell r="G1848"/>
        </row>
        <row r="1849">
          <cell r="A1849" t="str">
            <v/>
          </cell>
          <cell r="B1849" t="str">
            <v/>
          </cell>
          <cell r="C1849" t="str">
            <v/>
          </cell>
          <cell r="D1849" t="str">
            <v/>
          </cell>
          <cell r="E1849" t="str">
            <v/>
          </cell>
          <cell r="F1849" t="str">
            <v/>
          </cell>
          <cell r="G1849"/>
        </row>
        <row r="1850">
          <cell r="A1850" t="str">
            <v/>
          </cell>
          <cell r="B1850" t="str">
            <v/>
          </cell>
          <cell r="C1850" t="str">
            <v/>
          </cell>
          <cell r="D1850" t="str">
            <v/>
          </cell>
          <cell r="E1850" t="str">
            <v/>
          </cell>
          <cell r="F1850" t="str">
            <v/>
          </cell>
          <cell r="G1850"/>
        </row>
        <row r="1851">
          <cell r="A1851" t="str">
            <v/>
          </cell>
          <cell r="B1851" t="str">
            <v/>
          </cell>
          <cell r="C1851" t="str">
            <v/>
          </cell>
          <cell r="D1851" t="str">
            <v/>
          </cell>
          <cell r="E1851" t="str">
            <v/>
          </cell>
          <cell r="F1851" t="str">
            <v/>
          </cell>
          <cell r="G1851"/>
        </row>
        <row r="1852">
          <cell r="A1852" t="str">
            <v/>
          </cell>
          <cell r="B1852" t="str">
            <v/>
          </cell>
          <cell r="C1852" t="str">
            <v/>
          </cell>
          <cell r="D1852" t="str">
            <v/>
          </cell>
          <cell r="E1852" t="str">
            <v/>
          </cell>
          <cell r="F1852" t="str">
            <v/>
          </cell>
          <cell r="G1852"/>
        </row>
        <row r="1853">
          <cell r="A1853" t="str">
            <v/>
          </cell>
          <cell r="B1853" t="str">
            <v/>
          </cell>
          <cell r="C1853" t="str">
            <v/>
          </cell>
          <cell r="D1853" t="str">
            <v/>
          </cell>
          <cell r="E1853" t="str">
            <v/>
          </cell>
          <cell r="F1853" t="str">
            <v/>
          </cell>
          <cell r="G1853"/>
        </row>
        <row r="1854">
          <cell r="A1854" t="str">
            <v/>
          </cell>
          <cell r="B1854" t="str">
            <v/>
          </cell>
          <cell r="C1854" t="str">
            <v/>
          </cell>
          <cell r="D1854" t="str">
            <v/>
          </cell>
          <cell r="E1854" t="str">
            <v/>
          </cell>
          <cell r="F1854" t="str">
            <v/>
          </cell>
          <cell r="G1854"/>
        </row>
        <row r="1855">
          <cell r="A1855" t="str">
            <v/>
          </cell>
          <cell r="B1855" t="str">
            <v/>
          </cell>
          <cell r="C1855" t="str">
            <v/>
          </cell>
          <cell r="D1855" t="str">
            <v/>
          </cell>
          <cell r="E1855" t="str">
            <v/>
          </cell>
          <cell r="F1855" t="str">
            <v/>
          </cell>
          <cell r="G1855"/>
        </row>
        <row r="1856">
          <cell r="A1856" t="str">
            <v/>
          </cell>
          <cell r="B1856" t="str">
            <v/>
          </cell>
          <cell r="C1856" t="str">
            <v/>
          </cell>
          <cell r="D1856" t="str">
            <v/>
          </cell>
          <cell r="E1856" t="str">
            <v/>
          </cell>
          <cell r="F1856" t="str">
            <v/>
          </cell>
          <cell r="G1856"/>
        </row>
        <row r="1857">
          <cell r="A1857" t="str">
            <v/>
          </cell>
          <cell r="B1857" t="str">
            <v/>
          </cell>
          <cell r="C1857" t="str">
            <v/>
          </cell>
          <cell r="D1857" t="str">
            <v/>
          </cell>
          <cell r="E1857" t="str">
            <v/>
          </cell>
          <cell r="F1857" t="str">
            <v/>
          </cell>
          <cell r="G1857"/>
        </row>
        <row r="1858">
          <cell r="A1858" t="str">
            <v/>
          </cell>
          <cell r="B1858" t="str">
            <v/>
          </cell>
          <cell r="C1858" t="str">
            <v/>
          </cell>
          <cell r="D1858" t="str">
            <v/>
          </cell>
          <cell r="E1858" t="str">
            <v/>
          </cell>
          <cell r="F1858" t="str">
            <v/>
          </cell>
          <cell r="G1858"/>
        </row>
        <row r="1859">
          <cell r="A1859" t="str">
            <v/>
          </cell>
          <cell r="B1859" t="str">
            <v/>
          </cell>
          <cell r="C1859" t="str">
            <v/>
          </cell>
          <cell r="D1859" t="str">
            <v/>
          </cell>
          <cell r="E1859" t="str">
            <v/>
          </cell>
          <cell r="F1859" t="str">
            <v/>
          </cell>
          <cell r="G1859"/>
        </row>
        <row r="1860">
          <cell r="A1860" t="str">
            <v/>
          </cell>
          <cell r="B1860" t="str">
            <v/>
          </cell>
          <cell r="C1860" t="str">
            <v/>
          </cell>
          <cell r="D1860" t="str">
            <v/>
          </cell>
          <cell r="E1860" t="str">
            <v/>
          </cell>
          <cell r="F1860" t="str">
            <v/>
          </cell>
          <cell r="G1860"/>
        </row>
        <row r="1861">
          <cell r="A1861" t="str">
            <v/>
          </cell>
          <cell r="B1861" t="str">
            <v/>
          </cell>
          <cell r="C1861" t="str">
            <v/>
          </cell>
          <cell r="D1861" t="str">
            <v/>
          </cell>
          <cell r="E1861" t="str">
            <v/>
          </cell>
          <cell r="F1861" t="str">
            <v/>
          </cell>
          <cell r="G1861"/>
        </row>
        <row r="1862">
          <cell r="A1862" t="str">
            <v/>
          </cell>
          <cell r="B1862" t="str">
            <v/>
          </cell>
          <cell r="C1862" t="str">
            <v/>
          </cell>
          <cell r="D1862" t="str">
            <v/>
          </cell>
          <cell r="E1862" t="str">
            <v/>
          </cell>
          <cell r="F1862" t="str">
            <v/>
          </cell>
          <cell r="G1862"/>
        </row>
        <row r="1863">
          <cell r="A1863" t="str">
            <v/>
          </cell>
          <cell r="B1863" t="str">
            <v/>
          </cell>
          <cell r="C1863" t="str">
            <v/>
          </cell>
          <cell r="D1863" t="str">
            <v/>
          </cell>
          <cell r="E1863" t="str">
            <v/>
          </cell>
          <cell r="F1863" t="str">
            <v/>
          </cell>
          <cell r="G1863"/>
        </row>
        <row r="1864">
          <cell r="A1864" t="str">
            <v/>
          </cell>
          <cell r="B1864" t="str">
            <v/>
          </cell>
          <cell r="C1864" t="str">
            <v/>
          </cell>
          <cell r="D1864" t="str">
            <v/>
          </cell>
          <cell r="E1864" t="str">
            <v/>
          </cell>
          <cell r="F1864" t="str">
            <v/>
          </cell>
          <cell r="G1864"/>
        </row>
        <row r="1865">
          <cell r="A1865" t="str">
            <v/>
          </cell>
          <cell r="B1865" t="str">
            <v/>
          </cell>
          <cell r="C1865" t="str">
            <v/>
          </cell>
          <cell r="D1865" t="str">
            <v/>
          </cell>
          <cell r="E1865" t="str">
            <v/>
          </cell>
          <cell r="F1865" t="str">
            <v/>
          </cell>
          <cell r="G1865"/>
        </row>
        <row r="1866">
          <cell r="A1866" t="str">
            <v/>
          </cell>
          <cell r="B1866" t="str">
            <v/>
          </cell>
          <cell r="C1866" t="str">
            <v/>
          </cell>
          <cell r="D1866" t="str">
            <v/>
          </cell>
          <cell r="E1866" t="str">
            <v/>
          </cell>
          <cell r="F1866" t="str">
            <v/>
          </cell>
          <cell r="G1866"/>
        </row>
        <row r="1867">
          <cell r="A1867" t="str">
            <v/>
          </cell>
          <cell r="B1867" t="str">
            <v/>
          </cell>
          <cell r="C1867" t="str">
            <v/>
          </cell>
          <cell r="D1867" t="str">
            <v/>
          </cell>
          <cell r="E1867" t="str">
            <v/>
          </cell>
          <cell r="F1867" t="str">
            <v/>
          </cell>
          <cell r="G1867"/>
        </row>
        <row r="1868">
          <cell r="A1868" t="str">
            <v/>
          </cell>
          <cell r="B1868" t="str">
            <v/>
          </cell>
          <cell r="C1868" t="str">
            <v/>
          </cell>
          <cell r="D1868" t="str">
            <v/>
          </cell>
          <cell r="E1868" t="str">
            <v/>
          </cell>
          <cell r="F1868" t="str">
            <v/>
          </cell>
          <cell r="G1868"/>
        </row>
        <row r="1869">
          <cell r="A1869" t="str">
            <v/>
          </cell>
          <cell r="B1869" t="str">
            <v/>
          </cell>
          <cell r="C1869" t="str">
            <v/>
          </cell>
          <cell r="D1869" t="str">
            <v/>
          </cell>
          <cell r="E1869" t="str">
            <v/>
          </cell>
          <cell r="F1869" t="str">
            <v/>
          </cell>
          <cell r="G1869"/>
        </row>
        <row r="1870">
          <cell r="A1870" t="str">
            <v/>
          </cell>
          <cell r="B1870" t="str">
            <v/>
          </cell>
          <cell r="C1870" t="str">
            <v/>
          </cell>
          <cell r="D1870" t="str">
            <v/>
          </cell>
          <cell r="E1870" t="str">
            <v/>
          </cell>
          <cell r="F1870" t="str">
            <v/>
          </cell>
          <cell r="G1870"/>
        </row>
        <row r="1871">
          <cell r="A1871" t="str">
            <v/>
          </cell>
          <cell r="B1871" t="str">
            <v/>
          </cell>
          <cell r="C1871" t="str">
            <v/>
          </cell>
          <cell r="D1871" t="str">
            <v/>
          </cell>
          <cell r="E1871" t="str">
            <v/>
          </cell>
          <cell r="F1871" t="str">
            <v/>
          </cell>
          <cell r="G1871"/>
        </row>
        <row r="1872">
          <cell r="A1872" t="str">
            <v/>
          </cell>
          <cell r="B1872" t="str">
            <v/>
          </cell>
          <cell r="C1872" t="str">
            <v/>
          </cell>
          <cell r="D1872" t="str">
            <v/>
          </cell>
          <cell r="E1872" t="str">
            <v/>
          </cell>
          <cell r="F1872" t="str">
            <v/>
          </cell>
          <cell r="G1872"/>
        </row>
        <row r="1873">
          <cell r="A1873" t="str">
            <v/>
          </cell>
          <cell r="B1873" t="str">
            <v/>
          </cell>
          <cell r="C1873" t="str">
            <v/>
          </cell>
          <cell r="D1873" t="str">
            <v/>
          </cell>
          <cell r="E1873" t="str">
            <v/>
          </cell>
          <cell r="F1873" t="str">
            <v/>
          </cell>
          <cell r="G1873"/>
        </row>
        <row r="1874">
          <cell r="A1874" t="str">
            <v/>
          </cell>
          <cell r="B1874" t="str">
            <v/>
          </cell>
          <cell r="C1874" t="str">
            <v/>
          </cell>
          <cell r="D1874" t="str">
            <v/>
          </cell>
          <cell r="E1874" t="str">
            <v/>
          </cell>
          <cell r="F1874" t="str">
            <v/>
          </cell>
          <cell r="G1874"/>
        </row>
        <row r="1875">
          <cell r="A1875" t="str">
            <v/>
          </cell>
          <cell r="B1875" t="str">
            <v/>
          </cell>
          <cell r="C1875" t="str">
            <v/>
          </cell>
          <cell r="D1875" t="str">
            <v/>
          </cell>
          <cell r="E1875" t="str">
            <v/>
          </cell>
          <cell r="F1875" t="str">
            <v/>
          </cell>
          <cell r="G1875"/>
        </row>
        <row r="1876">
          <cell r="A1876" t="str">
            <v/>
          </cell>
          <cell r="B1876" t="str">
            <v/>
          </cell>
          <cell r="C1876" t="str">
            <v/>
          </cell>
          <cell r="D1876" t="str">
            <v/>
          </cell>
          <cell r="E1876" t="str">
            <v/>
          </cell>
          <cell r="F1876" t="str">
            <v/>
          </cell>
          <cell r="G1876"/>
        </row>
        <row r="1877">
          <cell r="A1877" t="str">
            <v/>
          </cell>
          <cell r="B1877" t="str">
            <v/>
          </cell>
          <cell r="C1877" t="str">
            <v/>
          </cell>
          <cell r="D1877" t="str">
            <v/>
          </cell>
          <cell r="E1877" t="str">
            <v/>
          </cell>
          <cell r="F1877" t="str">
            <v/>
          </cell>
          <cell r="G1877"/>
        </row>
        <row r="1878">
          <cell r="A1878" t="str">
            <v/>
          </cell>
          <cell r="B1878" t="str">
            <v/>
          </cell>
          <cell r="C1878" t="str">
            <v/>
          </cell>
          <cell r="D1878" t="str">
            <v/>
          </cell>
          <cell r="E1878" t="str">
            <v/>
          </cell>
          <cell r="F1878" t="str">
            <v/>
          </cell>
          <cell r="G1878"/>
        </row>
        <row r="1879">
          <cell r="A1879" t="str">
            <v/>
          </cell>
          <cell r="B1879" t="str">
            <v/>
          </cell>
          <cell r="C1879" t="str">
            <v/>
          </cell>
          <cell r="D1879" t="str">
            <v/>
          </cell>
          <cell r="E1879" t="str">
            <v/>
          </cell>
          <cell r="F1879" t="str">
            <v/>
          </cell>
          <cell r="G1879"/>
        </row>
        <row r="1880">
          <cell r="A1880" t="str">
            <v/>
          </cell>
          <cell r="B1880" t="str">
            <v/>
          </cell>
          <cell r="C1880" t="str">
            <v/>
          </cell>
          <cell r="D1880" t="str">
            <v/>
          </cell>
          <cell r="E1880" t="str">
            <v/>
          </cell>
          <cell r="F1880" t="str">
            <v/>
          </cell>
          <cell r="G1880"/>
        </row>
        <row r="1881">
          <cell r="A1881" t="str">
            <v/>
          </cell>
          <cell r="B1881" t="str">
            <v/>
          </cell>
          <cell r="C1881" t="str">
            <v/>
          </cell>
          <cell r="D1881" t="str">
            <v/>
          </cell>
          <cell r="E1881" t="str">
            <v/>
          </cell>
          <cell r="F1881" t="str">
            <v/>
          </cell>
          <cell r="G1881"/>
        </row>
        <row r="1882">
          <cell r="A1882" t="str">
            <v/>
          </cell>
          <cell r="B1882" t="str">
            <v/>
          </cell>
          <cell r="C1882" t="str">
            <v/>
          </cell>
          <cell r="D1882" t="str">
            <v/>
          </cell>
          <cell r="E1882" t="str">
            <v/>
          </cell>
          <cell r="F1882" t="str">
            <v/>
          </cell>
          <cell r="G1882"/>
        </row>
        <row r="1883">
          <cell r="A1883" t="str">
            <v/>
          </cell>
          <cell r="B1883" t="str">
            <v/>
          </cell>
          <cell r="C1883" t="str">
            <v/>
          </cell>
          <cell r="D1883" t="str">
            <v/>
          </cell>
          <cell r="E1883" t="str">
            <v/>
          </cell>
          <cell r="F1883" t="str">
            <v/>
          </cell>
          <cell r="G1883"/>
        </row>
        <row r="1884">
          <cell r="A1884" t="str">
            <v/>
          </cell>
          <cell r="B1884" t="str">
            <v/>
          </cell>
          <cell r="C1884" t="str">
            <v/>
          </cell>
          <cell r="D1884" t="str">
            <v/>
          </cell>
          <cell r="E1884" t="str">
            <v/>
          </cell>
          <cell r="F1884" t="str">
            <v/>
          </cell>
          <cell r="G1884"/>
        </row>
        <row r="1885">
          <cell r="A1885" t="str">
            <v/>
          </cell>
          <cell r="B1885" t="str">
            <v/>
          </cell>
          <cell r="C1885" t="str">
            <v/>
          </cell>
          <cell r="D1885" t="str">
            <v/>
          </cell>
          <cell r="E1885" t="str">
            <v/>
          </cell>
          <cell r="F1885" t="str">
            <v/>
          </cell>
          <cell r="G1885"/>
        </row>
        <row r="1886">
          <cell r="A1886" t="str">
            <v/>
          </cell>
          <cell r="B1886" t="str">
            <v/>
          </cell>
          <cell r="C1886" t="str">
            <v/>
          </cell>
          <cell r="D1886" t="str">
            <v/>
          </cell>
          <cell r="E1886" t="str">
            <v/>
          </cell>
          <cell r="F1886" t="str">
            <v/>
          </cell>
          <cell r="G1886"/>
        </row>
        <row r="1887">
          <cell r="A1887" t="str">
            <v/>
          </cell>
          <cell r="B1887" t="str">
            <v/>
          </cell>
          <cell r="C1887" t="str">
            <v/>
          </cell>
          <cell r="D1887" t="str">
            <v/>
          </cell>
          <cell r="E1887" t="str">
            <v/>
          </cell>
          <cell r="F1887" t="str">
            <v/>
          </cell>
          <cell r="G1887"/>
        </row>
        <row r="1888">
          <cell r="A1888" t="str">
            <v/>
          </cell>
          <cell r="B1888" t="str">
            <v/>
          </cell>
          <cell r="C1888" t="str">
            <v/>
          </cell>
          <cell r="D1888" t="str">
            <v/>
          </cell>
          <cell r="E1888" t="str">
            <v/>
          </cell>
          <cell r="F1888" t="str">
            <v/>
          </cell>
          <cell r="G1888"/>
        </row>
        <row r="1889">
          <cell r="A1889" t="str">
            <v/>
          </cell>
          <cell r="B1889" t="str">
            <v/>
          </cell>
          <cell r="C1889" t="str">
            <v/>
          </cell>
          <cell r="D1889" t="str">
            <v/>
          </cell>
          <cell r="E1889" t="str">
            <v/>
          </cell>
          <cell r="F1889" t="str">
            <v/>
          </cell>
          <cell r="G1889"/>
        </row>
        <row r="1890">
          <cell r="A1890" t="str">
            <v/>
          </cell>
          <cell r="B1890" t="str">
            <v/>
          </cell>
          <cell r="C1890" t="str">
            <v/>
          </cell>
          <cell r="D1890" t="str">
            <v/>
          </cell>
          <cell r="E1890" t="str">
            <v/>
          </cell>
          <cell r="F1890" t="str">
            <v/>
          </cell>
          <cell r="G1890"/>
        </row>
        <row r="1891">
          <cell r="A1891" t="str">
            <v/>
          </cell>
          <cell r="B1891" t="str">
            <v/>
          </cell>
          <cell r="C1891" t="str">
            <v/>
          </cell>
          <cell r="D1891" t="str">
            <v/>
          </cell>
          <cell r="E1891" t="str">
            <v/>
          </cell>
          <cell r="F1891" t="str">
            <v/>
          </cell>
          <cell r="G1891"/>
        </row>
        <row r="1892">
          <cell r="A1892" t="str">
            <v/>
          </cell>
          <cell r="B1892" t="str">
            <v/>
          </cell>
          <cell r="C1892" t="str">
            <v/>
          </cell>
          <cell r="D1892" t="str">
            <v/>
          </cell>
          <cell r="E1892" t="str">
            <v/>
          </cell>
          <cell r="F1892" t="str">
            <v/>
          </cell>
          <cell r="G1892"/>
        </row>
        <row r="1893">
          <cell r="A1893" t="str">
            <v/>
          </cell>
          <cell r="B1893" t="str">
            <v/>
          </cell>
          <cell r="C1893" t="str">
            <v/>
          </cell>
          <cell r="D1893" t="str">
            <v/>
          </cell>
          <cell r="E1893" t="str">
            <v/>
          </cell>
          <cell r="F1893" t="str">
            <v/>
          </cell>
          <cell r="G1893"/>
        </row>
        <row r="1894">
          <cell r="A1894" t="str">
            <v/>
          </cell>
          <cell r="B1894" t="str">
            <v/>
          </cell>
          <cell r="C1894" t="str">
            <v/>
          </cell>
          <cell r="D1894" t="str">
            <v/>
          </cell>
          <cell r="E1894" t="str">
            <v/>
          </cell>
          <cell r="F1894" t="str">
            <v/>
          </cell>
          <cell r="G1894"/>
        </row>
        <row r="1895">
          <cell r="A1895" t="str">
            <v/>
          </cell>
          <cell r="B1895" t="str">
            <v/>
          </cell>
          <cell r="C1895" t="str">
            <v/>
          </cell>
          <cell r="D1895" t="str">
            <v/>
          </cell>
          <cell r="E1895" t="str">
            <v/>
          </cell>
          <cell r="F1895" t="str">
            <v/>
          </cell>
          <cell r="G1895"/>
        </row>
        <row r="1896">
          <cell r="A1896" t="str">
            <v/>
          </cell>
          <cell r="B1896" t="str">
            <v/>
          </cell>
          <cell r="C1896" t="str">
            <v/>
          </cell>
          <cell r="D1896" t="str">
            <v/>
          </cell>
          <cell r="E1896" t="str">
            <v/>
          </cell>
          <cell r="F1896" t="str">
            <v/>
          </cell>
          <cell r="G1896"/>
        </row>
        <row r="1897">
          <cell r="A1897" t="str">
            <v/>
          </cell>
          <cell r="B1897" t="str">
            <v/>
          </cell>
          <cell r="C1897" t="str">
            <v/>
          </cell>
          <cell r="D1897" t="str">
            <v/>
          </cell>
          <cell r="E1897" t="str">
            <v/>
          </cell>
          <cell r="F1897" t="str">
            <v/>
          </cell>
          <cell r="G1897"/>
        </row>
        <row r="1898">
          <cell r="A1898" t="str">
            <v/>
          </cell>
          <cell r="B1898" t="str">
            <v/>
          </cell>
          <cell r="C1898" t="str">
            <v/>
          </cell>
          <cell r="D1898" t="str">
            <v/>
          </cell>
          <cell r="E1898" t="str">
            <v/>
          </cell>
          <cell r="F1898" t="str">
            <v/>
          </cell>
          <cell r="G1898"/>
        </row>
        <row r="1899">
          <cell r="A1899" t="str">
            <v/>
          </cell>
          <cell r="B1899" t="str">
            <v/>
          </cell>
          <cell r="C1899" t="str">
            <v/>
          </cell>
          <cell r="D1899" t="str">
            <v/>
          </cell>
          <cell r="E1899" t="str">
            <v/>
          </cell>
          <cell r="F1899" t="str">
            <v/>
          </cell>
          <cell r="G1899"/>
        </row>
        <row r="1900">
          <cell r="A1900" t="str">
            <v/>
          </cell>
          <cell r="B1900" t="str">
            <v/>
          </cell>
          <cell r="C1900" t="str">
            <v/>
          </cell>
          <cell r="D1900" t="str">
            <v/>
          </cell>
          <cell r="E1900" t="str">
            <v/>
          </cell>
          <cell r="F1900" t="str">
            <v/>
          </cell>
          <cell r="G1900"/>
        </row>
        <row r="1901">
          <cell r="A1901" t="str">
            <v/>
          </cell>
          <cell r="B1901" t="str">
            <v/>
          </cell>
          <cell r="C1901" t="str">
            <v/>
          </cell>
          <cell r="D1901" t="str">
            <v/>
          </cell>
          <cell r="E1901" t="str">
            <v/>
          </cell>
          <cell r="F1901" t="str">
            <v/>
          </cell>
          <cell r="G1901"/>
        </row>
        <row r="1902">
          <cell r="A1902" t="str">
            <v/>
          </cell>
          <cell r="B1902" t="str">
            <v/>
          </cell>
          <cell r="C1902" t="str">
            <v/>
          </cell>
          <cell r="D1902" t="str">
            <v/>
          </cell>
          <cell r="E1902" t="str">
            <v/>
          </cell>
          <cell r="F1902" t="str">
            <v/>
          </cell>
          <cell r="G1902"/>
        </row>
        <row r="1903">
          <cell r="A1903" t="str">
            <v/>
          </cell>
          <cell r="B1903" t="str">
            <v/>
          </cell>
          <cell r="C1903" t="str">
            <v/>
          </cell>
          <cell r="D1903" t="str">
            <v/>
          </cell>
          <cell r="E1903" t="str">
            <v/>
          </cell>
          <cell r="F1903" t="str">
            <v/>
          </cell>
          <cell r="G1903"/>
        </row>
        <row r="1904">
          <cell r="A1904" t="str">
            <v/>
          </cell>
          <cell r="B1904" t="str">
            <v/>
          </cell>
          <cell r="C1904" t="str">
            <v/>
          </cell>
          <cell r="D1904" t="str">
            <v/>
          </cell>
          <cell r="E1904" t="str">
            <v/>
          </cell>
          <cell r="F1904" t="str">
            <v/>
          </cell>
          <cell r="G1904"/>
        </row>
        <row r="1905">
          <cell r="A1905" t="str">
            <v/>
          </cell>
          <cell r="B1905" t="str">
            <v/>
          </cell>
          <cell r="C1905" t="str">
            <v/>
          </cell>
          <cell r="D1905" t="str">
            <v/>
          </cell>
          <cell r="E1905" t="str">
            <v/>
          </cell>
          <cell r="F1905" t="str">
            <v/>
          </cell>
          <cell r="G1905"/>
        </row>
        <row r="1906">
          <cell r="A1906" t="str">
            <v/>
          </cell>
          <cell r="B1906" t="str">
            <v/>
          </cell>
          <cell r="C1906" t="str">
            <v/>
          </cell>
          <cell r="D1906" t="str">
            <v/>
          </cell>
          <cell r="E1906" t="str">
            <v/>
          </cell>
          <cell r="F1906" t="str">
            <v/>
          </cell>
          <cell r="G1906"/>
        </row>
        <row r="1907">
          <cell r="A1907" t="str">
            <v/>
          </cell>
          <cell r="B1907" t="str">
            <v/>
          </cell>
          <cell r="C1907" t="str">
            <v/>
          </cell>
          <cell r="D1907" t="str">
            <v/>
          </cell>
          <cell r="E1907" t="str">
            <v/>
          </cell>
          <cell r="F1907" t="str">
            <v/>
          </cell>
          <cell r="G1907"/>
        </row>
        <row r="1908">
          <cell r="A1908" t="str">
            <v/>
          </cell>
          <cell r="B1908" t="str">
            <v/>
          </cell>
          <cell r="C1908" t="str">
            <v/>
          </cell>
          <cell r="D1908" t="str">
            <v/>
          </cell>
          <cell r="E1908" t="str">
            <v/>
          </cell>
          <cell r="F1908" t="str">
            <v/>
          </cell>
          <cell r="G1908"/>
        </row>
        <row r="1909">
          <cell r="A1909" t="str">
            <v/>
          </cell>
          <cell r="B1909" t="str">
            <v/>
          </cell>
          <cell r="C1909" t="str">
            <v/>
          </cell>
          <cell r="D1909" t="str">
            <v/>
          </cell>
          <cell r="E1909" t="str">
            <v/>
          </cell>
          <cell r="F1909" t="str">
            <v/>
          </cell>
          <cell r="G1909"/>
        </row>
        <row r="1910">
          <cell r="A1910" t="str">
            <v/>
          </cell>
          <cell r="B1910" t="str">
            <v/>
          </cell>
          <cell r="C1910" t="str">
            <v/>
          </cell>
          <cell r="D1910" t="str">
            <v/>
          </cell>
          <cell r="E1910" t="str">
            <v/>
          </cell>
          <cell r="F1910" t="str">
            <v/>
          </cell>
          <cell r="G1910"/>
        </row>
        <row r="1911">
          <cell r="A1911" t="str">
            <v/>
          </cell>
          <cell r="B1911" t="str">
            <v/>
          </cell>
          <cell r="C1911" t="str">
            <v/>
          </cell>
          <cell r="D1911" t="str">
            <v/>
          </cell>
          <cell r="E1911" t="str">
            <v/>
          </cell>
          <cell r="F1911" t="str">
            <v/>
          </cell>
          <cell r="G1911"/>
        </row>
        <row r="1912">
          <cell r="A1912" t="str">
            <v/>
          </cell>
          <cell r="B1912" t="str">
            <v/>
          </cell>
          <cell r="C1912" t="str">
            <v/>
          </cell>
          <cell r="D1912" t="str">
            <v/>
          </cell>
          <cell r="E1912" t="str">
            <v/>
          </cell>
          <cell r="F1912" t="str">
            <v/>
          </cell>
          <cell r="G1912"/>
        </row>
        <row r="1913">
          <cell r="A1913" t="str">
            <v/>
          </cell>
          <cell r="B1913" t="str">
            <v/>
          </cell>
          <cell r="C1913" t="str">
            <v/>
          </cell>
          <cell r="D1913" t="str">
            <v/>
          </cell>
          <cell r="E1913" t="str">
            <v/>
          </cell>
          <cell r="F1913" t="str">
            <v/>
          </cell>
          <cell r="G1913"/>
        </row>
        <row r="1914">
          <cell r="A1914" t="str">
            <v/>
          </cell>
          <cell r="B1914" t="str">
            <v/>
          </cell>
          <cell r="C1914" t="str">
            <v/>
          </cell>
          <cell r="D1914" t="str">
            <v/>
          </cell>
          <cell r="E1914" t="str">
            <v/>
          </cell>
          <cell r="F1914" t="str">
            <v/>
          </cell>
          <cell r="G1914"/>
        </row>
        <row r="1915">
          <cell r="A1915" t="str">
            <v/>
          </cell>
          <cell r="B1915" t="str">
            <v/>
          </cell>
          <cell r="C1915" t="str">
            <v/>
          </cell>
          <cell r="D1915" t="str">
            <v/>
          </cell>
          <cell r="E1915" t="str">
            <v/>
          </cell>
          <cell r="F1915" t="str">
            <v/>
          </cell>
          <cell r="G1915"/>
        </row>
        <row r="1916">
          <cell r="A1916" t="str">
            <v/>
          </cell>
          <cell r="B1916" t="str">
            <v/>
          </cell>
          <cell r="C1916" t="str">
            <v/>
          </cell>
          <cell r="D1916" t="str">
            <v/>
          </cell>
          <cell r="E1916" t="str">
            <v/>
          </cell>
          <cell r="F1916" t="str">
            <v/>
          </cell>
          <cell r="G1916"/>
        </row>
        <row r="1917">
          <cell r="A1917" t="str">
            <v/>
          </cell>
          <cell r="B1917" t="str">
            <v/>
          </cell>
          <cell r="C1917" t="str">
            <v/>
          </cell>
          <cell r="D1917" t="str">
            <v/>
          </cell>
          <cell r="E1917" t="str">
            <v/>
          </cell>
          <cell r="F1917" t="str">
            <v/>
          </cell>
          <cell r="G1917"/>
        </row>
        <row r="1918">
          <cell r="A1918" t="str">
            <v/>
          </cell>
          <cell r="B1918" t="str">
            <v/>
          </cell>
          <cell r="C1918" t="str">
            <v/>
          </cell>
          <cell r="D1918" t="str">
            <v/>
          </cell>
          <cell r="E1918" t="str">
            <v/>
          </cell>
          <cell r="F1918" t="str">
            <v/>
          </cell>
          <cell r="G1918"/>
        </row>
        <row r="1919">
          <cell r="A1919" t="str">
            <v/>
          </cell>
          <cell r="B1919" t="str">
            <v/>
          </cell>
          <cell r="C1919" t="str">
            <v/>
          </cell>
          <cell r="D1919" t="str">
            <v/>
          </cell>
          <cell r="E1919" t="str">
            <v/>
          </cell>
          <cell r="F1919" t="str">
            <v/>
          </cell>
          <cell r="G1919"/>
        </row>
        <row r="1920">
          <cell r="A1920" t="str">
            <v/>
          </cell>
          <cell r="B1920" t="str">
            <v/>
          </cell>
          <cell r="C1920" t="str">
            <v/>
          </cell>
          <cell r="D1920" t="str">
            <v/>
          </cell>
          <cell r="E1920" t="str">
            <v/>
          </cell>
          <cell r="F1920" t="str">
            <v/>
          </cell>
          <cell r="G1920"/>
        </row>
        <row r="1921">
          <cell r="A1921" t="str">
            <v/>
          </cell>
          <cell r="B1921" t="str">
            <v/>
          </cell>
          <cell r="C1921" t="str">
            <v/>
          </cell>
          <cell r="D1921" t="str">
            <v/>
          </cell>
          <cell r="E1921" t="str">
            <v/>
          </cell>
          <cell r="F1921" t="str">
            <v/>
          </cell>
          <cell r="G1921"/>
        </row>
        <row r="1922">
          <cell r="A1922" t="str">
            <v/>
          </cell>
          <cell r="B1922" t="str">
            <v/>
          </cell>
          <cell r="C1922" t="str">
            <v/>
          </cell>
          <cell r="D1922" t="str">
            <v/>
          </cell>
          <cell r="E1922" t="str">
            <v/>
          </cell>
          <cell r="F1922" t="str">
            <v/>
          </cell>
          <cell r="G1922"/>
        </row>
        <row r="1923">
          <cell r="A1923" t="str">
            <v/>
          </cell>
          <cell r="B1923" t="str">
            <v/>
          </cell>
          <cell r="C1923" t="str">
            <v/>
          </cell>
          <cell r="D1923" t="str">
            <v/>
          </cell>
          <cell r="E1923" t="str">
            <v/>
          </cell>
          <cell r="F1923" t="str">
            <v/>
          </cell>
          <cell r="G1923"/>
        </row>
        <row r="1924">
          <cell r="A1924" t="str">
            <v/>
          </cell>
          <cell r="B1924" t="str">
            <v/>
          </cell>
          <cell r="C1924" t="str">
            <v/>
          </cell>
          <cell r="D1924" t="str">
            <v/>
          </cell>
          <cell r="E1924" t="str">
            <v/>
          </cell>
          <cell r="F1924" t="str">
            <v/>
          </cell>
          <cell r="G1924"/>
        </row>
        <row r="1925">
          <cell r="A1925" t="str">
            <v/>
          </cell>
          <cell r="B1925" t="str">
            <v/>
          </cell>
          <cell r="C1925" t="str">
            <v/>
          </cell>
          <cell r="D1925" t="str">
            <v/>
          </cell>
          <cell r="E1925" t="str">
            <v/>
          </cell>
          <cell r="F1925" t="str">
            <v/>
          </cell>
          <cell r="G1925"/>
        </row>
        <row r="1926">
          <cell r="A1926" t="str">
            <v/>
          </cell>
          <cell r="B1926" t="str">
            <v/>
          </cell>
          <cell r="C1926" t="str">
            <v/>
          </cell>
          <cell r="D1926" t="str">
            <v/>
          </cell>
          <cell r="E1926" t="str">
            <v/>
          </cell>
          <cell r="F1926" t="str">
            <v/>
          </cell>
          <cell r="G1926"/>
        </row>
        <row r="1927">
          <cell r="A1927" t="str">
            <v/>
          </cell>
          <cell r="B1927" t="str">
            <v/>
          </cell>
          <cell r="C1927" t="str">
            <v/>
          </cell>
          <cell r="D1927" t="str">
            <v/>
          </cell>
          <cell r="E1927" t="str">
            <v/>
          </cell>
          <cell r="F1927" t="str">
            <v/>
          </cell>
          <cell r="G1927"/>
        </row>
        <row r="1928">
          <cell r="A1928" t="str">
            <v/>
          </cell>
          <cell r="B1928" t="str">
            <v/>
          </cell>
          <cell r="C1928" t="str">
            <v/>
          </cell>
          <cell r="D1928" t="str">
            <v/>
          </cell>
          <cell r="E1928" t="str">
            <v/>
          </cell>
          <cell r="F1928" t="str">
            <v/>
          </cell>
          <cell r="G1928"/>
        </row>
        <row r="1929">
          <cell r="A1929" t="str">
            <v/>
          </cell>
          <cell r="B1929" t="str">
            <v/>
          </cell>
          <cell r="C1929" t="str">
            <v/>
          </cell>
          <cell r="D1929" t="str">
            <v/>
          </cell>
          <cell r="E1929" t="str">
            <v/>
          </cell>
          <cell r="F1929" t="str">
            <v/>
          </cell>
          <cell r="G1929"/>
        </row>
        <row r="1930">
          <cell r="A1930" t="str">
            <v/>
          </cell>
          <cell r="B1930" t="str">
            <v/>
          </cell>
          <cell r="C1930" t="str">
            <v/>
          </cell>
          <cell r="D1930" t="str">
            <v/>
          </cell>
          <cell r="E1930" t="str">
            <v/>
          </cell>
          <cell r="F1930" t="str">
            <v/>
          </cell>
          <cell r="G1930"/>
        </row>
        <row r="1931">
          <cell r="A1931" t="str">
            <v/>
          </cell>
          <cell r="B1931" t="str">
            <v/>
          </cell>
          <cell r="C1931" t="str">
            <v/>
          </cell>
          <cell r="D1931" t="str">
            <v/>
          </cell>
          <cell r="E1931" t="str">
            <v/>
          </cell>
          <cell r="F1931" t="str">
            <v/>
          </cell>
          <cell r="G1931"/>
        </row>
        <row r="1932">
          <cell r="A1932" t="str">
            <v/>
          </cell>
          <cell r="B1932" t="str">
            <v/>
          </cell>
          <cell r="C1932" t="str">
            <v/>
          </cell>
          <cell r="D1932" t="str">
            <v/>
          </cell>
          <cell r="E1932" t="str">
            <v/>
          </cell>
          <cell r="F1932" t="str">
            <v/>
          </cell>
          <cell r="G1932"/>
        </row>
        <row r="1933">
          <cell r="A1933" t="str">
            <v/>
          </cell>
          <cell r="B1933" t="str">
            <v/>
          </cell>
          <cell r="C1933" t="str">
            <v/>
          </cell>
          <cell r="D1933" t="str">
            <v/>
          </cell>
          <cell r="E1933" t="str">
            <v/>
          </cell>
          <cell r="F1933" t="str">
            <v/>
          </cell>
          <cell r="G1933"/>
        </row>
        <row r="1934">
          <cell r="A1934" t="str">
            <v/>
          </cell>
          <cell r="B1934" t="str">
            <v/>
          </cell>
          <cell r="C1934" t="str">
            <v/>
          </cell>
          <cell r="D1934" t="str">
            <v/>
          </cell>
          <cell r="E1934" t="str">
            <v/>
          </cell>
          <cell r="F1934" t="str">
            <v/>
          </cell>
          <cell r="G1934"/>
        </row>
        <row r="1935">
          <cell r="A1935" t="str">
            <v/>
          </cell>
          <cell r="B1935" t="str">
            <v/>
          </cell>
          <cell r="C1935" t="str">
            <v/>
          </cell>
          <cell r="D1935" t="str">
            <v/>
          </cell>
          <cell r="E1935" t="str">
            <v/>
          </cell>
          <cell r="F1935" t="str">
            <v/>
          </cell>
          <cell r="G1935"/>
        </row>
        <row r="1936">
          <cell r="A1936" t="str">
            <v/>
          </cell>
          <cell r="B1936" t="str">
            <v/>
          </cell>
          <cell r="C1936" t="str">
            <v/>
          </cell>
          <cell r="D1936" t="str">
            <v/>
          </cell>
          <cell r="E1936" t="str">
            <v/>
          </cell>
          <cell r="F1936" t="str">
            <v/>
          </cell>
          <cell r="G1936"/>
        </row>
        <row r="1937">
          <cell r="A1937" t="str">
            <v/>
          </cell>
          <cell r="B1937" t="str">
            <v/>
          </cell>
          <cell r="C1937" t="str">
            <v/>
          </cell>
          <cell r="D1937" t="str">
            <v/>
          </cell>
          <cell r="E1937" t="str">
            <v/>
          </cell>
          <cell r="F1937" t="str">
            <v/>
          </cell>
          <cell r="G1937"/>
        </row>
        <row r="1938">
          <cell r="A1938" t="str">
            <v/>
          </cell>
          <cell r="B1938" t="str">
            <v/>
          </cell>
          <cell r="C1938" t="str">
            <v/>
          </cell>
          <cell r="D1938" t="str">
            <v/>
          </cell>
          <cell r="E1938" t="str">
            <v/>
          </cell>
          <cell r="F1938" t="str">
            <v/>
          </cell>
          <cell r="G1938"/>
        </row>
        <row r="1939">
          <cell r="A1939" t="str">
            <v/>
          </cell>
          <cell r="B1939" t="str">
            <v/>
          </cell>
          <cell r="C1939" t="str">
            <v/>
          </cell>
          <cell r="D1939" t="str">
            <v/>
          </cell>
          <cell r="E1939" t="str">
            <v/>
          </cell>
          <cell r="F1939" t="str">
            <v/>
          </cell>
          <cell r="G1939"/>
        </row>
        <row r="1940">
          <cell r="A1940" t="str">
            <v/>
          </cell>
          <cell r="B1940" t="str">
            <v/>
          </cell>
          <cell r="C1940" t="str">
            <v/>
          </cell>
          <cell r="D1940" t="str">
            <v/>
          </cell>
          <cell r="E1940" t="str">
            <v/>
          </cell>
          <cell r="F1940" t="str">
            <v/>
          </cell>
          <cell r="G1940"/>
        </row>
        <row r="1941">
          <cell r="A1941" t="str">
            <v/>
          </cell>
          <cell r="B1941" t="str">
            <v/>
          </cell>
          <cell r="C1941" t="str">
            <v/>
          </cell>
          <cell r="D1941" t="str">
            <v/>
          </cell>
          <cell r="E1941" t="str">
            <v/>
          </cell>
          <cell r="F1941" t="str">
            <v/>
          </cell>
          <cell r="G1941"/>
        </row>
        <row r="1942">
          <cell r="A1942" t="str">
            <v/>
          </cell>
          <cell r="B1942" t="str">
            <v/>
          </cell>
          <cell r="C1942" t="str">
            <v/>
          </cell>
          <cell r="D1942" t="str">
            <v/>
          </cell>
          <cell r="E1942" t="str">
            <v/>
          </cell>
          <cell r="F1942" t="str">
            <v/>
          </cell>
          <cell r="G1942"/>
        </row>
        <row r="1943">
          <cell r="A1943" t="str">
            <v/>
          </cell>
          <cell r="B1943" t="str">
            <v/>
          </cell>
          <cell r="C1943" t="str">
            <v/>
          </cell>
          <cell r="D1943" t="str">
            <v/>
          </cell>
          <cell r="E1943" t="str">
            <v/>
          </cell>
          <cell r="F1943" t="str">
            <v/>
          </cell>
          <cell r="G1943"/>
        </row>
        <row r="1944">
          <cell r="A1944" t="str">
            <v/>
          </cell>
          <cell r="B1944" t="str">
            <v/>
          </cell>
          <cell r="C1944" t="str">
            <v/>
          </cell>
          <cell r="D1944" t="str">
            <v/>
          </cell>
          <cell r="E1944" t="str">
            <v/>
          </cell>
          <cell r="F1944" t="str">
            <v/>
          </cell>
          <cell r="G1944"/>
        </row>
        <row r="1945">
          <cell r="A1945" t="str">
            <v/>
          </cell>
          <cell r="B1945" t="str">
            <v/>
          </cell>
          <cell r="C1945" t="str">
            <v/>
          </cell>
          <cell r="D1945" t="str">
            <v/>
          </cell>
          <cell r="E1945" t="str">
            <v/>
          </cell>
          <cell r="F1945" t="str">
            <v/>
          </cell>
          <cell r="G1945"/>
        </row>
        <row r="1946">
          <cell r="A1946" t="str">
            <v/>
          </cell>
          <cell r="B1946" t="str">
            <v/>
          </cell>
          <cell r="C1946" t="str">
            <v/>
          </cell>
          <cell r="D1946" t="str">
            <v/>
          </cell>
          <cell r="E1946" t="str">
            <v/>
          </cell>
          <cell r="F1946" t="str">
            <v/>
          </cell>
          <cell r="G1946"/>
        </row>
        <row r="1947">
          <cell r="A1947" t="str">
            <v/>
          </cell>
          <cell r="B1947" t="str">
            <v/>
          </cell>
          <cell r="C1947" t="str">
            <v/>
          </cell>
          <cell r="D1947" t="str">
            <v/>
          </cell>
          <cell r="E1947" t="str">
            <v/>
          </cell>
          <cell r="F1947" t="str">
            <v/>
          </cell>
          <cell r="G1947"/>
        </row>
        <row r="1948">
          <cell r="A1948" t="str">
            <v/>
          </cell>
          <cell r="B1948" t="str">
            <v/>
          </cell>
          <cell r="C1948" t="str">
            <v/>
          </cell>
          <cell r="D1948" t="str">
            <v/>
          </cell>
          <cell r="E1948" t="str">
            <v/>
          </cell>
          <cell r="F1948" t="str">
            <v/>
          </cell>
          <cell r="G1948"/>
        </row>
        <row r="1949">
          <cell r="A1949" t="str">
            <v/>
          </cell>
          <cell r="B1949" t="str">
            <v/>
          </cell>
          <cell r="C1949" t="str">
            <v/>
          </cell>
          <cell r="D1949" t="str">
            <v/>
          </cell>
          <cell r="E1949" t="str">
            <v/>
          </cell>
          <cell r="F1949" t="str">
            <v/>
          </cell>
          <cell r="G1949"/>
        </row>
        <row r="1950">
          <cell r="A1950" t="str">
            <v/>
          </cell>
          <cell r="B1950" t="str">
            <v/>
          </cell>
          <cell r="C1950" t="str">
            <v/>
          </cell>
          <cell r="D1950" t="str">
            <v/>
          </cell>
          <cell r="E1950" t="str">
            <v/>
          </cell>
          <cell r="F1950" t="str">
            <v/>
          </cell>
          <cell r="G1950"/>
        </row>
        <row r="1951">
          <cell r="A1951" t="str">
            <v/>
          </cell>
          <cell r="B1951" t="str">
            <v/>
          </cell>
          <cell r="C1951" t="str">
            <v/>
          </cell>
          <cell r="D1951" t="str">
            <v/>
          </cell>
          <cell r="E1951" t="str">
            <v/>
          </cell>
          <cell r="F1951" t="str">
            <v/>
          </cell>
          <cell r="G1951"/>
        </row>
        <row r="1952">
          <cell r="A1952" t="str">
            <v/>
          </cell>
          <cell r="B1952" t="str">
            <v/>
          </cell>
          <cell r="C1952" t="str">
            <v/>
          </cell>
          <cell r="D1952" t="str">
            <v/>
          </cell>
          <cell r="E1952" t="str">
            <v/>
          </cell>
          <cell r="F1952" t="str">
            <v/>
          </cell>
          <cell r="G1952"/>
        </row>
        <row r="1953">
          <cell r="A1953" t="str">
            <v/>
          </cell>
          <cell r="B1953" t="str">
            <v/>
          </cell>
          <cell r="C1953" t="str">
            <v/>
          </cell>
          <cell r="D1953" t="str">
            <v/>
          </cell>
          <cell r="E1953" t="str">
            <v/>
          </cell>
          <cell r="F1953" t="str">
            <v/>
          </cell>
          <cell r="G1953"/>
        </row>
        <row r="1954">
          <cell r="A1954" t="str">
            <v/>
          </cell>
          <cell r="B1954" t="str">
            <v/>
          </cell>
          <cell r="C1954" t="str">
            <v/>
          </cell>
          <cell r="D1954" t="str">
            <v/>
          </cell>
          <cell r="E1954" t="str">
            <v/>
          </cell>
          <cell r="F1954" t="str">
            <v/>
          </cell>
          <cell r="G1954"/>
        </row>
        <row r="1955">
          <cell r="A1955" t="str">
            <v/>
          </cell>
          <cell r="B1955" t="str">
            <v/>
          </cell>
          <cell r="C1955" t="str">
            <v/>
          </cell>
          <cell r="D1955" t="str">
            <v/>
          </cell>
          <cell r="E1955" t="str">
            <v/>
          </cell>
          <cell r="F1955" t="str">
            <v/>
          </cell>
          <cell r="G1955"/>
        </row>
        <row r="1956">
          <cell r="A1956" t="str">
            <v/>
          </cell>
          <cell r="B1956" t="str">
            <v/>
          </cell>
          <cell r="C1956" t="str">
            <v/>
          </cell>
          <cell r="D1956" t="str">
            <v/>
          </cell>
          <cell r="E1956" t="str">
            <v/>
          </cell>
          <cell r="F1956" t="str">
            <v/>
          </cell>
          <cell r="G1956"/>
        </row>
        <row r="1957">
          <cell r="A1957" t="str">
            <v/>
          </cell>
          <cell r="B1957" t="str">
            <v/>
          </cell>
          <cell r="C1957" t="str">
            <v/>
          </cell>
          <cell r="D1957" t="str">
            <v/>
          </cell>
          <cell r="E1957" t="str">
            <v/>
          </cell>
          <cell r="F1957" t="str">
            <v/>
          </cell>
          <cell r="G1957"/>
        </row>
        <row r="1958">
          <cell r="A1958" t="str">
            <v/>
          </cell>
          <cell r="B1958" t="str">
            <v/>
          </cell>
          <cell r="C1958" t="str">
            <v/>
          </cell>
          <cell r="D1958" t="str">
            <v/>
          </cell>
          <cell r="E1958" t="str">
            <v/>
          </cell>
          <cell r="F1958" t="str">
            <v/>
          </cell>
          <cell r="G1958"/>
        </row>
        <row r="1959">
          <cell r="A1959" t="str">
            <v/>
          </cell>
          <cell r="B1959" t="str">
            <v/>
          </cell>
          <cell r="C1959" t="str">
            <v/>
          </cell>
          <cell r="D1959" t="str">
            <v/>
          </cell>
          <cell r="E1959" t="str">
            <v/>
          </cell>
          <cell r="F1959" t="str">
            <v/>
          </cell>
          <cell r="G1959"/>
        </row>
        <row r="1960">
          <cell r="A1960" t="str">
            <v/>
          </cell>
          <cell r="B1960" t="str">
            <v/>
          </cell>
          <cell r="C1960" t="str">
            <v/>
          </cell>
          <cell r="D1960" t="str">
            <v/>
          </cell>
          <cell r="E1960" t="str">
            <v/>
          </cell>
          <cell r="F1960" t="str">
            <v/>
          </cell>
          <cell r="G1960"/>
        </row>
        <row r="1961">
          <cell r="A1961" t="str">
            <v/>
          </cell>
          <cell r="B1961" t="str">
            <v/>
          </cell>
          <cell r="C1961" t="str">
            <v/>
          </cell>
          <cell r="D1961" t="str">
            <v/>
          </cell>
          <cell r="E1961" t="str">
            <v/>
          </cell>
          <cell r="F1961" t="str">
            <v/>
          </cell>
          <cell r="G1961"/>
        </row>
        <row r="1962">
          <cell r="A1962" t="str">
            <v/>
          </cell>
          <cell r="B1962" t="str">
            <v/>
          </cell>
          <cell r="C1962" t="str">
            <v/>
          </cell>
          <cell r="D1962" t="str">
            <v/>
          </cell>
          <cell r="E1962" t="str">
            <v/>
          </cell>
          <cell r="F1962" t="str">
            <v/>
          </cell>
          <cell r="G1962"/>
        </row>
        <row r="1963">
          <cell r="A1963" t="str">
            <v/>
          </cell>
          <cell r="B1963" t="str">
            <v/>
          </cell>
          <cell r="C1963" t="str">
            <v/>
          </cell>
          <cell r="D1963" t="str">
            <v/>
          </cell>
          <cell r="E1963" t="str">
            <v/>
          </cell>
          <cell r="F1963" t="str">
            <v/>
          </cell>
          <cell r="G1963"/>
        </row>
        <row r="1964">
          <cell r="A1964" t="str">
            <v/>
          </cell>
          <cell r="B1964" t="str">
            <v/>
          </cell>
          <cell r="C1964" t="str">
            <v/>
          </cell>
          <cell r="D1964" t="str">
            <v/>
          </cell>
          <cell r="E1964" t="str">
            <v/>
          </cell>
          <cell r="F1964" t="str">
            <v/>
          </cell>
          <cell r="G1964"/>
        </row>
        <row r="1965">
          <cell r="A1965" t="str">
            <v/>
          </cell>
          <cell r="B1965" t="str">
            <v/>
          </cell>
          <cell r="C1965" t="str">
            <v/>
          </cell>
          <cell r="D1965" t="str">
            <v/>
          </cell>
          <cell r="E1965" t="str">
            <v/>
          </cell>
          <cell r="F1965" t="str">
            <v/>
          </cell>
          <cell r="G1965"/>
        </row>
        <row r="1966">
          <cell r="A1966" t="str">
            <v/>
          </cell>
          <cell r="B1966" t="str">
            <v/>
          </cell>
          <cell r="C1966" t="str">
            <v/>
          </cell>
          <cell r="D1966" t="str">
            <v/>
          </cell>
          <cell r="E1966" t="str">
            <v/>
          </cell>
          <cell r="F1966" t="str">
            <v/>
          </cell>
          <cell r="G1966"/>
        </row>
        <row r="1967">
          <cell r="A1967" t="str">
            <v/>
          </cell>
          <cell r="B1967" t="str">
            <v/>
          </cell>
          <cell r="C1967" t="str">
            <v/>
          </cell>
          <cell r="D1967" t="str">
            <v/>
          </cell>
          <cell r="E1967" t="str">
            <v/>
          </cell>
          <cell r="F1967" t="str">
            <v/>
          </cell>
          <cell r="G1967"/>
        </row>
        <row r="1968">
          <cell r="A1968" t="str">
            <v/>
          </cell>
          <cell r="B1968" t="str">
            <v/>
          </cell>
          <cell r="C1968" t="str">
            <v/>
          </cell>
          <cell r="D1968" t="str">
            <v/>
          </cell>
          <cell r="E1968" t="str">
            <v/>
          </cell>
          <cell r="F1968" t="str">
            <v/>
          </cell>
          <cell r="G1968"/>
        </row>
        <row r="1969">
          <cell r="A1969" t="str">
            <v/>
          </cell>
          <cell r="B1969" t="str">
            <v/>
          </cell>
          <cell r="C1969" t="str">
            <v/>
          </cell>
          <cell r="D1969" t="str">
            <v/>
          </cell>
          <cell r="E1969" t="str">
            <v/>
          </cell>
          <cell r="F1969" t="str">
            <v/>
          </cell>
          <cell r="G1969"/>
        </row>
        <row r="1970">
          <cell r="A1970" t="str">
            <v/>
          </cell>
          <cell r="B1970" t="str">
            <v/>
          </cell>
          <cell r="C1970" t="str">
            <v/>
          </cell>
          <cell r="D1970" t="str">
            <v/>
          </cell>
          <cell r="E1970" t="str">
            <v/>
          </cell>
          <cell r="F1970" t="str">
            <v/>
          </cell>
          <cell r="G1970"/>
        </row>
        <row r="1971">
          <cell r="A1971" t="str">
            <v/>
          </cell>
          <cell r="B1971" t="str">
            <v/>
          </cell>
          <cell r="C1971" t="str">
            <v/>
          </cell>
          <cell r="D1971" t="str">
            <v/>
          </cell>
          <cell r="E1971" t="str">
            <v/>
          </cell>
          <cell r="F1971" t="str">
            <v/>
          </cell>
          <cell r="G1971"/>
        </row>
        <row r="1972">
          <cell r="A1972" t="str">
            <v/>
          </cell>
          <cell r="B1972" t="str">
            <v/>
          </cell>
          <cell r="C1972" t="str">
            <v/>
          </cell>
          <cell r="D1972" t="str">
            <v/>
          </cell>
          <cell r="E1972" t="str">
            <v/>
          </cell>
          <cell r="F1972" t="str">
            <v/>
          </cell>
          <cell r="G1972"/>
        </row>
        <row r="1973">
          <cell r="A1973" t="str">
            <v/>
          </cell>
          <cell r="B1973" t="str">
            <v/>
          </cell>
          <cell r="C1973" t="str">
            <v/>
          </cell>
          <cell r="D1973" t="str">
            <v/>
          </cell>
          <cell r="E1973" t="str">
            <v/>
          </cell>
          <cell r="F1973" t="str">
            <v/>
          </cell>
          <cell r="G1973"/>
        </row>
        <row r="1974">
          <cell r="A1974" t="str">
            <v/>
          </cell>
          <cell r="B1974" t="str">
            <v/>
          </cell>
          <cell r="C1974" t="str">
            <v/>
          </cell>
          <cell r="D1974" t="str">
            <v/>
          </cell>
          <cell r="E1974" t="str">
            <v/>
          </cell>
          <cell r="F1974" t="str">
            <v/>
          </cell>
          <cell r="G1974"/>
        </row>
        <row r="1975">
          <cell r="A1975" t="str">
            <v/>
          </cell>
          <cell r="B1975" t="str">
            <v/>
          </cell>
          <cell r="C1975" t="str">
            <v/>
          </cell>
          <cell r="D1975" t="str">
            <v/>
          </cell>
          <cell r="E1975" t="str">
            <v/>
          </cell>
          <cell r="F1975" t="str">
            <v/>
          </cell>
          <cell r="G1975"/>
        </row>
        <row r="1976">
          <cell r="A1976" t="str">
            <v/>
          </cell>
          <cell r="B1976" t="str">
            <v/>
          </cell>
          <cell r="C1976" t="str">
            <v/>
          </cell>
          <cell r="D1976" t="str">
            <v/>
          </cell>
          <cell r="E1976" t="str">
            <v/>
          </cell>
          <cell r="F1976" t="str">
            <v/>
          </cell>
          <cell r="G1976"/>
        </row>
        <row r="1977">
          <cell r="A1977" t="str">
            <v/>
          </cell>
          <cell r="B1977" t="str">
            <v/>
          </cell>
          <cell r="C1977" t="str">
            <v/>
          </cell>
          <cell r="D1977" t="str">
            <v/>
          </cell>
          <cell r="E1977" t="str">
            <v/>
          </cell>
          <cell r="F1977" t="str">
            <v/>
          </cell>
          <cell r="G1977"/>
        </row>
        <row r="1978">
          <cell r="A1978" t="str">
            <v/>
          </cell>
          <cell r="B1978" t="str">
            <v/>
          </cell>
          <cell r="C1978" t="str">
            <v/>
          </cell>
          <cell r="D1978" t="str">
            <v/>
          </cell>
          <cell r="E1978" t="str">
            <v/>
          </cell>
          <cell r="F1978" t="str">
            <v/>
          </cell>
          <cell r="G1978"/>
        </row>
        <row r="1979">
          <cell r="A1979" t="str">
            <v/>
          </cell>
          <cell r="B1979" t="str">
            <v/>
          </cell>
          <cell r="C1979" t="str">
            <v/>
          </cell>
          <cell r="D1979" t="str">
            <v/>
          </cell>
          <cell r="E1979" t="str">
            <v/>
          </cell>
          <cell r="F1979" t="str">
            <v/>
          </cell>
          <cell r="G1979"/>
        </row>
        <row r="1980">
          <cell r="A1980" t="str">
            <v/>
          </cell>
          <cell r="B1980" t="str">
            <v/>
          </cell>
          <cell r="C1980" t="str">
            <v/>
          </cell>
          <cell r="D1980" t="str">
            <v/>
          </cell>
          <cell r="E1980" t="str">
            <v/>
          </cell>
          <cell r="F1980" t="str">
            <v/>
          </cell>
          <cell r="G1980"/>
        </row>
        <row r="1981">
          <cell r="A1981" t="str">
            <v/>
          </cell>
          <cell r="B1981" t="str">
            <v/>
          </cell>
          <cell r="C1981" t="str">
            <v/>
          </cell>
          <cell r="D1981" t="str">
            <v/>
          </cell>
          <cell r="E1981" t="str">
            <v/>
          </cell>
          <cell r="F1981" t="str">
            <v/>
          </cell>
          <cell r="G1981"/>
        </row>
        <row r="1982">
          <cell r="A1982" t="str">
            <v/>
          </cell>
          <cell r="B1982" t="str">
            <v/>
          </cell>
          <cell r="C1982" t="str">
            <v/>
          </cell>
          <cell r="D1982" t="str">
            <v/>
          </cell>
          <cell r="E1982" t="str">
            <v/>
          </cell>
          <cell r="F1982" t="str">
            <v/>
          </cell>
          <cell r="G1982"/>
        </row>
        <row r="1983">
          <cell r="A1983" t="str">
            <v/>
          </cell>
          <cell r="B1983" t="str">
            <v/>
          </cell>
          <cell r="C1983" t="str">
            <v/>
          </cell>
          <cell r="D1983" t="str">
            <v/>
          </cell>
          <cell r="E1983" t="str">
            <v/>
          </cell>
          <cell r="F1983" t="str">
            <v/>
          </cell>
          <cell r="G1983"/>
        </row>
        <row r="1984">
          <cell r="A1984" t="str">
            <v/>
          </cell>
          <cell r="B1984" t="str">
            <v/>
          </cell>
          <cell r="C1984" t="str">
            <v/>
          </cell>
          <cell r="D1984" t="str">
            <v/>
          </cell>
          <cell r="E1984" t="str">
            <v/>
          </cell>
          <cell r="F1984" t="str">
            <v/>
          </cell>
          <cell r="G1984"/>
        </row>
        <row r="1985">
          <cell r="A1985" t="str">
            <v/>
          </cell>
          <cell r="B1985" t="str">
            <v/>
          </cell>
          <cell r="C1985" t="str">
            <v/>
          </cell>
          <cell r="D1985" t="str">
            <v/>
          </cell>
          <cell r="E1985" t="str">
            <v/>
          </cell>
          <cell r="F1985" t="str">
            <v/>
          </cell>
          <cell r="G1985"/>
        </row>
        <row r="1986">
          <cell r="A1986" t="str">
            <v/>
          </cell>
          <cell r="B1986" t="str">
            <v/>
          </cell>
          <cell r="C1986" t="str">
            <v/>
          </cell>
          <cell r="D1986" t="str">
            <v/>
          </cell>
          <cell r="E1986" t="str">
            <v/>
          </cell>
          <cell r="F1986" t="str">
            <v/>
          </cell>
          <cell r="G1986"/>
        </row>
        <row r="1987">
          <cell r="A1987" t="str">
            <v/>
          </cell>
          <cell r="B1987" t="str">
            <v/>
          </cell>
          <cell r="C1987" t="str">
            <v/>
          </cell>
          <cell r="D1987" t="str">
            <v/>
          </cell>
          <cell r="E1987" t="str">
            <v/>
          </cell>
          <cell r="F1987" t="str">
            <v/>
          </cell>
          <cell r="G1987"/>
        </row>
        <row r="1988">
          <cell r="A1988" t="str">
            <v/>
          </cell>
          <cell r="B1988" t="str">
            <v/>
          </cell>
          <cell r="C1988" t="str">
            <v/>
          </cell>
          <cell r="D1988" t="str">
            <v/>
          </cell>
          <cell r="E1988" t="str">
            <v/>
          </cell>
          <cell r="F1988" t="str">
            <v/>
          </cell>
          <cell r="G1988"/>
        </row>
        <row r="1989">
          <cell r="A1989" t="str">
            <v/>
          </cell>
          <cell r="B1989" t="str">
            <v/>
          </cell>
          <cell r="C1989" t="str">
            <v/>
          </cell>
          <cell r="D1989" t="str">
            <v/>
          </cell>
          <cell r="E1989" t="str">
            <v/>
          </cell>
          <cell r="F1989" t="str">
            <v/>
          </cell>
          <cell r="G1989"/>
        </row>
        <row r="1990">
          <cell r="A1990" t="str">
            <v/>
          </cell>
          <cell r="B1990" t="str">
            <v/>
          </cell>
          <cell r="C1990" t="str">
            <v/>
          </cell>
          <cell r="D1990" t="str">
            <v/>
          </cell>
          <cell r="E1990" t="str">
            <v/>
          </cell>
          <cell r="F1990" t="str">
            <v/>
          </cell>
          <cell r="G1990"/>
        </row>
        <row r="1991">
          <cell r="A1991" t="str">
            <v/>
          </cell>
          <cell r="B1991" t="str">
            <v/>
          </cell>
          <cell r="C1991" t="str">
            <v/>
          </cell>
          <cell r="D1991" t="str">
            <v/>
          </cell>
          <cell r="E1991" t="str">
            <v/>
          </cell>
          <cell r="F1991" t="str">
            <v/>
          </cell>
          <cell r="G1991"/>
        </row>
        <row r="1992">
          <cell r="A1992" t="str">
            <v/>
          </cell>
          <cell r="B1992" t="str">
            <v/>
          </cell>
          <cell r="C1992" t="str">
            <v/>
          </cell>
          <cell r="D1992" t="str">
            <v/>
          </cell>
          <cell r="E1992" t="str">
            <v/>
          </cell>
          <cell r="F1992" t="str">
            <v/>
          </cell>
          <cell r="G1992"/>
        </row>
        <row r="1993">
          <cell r="A1993" t="str">
            <v/>
          </cell>
          <cell r="B1993" t="str">
            <v/>
          </cell>
          <cell r="C1993" t="str">
            <v/>
          </cell>
          <cell r="D1993" t="str">
            <v/>
          </cell>
          <cell r="E1993" t="str">
            <v/>
          </cell>
          <cell r="F1993" t="str">
            <v/>
          </cell>
          <cell r="G1993"/>
        </row>
        <row r="1994">
          <cell r="A1994" t="str">
            <v/>
          </cell>
          <cell r="B1994" t="str">
            <v/>
          </cell>
          <cell r="C1994" t="str">
            <v/>
          </cell>
          <cell r="D1994" t="str">
            <v/>
          </cell>
          <cell r="E1994" t="str">
            <v/>
          </cell>
          <cell r="F1994" t="str">
            <v/>
          </cell>
          <cell r="G1994"/>
        </row>
        <row r="1995">
          <cell r="A1995" t="str">
            <v/>
          </cell>
          <cell r="B1995" t="str">
            <v/>
          </cell>
          <cell r="C1995" t="str">
            <v/>
          </cell>
          <cell r="D1995" t="str">
            <v/>
          </cell>
          <cell r="E1995" t="str">
            <v/>
          </cell>
          <cell r="F1995" t="str">
            <v/>
          </cell>
          <cell r="G1995"/>
        </row>
        <row r="1996">
          <cell r="A1996" t="str">
            <v/>
          </cell>
          <cell r="B1996" t="str">
            <v/>
          </cell>
          <cell r="C1996" t="str">
            <v/>
          </cell>
          <cell r="D1996" t="str">
            <v/>
          </cell>
          <cell r="E1996" t="str">
            <v/>
          </cell>
          <cell r="F1996" t="str">
            <v/>
          </cell>
          <cell r="G1996"/>
        </row>
        <row r="1997">
          <cell r="A1997" t="str">
            <v/>
          </cell>
          <cell r="B1997" t="str">
            <v/>
          </cell>
          <cell r="C1997" t="str">
            <v/>
          </cell>
          <cell r="D1997" t="str">
            <v/>
          </cell>
          <cell r="E1997" t="str">
            <v/>
          </cell>
          <cell r="F1997" t="str">
            <v/>
          </cell>
          <cell r="G1997"/>
        </row>
        <row r="1998">
          <cell r="A1998" t="str">
            <v/>
          </cell>
          <cell r="B1998" t="str">
            <v/>
          </cell>
          <cell r="C1998" t="str">
            <v/>
          </cell>
          <cell r="D1998" t="str">
            <v/>
          </cell>
          <cell r="E1998" t="str">
            <v/>
          </cell>
          <cell r="F1998" t="str">
            <v/>
          </cell>
          <cell r="G1998"/>
        </row>
        <row r="1999">
          <cell r="A1999" t="str">
            <v/>
          </cell>
          <cell r="B1999" t="str">
            <v/>
          </cell>
          <cell r="C1999" t="str">
            <v/>
          </cell>
          <cell r="D1999" t="str">
            <v/>
          </cell>
          <cell r="E1999" t="str">
            <v/>
          </cell>
          <cell r="F1999" t="str">
            <v/>
          </cell>
          <cell r="G1999"/>
        </row>
        <row r="2000">
          <cell r="A2000" t="str">
            <v/>
          </cell>
          <cell r="B2000" t="str">
            <v/>
          </cell>
          <cell r="C2000" t="str">
            <v/>
          </cell>
          <cell r="D2000" t="str">
            <v/>
          </cell>
          <cell r="E2000" t="str">
            <v/>
          </cell>
          <cell r="F2000" t="str">
            <v/>
          </cell>
          <cell r="G2000"/>
        </row>
        <row r="2001">
          <cell r="A2001" t="str">
            <v/>
          </cell>
          <cell r="B2001" t="str">
            <v/>
          </cell>
          <cell r="C2001" t="str">
            <v/>
          </cell>
          <cell r="D2001" t="str">
            <v/>
          </cell>
          <cell r="E2001" t="str">
            <v/>
          </cell>
          <cell r="F2001" t="str">
            <v/>
          </cell>
          <cell r="G2001"/>
        </row>
      </sheetData>
      <sheetData sheetId="3"/>
      <sheetData sheetId="4">
        <row r="1">
          <cell r="A1" t="str">
            <v>職員数43人</v>
          </cell>
          <cell r="B1" t="str">
            <v>職員番号</v>
          </cell>
          <cell r="C1" t="str">
            <v>氏名</v>
          </cell>
        </row>
        <row r="2">
          <cell r="A2">
            <v>1</v>
          </cell>
          <cell r="B2" t="str">
            <v>24707</v>
          </cell>
          <cell r="C2" t="str">
            <v>宮崎 滋夫</v>
          </cell>
        </row>
        <row r="3">
          <cell r="A3">
            <v>2</v>
          </cell>
          <cell r="B3" t="str">
            <v>27981</v>
          </cell>
          <cell r="C3" t="str">
            <v>奥 朋和</v>
          </cell>
        </row>
        <row r="4">
          <cell r="A4">
            <v>3</v>
          </cell>
          <cell r="B4" t="str">
            <v>35665</v>
          </cell>
          <cell r="C4" t="str">
            <v>山下 修</v>
          </cell>
        </row>
        <row r="5">
          <cell r="A5">
            <v>4</v>
          </cell>
          <cell r="B5" t="str">
            <v>51774</v>
          </cell>
          <cell r="C5" t="str">
            <v>山村 博</v>
          </cell>
        </row>
        <row r="6">
          <cell r="A6">
            <v>5</v>
          </cell>
          <cell r="B6" t="str">
            <v>21913</v>
          </cell>
          <cell r="C6" t="str">
            <v>殿田 伸一郎</v>
          </cell>
        </row>
        <row r="7">
          <cell r="A7">
            <v>6</v>
          </cell>
          <cell r="B7" t="str">
            <v>21925</v>
          </cell>
          <cell r="C7" t="str">
            <v>森本 政幸</v>
          </cell>
        </row>
        <row r="8">
          <cell r="A8">
            <v>7</v>
          </cell>
          <cell r="B8" t="str">
            <v>29056</v>
          </cell>
          <cell r="C8" t="str">
            <v>中井 士郎</v>
          </cell>
        </row>
        <row r="9">
          <cell r="A9">
            <v>8</v>
          </cell>
          <cell r="B9" t="str">
            <v>31176</v>
          </cell>
          <cell r="C9" t="str">
            <v>北 洋一</v>
          </cell>
        </row>
        <row r="10">
          <cell r="A10">
            <v>9</v>
          </cell>
          <cell r="B10" t="str">
            <v>33473</v>
          </cell>
          <cell r="C10" t="str">
            <v>中村 映水</v>
          </cell>
        </row>
        <row r="11">
          <cell r="A11">
            <v>10</v>
          </cell>
          <cell r="B11" t="str">
            <v>33485</v>
          </cell>
          <cell r="C11" t="str">
            <v>平田 真奈美</v>
          </cell>
        </row>
        <row r="12">
          <cell r="A12">
            <v>11</v>
          </cell>
          <cell r="B12" t="str">
            <v>37584</v>
          </cell>
          <cell r="C12" t="str">
            <v>大橋 効</v>
          </cell>
        </row>
        <row r="13">
          <cell r="A13">
            <v>12</v>
          </cell>
          <cell r="B13" t="str">
            <v>37601</v>
          </cell>
          <cell r="C13" t="str">
            <v>山本 浩之</v>
          </cell>
        </row>
        <row r="14">
          <cell r="A14">
            <v>13</v>
          </cell>
          <cell r="B14" t="str">
            <v>39805</v>
          </cell>
          <cell r="C14" t="str">
            <v>南 博之</v>
          </cell>
        </row>
        <row r="15">
          <cell r="A15">
            <v>14</v>
          </cell>
          <cell r="B15" t="str">
            <v>42503</v>
          </cell>
          <cell r="C15" t="str">
            <v>澤野 正樹</v>
          </cell>
        </row>
        <row r="16">
          <cell r="A16">
            <v>15</v>
          </cell>
          <cell r="B16" t="str">
            <v>46963</v>
          </cell>
          <cell r="C16" t="str">
            <v>清水 和弥</v>
          </cell>
        </row>
        <row r="17">
          <cell r="A17">
            <v>16</v>
          </cell>
          <cell r="B17" t="str">
            <v>52687</v>
          </cell>
          <cell r="C17" t="str">
            <v>坪野 寿恵</v>
          </cell>
        </row>
        <row r="18">
          <cell r="A18">
            <v>17</v>
          </cell>
          <cell r="B18" t="str">
            <v>56712</v>
          </cell>
          <cell r="C18" t="str">
            <v>山田 正則</v>
          </cell>
        </row>
        <row r="19">
          <cell r="A19">
            <v>18</v>
          </cell>
          <cell r="B19" t="str">
            <v>62993</v>
          </cell>
          <cell r="C19" t="str">
            <v>平田 恵哉</v>
          </cell>
        </row>
        <row r="20">
          <cell r="A20">
            <v>19</v>
          </cell>
          <cell r="B20" t="str">
            <v>88014</v>
          </cell>
          <cell r="C20" t="str">
            <v>長田 弘二</v>
          </cell>
        </row>
        <row r="21">
          <cell r="A21">
            <v>20</v>
          </cell>
          <cell r="B21" t="str">
            <v>79269</v>
          </cell>
          <cell r="C21" t="str">
            <v>冨田 紗詠子</v>
          </cell>
        </row>
        <row r="22">
          <cell r="A22">
            <v>21</v>
          </cell>
          <cell r="B22" t="str">
            <v>88765</v>
          </cell>
          <cell r="C22" t="str">
            <v>黒田 辰憲</v>
          </cell>
        </row>
        <row r="23">
          <cell r="A23">
            <v>22</v>
          </cell>
          <cell r="B23" t="str">
            <v>88777</v>
          </cell>
          <cell r="C23" t="str">
            <v>黒田 奈菜子</v>
          </cell>
        </row>
        <row r="24">
          <cell r="A24">
            <v>23</v>
          </cell>
          <cell r="B24" t="str">
            <v>94908</v>
          </cell>
          <cell r="C24" t="str">
            <v>長迫 千寛</v>
          </cell>
        </row>
        <row r="25">
          <cell r="A25">
            <v>24</v>
          </cell>
          <cell r="B25" t="str">
            <v>97962</v>
          </cell>
          <cell r="C25" t="str">
            <v>林 亮子</v>
          </cell>
        </row>
        <row r="26">
          <cell r="A26">
            <v>25</v>
          </cell>
          <cell r="B26" t="str">
            <v>97974</v>
          </cell>
          <cell r="C26" t="str">
            <v>吉田 汐里</v>
          </cell>
        </row>
        <row r="27">
          <cell r="A27">
            <v>26</v>
          </cell>
          <cell r="B27" t="str">
            <v>103814</v>
          </cell>
          <cell r="C27" t="str">
            <v>田村 能之</v>
          </cell>
        </row>
        <row r="28">
          <cell r="A28">
            <v>27</v>
          </cell>
          <cell r="B28" t="str">
            <v>109272</v>
          </cell>
          <cell r="C28" t="str">
            <v>齊藤 久紘</v>
          </cell>
        </row>
        <row r="29">
          <cell r="A29">
            <v>28</v>
          </cell>
          <cell r="B29" t="str">
            <v>109997</v>
          </cell>
          <cell r="C29" t="str">
            <v>庵 緋沙子</v>
          </cell>
        </row>
        <row r="30">
          <cell r="A30">
            <v>29</v>
          </cell>
          <cell r="B30" t="str">
            <v>112499</v>
          </cell>
          <cell r="C30" t="str">
            <v>佐藤 恵梨子</v>
          </cell>
        </row>
        <row r="31">
          <cell r="A31">
            <v>30</v>
          </cell>
          <cell r="B31" t="str">
            <v>112504</v>
          </cell>
          <cell r="C31" t="str">
            <v>村崎 祐一</v>
          </cell>
        </row>
        <row r="32">
          <cell r="A32">
            <v>31</v>
          </cell>
          <cell r="B32" t="str">
            <v>114863</v>
          </cell>
          <cell r="C32" t="str">
            <v>加藤 靖博</v>
          </cell>
        </row>
        <row r="33">
          <cell r="A33">
            <v>32</v>
          </cell>
          <cell r="B33" t="str">
            <v>114875</v>
          </cell>
          <cell r="C33" t="str">
            <v>本田 梨沙子</v>
          </cell>
        </row>
        <row r="34">
          <cell r="A34">
            <v>33</v>
          </cell>
          <cell r="B34" t="str">
            <v>118857</v>
          </cell>
          <cell r="C34" t="str">
            <v>佐藤 穂波</v>
          </cell>
        </row>
        <row r="35">
          <cell r="A35">
            <v>34</v>
          </cell>
          <cell r="B35" t="str">
            <v>118869</v>
          </cell>
          <cell r="C35" t="str">
            <v>薬司 康平</v>
          </cell>
        </row>
        <row r="36">
          <cell r="A36">
            <v>35</v>
          </cell>
          <cell r="B36" t="str">
            <v>122327</v>
          </cell>
          <cell r="C36" t="str">
            <v>龍野 康介</v>
          </cell>
        </row>
        <row r="37">
          <cell r="A37">
            <v>36</v>
          </cell>
          <cell r="B37" t="str">
            <v>122339</v>
          </cell>
          <cell r="C37" t="str">
            <v>西郡 健太</v>
          </cell>
        </row>
        <row r="38">
          <cell r="A38">
            <v>37</v>
          </cell>
          <cell r="B38" t="str">
            <v>123371</v>
          </cell>
          <cell r="C38" t="str">
            <v>大畑 周星</v>
          </cell>
        </row>
        <row r="39">
          <cell r="A39">
            <v>38</v>
          </cell>
          <cell r="B39" t="str">
            <v>123383</v>
          </cell>
          <cell r="C39" t="str">
            <v>谷口 昂</v>
          </cell>
        </row>
        <row r="40">
          <cell r="A40">
            <v>39</v>
          </cell>
          <cell r="B40" t="str">
            <v>123395</v>
          </cell>
          <cell r="C40" t="str">
            <v>村中 由佳</v>
          </cell>
        </row>
        <row r="41">
          <cell r="A41">
            <v>40</v>
          </cell>
          <cell r="B41" t="str">
            <v>123400</v>
          </cell>
          <cell r="C41" t="str">
            <v>阪井田 佳那</v>
          </cell>
        </row>
        <row r="42">
          <cell r="A42">
            <v>41</v>
          </cell>
          <cell r="B42" t="str">
            <v>32027</v>
          </cell>
          <cell r="C42" t="str">
            <v>能登 むつみ</v>
          </cell>
        </row>
        <row r="43">
          <cell r="A43">
            <v>42</v>
          </cell>
          <cell r="B43" t="str">
            <v>41236</v>
          </cell>
          <cell r="C43" t="str">
            <v>中川 香織</v>
          </cell>
        </row>
        <row r="44">
          <cell r="A44">
            <v>43</v>
          </cell>
          <cell r="B44" t="str">
            <v>120082</v>
          </cell>
          <cell r="C44" t="str">
            <v>木田 哲男</v>
          </cell>
        </row>
        <row r="45">
          <cell r="A45" t="str">
            <v/>
          </cell>
          <cell r="B45" t="str">
            <v/>
          </cell>
          <cell r="C45" t="str">
            <v/>
          </cell>
        </row>
        <row r="46">
          <cell r="A46" t="str">
            <v/>
          </cell>
          <cell r="B46" t="str">
            <v/>
          </cell>
          <cell r="C46" t="str">
            <v/>
          </cell>
        </row>
        <row r="47">
          <cell r="A47" t="str">
            <v/>
          </cell>
          <cell r="B47" t="str">
            <v/>
          </cell>
          <cell r="C47" t="str">
            <v/>
          </cell>
        </row>
        <row r="48">
          <cell r="A48" t="str">
            <v/>
          </cell>
          <cell r="B48" t="str">
            <v/>
          </cell>
          <cell r="C48" t="str">
            <v/>
          </cell>
        </row>
        <row r="49">
          <cell r="A49" t="str">
            <v/>
          </cell>
          <cell r="B49" t="str">
            <v/>
          </cell>
          <cell r="C49" t="str">
            <v/>
          </cell>
        </row>
        <row r="50">
          <cell r="A50" t="str">
            <v/>
          </cell>
          <cell r="B50" t="str">
            <v/>
          </cell>
          <cell r="C50" t="str">
            <v/>
          </cell>
        </row>
        <row r="51">
          <cell r="A51" t="str">
            <v/>
          </cell>
          <cell r="B51" t="str">
            <v/>
          </cell>
          <cell r="C51" t="str">
            <v/>
          </cell>
        </row>
        <row r="52">
          <cell r="A52" t="str">
            <v/>
          </cell>
          <cell r="B52" t="str">
            <v/>
          </cell>
          <cell r="C52" t="str">
            <v/>
          </cell>
        </row>
        <row r="53">
          <cell r="A53" t="str">
            <v/>
          </cell>
          <cell r="B53" t="str">
            <v/>
          </cell>
          <cell r="C53" t="str">
            <v/>
          </cell>
        </row>
        <row r="54">
          <cell r="A54" t="str">
            <v/>
          </cell>
          <cell r="B54" t="str">
            <v/>
          </cell>
          <cell r="C54" t="str">
            <v/>
          </cell>
        </row>
        <row r="55">
          <cell r="A55" t="str">
            <v/>
          </cell>
          <cell r="B55" t="str">
            <v/>
          </cell>
          <cell r="C55" t="str">
            <v/>
          </cell>
        </row>
        <row r="56">
          <cell r="A56" t="str">
            <v/>
          </cell>
          <cell r="B56" t="str">
            <v/>
          </cell>
          <cell r="C56" t="str">
            <v/>
          </cell>
        </row>
        <row r="57">
          <cell r="A57" t="str">
            <v/>
          </cell>
          <cell r="B57" t="str">
            <v/>
          </cell>
          <cell r="C57" t="str">
            <v/>
          </cell>
        </row>
        <row r="58">
          <cell r="A58" t="str">
            <v/>
          </cell>
          <cell r="B58" t="str">
            <v/>
          </cell>
          <cell r="C58" t="str">
            <v/>
          </cell>
        </row>
        <row r="59">
          <cell r="A59" t="str">
            <v/>
          </cell>
          <cell r="B59" t="str">
            <v/>
          </cell>
          <cell r="C59" t="str">
            <v/>
          </cell>
        </row>
        <row r="60">
          <cell r="A60" t="str">
            <v/>
          </cell>
          <cell r="B60" t="str">
            <v/>
          </cell>
          <cell r="C60" t="str">
            <v/>
          </cell>
        </row>
        <row r="61">
          <cell r="A61" t="str">
            <v/>
          </cell>
          <cell r="B61" t="str">
            <v/>
          </cell>
          <cell r="C61" t="str">
            <v/>
          </cell>
        </row>
        <row r="62">
          <cell r="A62" t="str">
            <v/>
          </cell>
          <cell r="B62" t="str">
            <v/>
          </cell>
          <cell r="C62" t="str">
            <v/>
          </cell>
        </row>
        <row r="63">
          <cell r="A63" t="str">
            <v/>
          </cell>
          <cell r="B63" t="str">
            <v/>
          </cell>
          <cell r="C63" t="str">
            <v/>
          </cell>
        </row>
        <row r="64">
          <cell r="A64" t="str">
            <v/>
          </cell>
          <cell r="B64" t="str">
            <v/>
          </cell>
          <cell r="C64" t="str">
            <v/>
          </cell>
        </row>
        <row r="65">
          <cell r="A65" t="str">
            <v/>
          </cell>
          <cell r="B65" t="str">
            <v/>
          </cell>
          <cell r="C65" t="str">
            <v/>
          </cell>
        </row>
        <row r="66">
          <cell r="A66" t="str">
            <v/>
          </cell>
          <cell r="B66" t="str">
            <v/>
          </cell>
          <cell r="C66" t="str">
            <v/>
          </cell>
        </row>
        <row r="67">
          <cell r="A67" t="str">
            <v/>
          </cell>
          <cell r="B67" t="str">
            <v/>
          </cell>
          <cell r="C67" t="str">
            <v/>
          </cell>
        </row>
        <row r="68">
          <cell r="A68" t="str">
            <v/>
          </cell>
          <cell r="B68" t="str">
            <v/>
          </cell>
          <cell r="C68" t="str">
            <v/>
          </cell>
        </row>
        <row r="69">
          <cell r="A69" t="str">
            <v/>
          </cell>
          <cell r="B69" t="str">
            <v/>
          </cell>
          <cell r="C69" t="str">
            <v/>
          </cell>
        </row>
        <row r="70">
          <cell r="A70" t="str">
            <v/>
          </cell>
          <cell r="B70" t="str">
            <v/>
          </cell>
          <cell r="C70" t="str">
            <v/>
          </cell>
        </row>
        <row r="71">
          <cell r="A71" t="str">
            <v/>
          </cell>
          <cell r="B71" t="str">
            <v/>
          </cell>
          <cell r="C71" t="str">
            <v/>
          </cell>
        </row>
        <row r="72">
          <cell r="A72" t="str">
            <v/>
          </cell>
          <cell r="B72" t="str">
            <v/>
          </cell>
          <cell r="C72" t="str">
            <v/>
          </cell>
        </row>
        <row r="73">
          <cell r="A73" t="str">
            <v/>
          </cell>
          <cell r="B73" t="str">
            <v/>
          </cell>
          <cell r="C73" t="str">
            <v/>
          </cell>
        </row>
        <row r="74">
          <cell r="A74" t="str">
            <v/>
          </cell>
          <cell r="B74" t="str">
            <v/>
          </cell>
          <cell r="C74" t="str">
            <v/>
          </cell>
        </row>
        <row r="75">
          <cell r="A75" t="str">
            <v/>
          </cell>
          <cell r="B75" t="str">
            <v/>
          </cell>
          <cell r="C75" t="str">
            <v/>
          </cell>
        </row>
        <row r="76">
          <cell r="A76" t="str">
            <v/>
          </cell>
          <cell r="B76" t="str">
            <v/>
          </cell>
          <cell r="C76" t="str">
            <v/>
          </cell>
        </row>
        <row r="77">
          <cell r="A77" t="str">
            <v/>
          </cell>
          <cell r="B77" t="str">
            <v/>
          </cell>
          <cell r="C77" t="str">
            <v/>
          </cell>
        </row>
        <row r="78">
          <cell r="A78" t="str">
            <v/>
          </cell>
          <cell r="B78" t="str">
            <v/>
          </cell>
          <cell r="C78" t="str">
            <v/>
          </cell>
        </row>
        <row r="79">
          <cell r="A79" t="str">
            <v/>
          </cell>
          <cell r="B79" t="str">
            <v/>
          </cell>
          <cell r="C79" t="str">
            <v/>
          </cell>
        </row>
        <row r="80">
          <cell r="A80" t="str">
            <v/>
          </cell>
          <cell r="B80" t="str">
            <v/>
          </cell>
          <cell r="C80" t="str">
            <v/>
          </cell>
        </row>
        <row r="81">
          <cell r="A81" t="str">
            <v/>
          </cell>
          <cell r="B81" t="str">
            <v/>
          </cell>
          <cell r="C81" t="str">
            <v/>
          </cell>
        </row>
        <row r="82">
          <cell r="A82" t="str">
            <v/>
          </cell>
          <cell r="B82" t="str">
            <v/>
          </cell>
          <cell r="C82" t="str">
            <v/>
          </cell>
        </row>
        <row r="83">
          <cell r="A83" t="str">
            <v/>
          </cell>
          <cell r="B83" t="str">
            <v/>
          </cell>
          <cell r="C83" t="str">
            <v/>
          </cell>
        </row>
        <row r="84">
          <cell r="A84" t="str">
            <v/>
          </cell>
          <cell r="B84" t="str">
            <v/>
          </cell>
          <cell r="C84" t="str">
            <v/>
          </cell>
        </row>
        <row r="85">
          <cell r="A85" t="str">
            <v/>
          </cell>
          <cell r="B85" t="str">
            <v/>
          </cell>
          <cell r="C85" t="str">
            <v/>
          </cell>
        </row>
        <row r="86">
          <cell r="A86" t="str">
            <v/>
          </cell>
          <cell r="B86" t="str">
            <v/>
          </cell>
          <cell r="C86" t="str">
            <v/>
          </cell>
        </row>
        <row r="87">
          <cell r="A87" t="str">
            <v/>
          </cell>
          <cell r="B87" t="str">
            <v/>
          </cell>
          <cell r="C87" t="str">
            <v/>
          </cell>
        </row>
        <row r="88">
          <cell r="A88" t="str">
            <v/>
          </cell>
          <cell r="B88" t="str">
            <v/>
          </cell>
          <cell r="C88" t="str">
            <v/>
          </cell>
        </row>
        <row r="89">
          <cell r="A89" t="str">
            <v/>
          </cell>
          <cell r="B89" t="str">
            <v/>
          </cell>
          <cell r="C89" t="str">
            <v/>
          </cell>
        </row>
        <row r="90">
          <cell r="A90" t="str">
            <v/>
          </cell>
          <cell r="B90" t="str">
            <v/>
          </cell>
          <cell r="C90" t="str">
            <v/>
          </cell>
        </row>
        <row r="91">
          <cell r="A91" t="str">
            <v/>
          </cell>
          <cell r="B91" t="str">
            <v/>
          </cell>
          <cell r="C91" t="str">
            <v/>
          </cell>
        </row>
        <row r="92">
          <cell r="A92" t="str">
            <v/>
          </cell>
          <cell r="B92" t="str">
            <v/>
          </cell>
          <cell r="C92" t="str">
            <v/>
          </cell>
        </row>
        <row r="93">
          <cell r="A93" t="str">
            <v/>
          </cell>
          <cell r="B93" t="str">
            <v/>
          </cell>
          <cell r="C93" t="str">
            <v/>
          </cell>
        </row>
        <row r="94">
          <cell r="A94" t="str">
            <v/>
          </cell>
          <cell r="B94" t="str">
            <v/>
          </cell>
          <cell r="C94" t="str">
            <v/>
          </cell>
        </row>
        <row r="95">
          <cell r="A95" t="str">
            <v/>
          </cell>
          <cell r="B95" t="str">
            <v/>
          </cell>
          <cell r="C95" t="str">
            <v/>
          </cell>
        </row>
        <row r="96">
          <cell r="A96" t="str">
            <v/>
          </cell>
          <cell r="B96" t="str">
            <v/>
          </cell>
          <cell r="C96" t="str">
            <v/>
          </cell>
        </row>
        <row r="97">
          <cell r="A97" t="str">
            <v/>
          </cell>
          <cell r="B97" t="str">
            <v/>
          </cell>
          <cell r="C97" t="str">
            <v/>
          </cell>
        </row>
        <row r="98">
          <cell r="A98" t="str">
            <v/>
          </cell>
          <cell r="B98" t="str">
            <v/>
          </cell>
          <cell r="C98" t="str">
            <v/>
          </cell>
        </row>
        <row r="99">
          <cell r="A99" t="str">
            <v/>
          </cell>
          <cell r="B99" t="str">
            <v/>
          </cell>
          <cell r="C99" t="str">
            <v/>
          </cell>
        </row>
        <row r="100">
          <cell r="A100" t="str">
            <v/>
          </cell>
          <cell r="B100" t="str">
            <v/>
          </cell>
          <cell r="C100"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デイリーデータ"/>
      <sheetName val="宅直データ "/>
      <sheetName val="デイリーデータ (2)"/>
      <sheetName val="宅直データ (２)"/>
      <sheetName val="拘束担当依頼表"/>
      <sheetName val="スタッフ"/>
      <sheetName val="勤務表"/>
      <sheetName val="当"/>
      <sheetName val="明"/>
      <sheetName val="●"/>
      <sheetName val="午前半"/>
      <sheetName val="例外"/>
      <sheetName val="勤務表 (2)"/>
      <sheetName val="印刷用"/>
      <sheetName val="拘"/>
      <sheetName val="月表示"/>
      <sheetName val="拘束者"/>
      <sheetName val="日勤"/>
      <sheetName val="管理課提出用データ"/>
      <sheetName val="マニュアル"/>
      <sheetName val="印刷用２"/>
      <sheetName val="らいふクリニック"/>
    </sheetNames>
    <sheetDataSet>
      <sheetData sheetId="0" refreshError="1"/>
      <sheetData sheetId="1" refreshError="1"/>
      <sheetData sheetId="2"/>
      <sheetData sheetId="3" refreshError="1"/>
      <sheetData sheetId="4" refreshError="1"/>
      <sheetData sheetId="5"/>
      <sheetData sheetId="6" refreshError="1"/>
      <sheetData sheetId="7" refreshError="1"/>
      <sheetData sheetId="8" refreshError="1"/>
      <sheetData sheetId="9" refreshError="1"/>
      <sheetData sheetId="10" refreshError="1"/>
      <sheetData sheetId="11" refreshError="1"/>
      <sheetData sheetId="12">
        <row r="1">
          <cell r="D1">
            <v>45748</v>
          </cell>
          <cell r="E1">
            <v>45749</v>
          </cell>
          <cell r="F1">
            <v>45750</v>
          </cell>
          <cell r="G1">
            <v>45751</v>
          </cell>
          <cell r="H1">
            <v>45752</v>
          </cell>
          <cell r="I1">
            <v>45753</v>
          </cell>
          <cell r="J1">
            <v>45754</v>
          </cell>
          <cell r="K1">
            <v>45755</v>
          </cell>
          <cell r="L1">
            <v>45756</v>
          </cell>
          <cell r="M1">
            <v>45757</v>
          </cell>
          <cell r="N1">
            <v>45758</v>
          </cell>
          <cell r="O1">
            <v>45759</v>
          </cell>
          <cell r="P1">
            <v>45760</v>
          </cell>
          <cell r="Q1">
            <v>45761</v>
          </cell>
          <cell r="R1">
            <v>45762</v>
          </cell>
          <cell r="S1">
            <v>45763</v>
          </cell>
          <cell r="T1">
            <v>45764</v>
          </cell>
          <cell r="U1">
            <v>45765</v>
          </cell>
          <cell r="V1">
            <v>45766</v>
          </cell>
          <cell r="W1">
            <v>45767</v>
          </cell>
          <cell r="X1">
            <v>45768</v>
          </cell>
          <cell r="Y1">
            <v>45769</v>
          </cell>
          <cell r="Z1">
            <v>45770</v>
          </cell>
          <cell r="AA1">
            <v>45771</v>
          </cell>
          <cell r="AB1">
            <v>45772</v>
          </cell>
          <cell r="AC1">
            <v>45773</v>
          </cell>
          <cell r="AD1">
            <v>45774</v>
          </cell>
          <cell r="AE1">
            <v>45775</v>
          </cell>
          <cell r="AF1">
            <v>45776</v>
          </cell>
          <cell r="AG1">
            <v>45777</v>
          </cell>
          <cell r="AH1" t="str">
            <v/>
          </cell>
        </row>
        <row r="2">
          <cell r="D2">
            <v>45748</v>
          </cell>
          <cell r="E2">
            <v>45749</v>
          </cell>
          <cell r="F2">
            <v>45750</v>
          </cell>
          <cell r="G2">
            <v>45751</v>
          </cell>
          <cell r="H2">
            <v>45752</v>
          </cell>
          <cell r="I2">
            <v>45753</v>
          </cell>
          <cell r="J2">
            <v>45754</v>
          </cell>
          <cell r="K2">
            <v>45755</v>
          </cell>
          <cell r="L2">
            <v>45756</v>
          </cell>
          <cell r="M2">
            <v>45757</v>
          </cell>
          <cell r="N2">
            <v>45758</v>
          </cell>
          <cell r="O2">
            <v>45759</v>
          </cell>
          <cell r="P2">
            <v>45760</v>
          </cell>
          <cell r="Q2">
            <v>45761</v>
          </cell>
          <cell r="R2">
            <v>45762</v>
          </cell>
          <cell r="S2">
            <v>45763</v>
          </cell>
          <cell r="T2">
            <v>45764</v>
          </cell>
          <cell r="U2">
            <v>45765</v>
          </cell>
          <cell r="V2">
            <v>45766</v>
          </cell>
          <cell r="W2">
            <v>45767</v>
          </cell>
          <cell r="X2">
            <v>45768</v>
          </cell>
          <cell r="Y2">
            <v>45769</v>
          </cell>
          <cell r="Z2">
            <v>45770</v>
          </cell>
          <cell r="AA2">
            <v>45771</v>
          </cell>
          <cell r="AB2">
            <v>45772</v>
          </cell>
          <cell r="AC2">
            <v>45773</v>
          </cell>
          <cell r="AD2">
            <v>45774</v>
          </cell>
          <cell r="AE2">
            <v>45775</v>
          </cell>
          <cell r="AF2">
            <v>45776</v>
          </cell>
          <cell r="AG2">
            <v>45777</v>
          </cell>
          <cell r="AH2" t="str">
            <v/>
          </cell>
        </row>
        <row r="3">
          <cell r="A3">
            <v>1</v>
          </cell>
          <cell r="B3" t="str">
            <v>51774</v>
          </cell>
          <cell r="C3" t="str">
            <v>山村 博</v>
          </cell>
          <cell r="D3" t="str">
            <v/>
          </cell>
          <cell r="E3" t="str">
            <v/>
          </cell>
          <cell r="F3" t="str">
            <v/>
          </cell>
          <cell r="G3" t="str">
            <v/>
          </cell>
          <cell r="H3" t="str">
            <v>○</v>
          </cell>
          <cell r="I3" t="str">
            <v>●</v>
          </cell>
          <cell r="J3" t="str">
            <v/>
          </cell>
          <cell r="K3" t="str">
            <v/>
          </cell>
          <cell r="L3" t="str">
            <v/>
          </cell>
          <cell r="M3" t="str">
            <v/>
          </cell>
          <cell r="N3" t="str">
            <v/>
          </cell>
          <cell r="O3" t="str">
            <v>○</v>
          </cell>
          <cell r="P3" t="str">
            <v>●</v>
          </cell>
          <cell r="Q3" t="str">
            <v/>
          </cell>
          <cell r="R3" t="str">
            <v/>
          </cell>
          <cell r="S3" t="str">
            <v/>
          </cell>
          <cell r="T3" t="str">
            <v/>
          </cell>
          <cell r="U3" t="str">
            <v/>
          </cell>
          <cell r="V3" t="str">
            <v>○</v>
          </cell>
          <cell r="W3" t="str">
            <v>●</v>
          </cell>
          <cell r="X3" t="str">
            <v/>
          </cell>
          <cell r="Y3" t="str">
            <v/>
          </cell>
          <cell r="Z3" t="str">
            <v/>
          </cell>
          <cell r="AA3" t="str">
            <v/>
          </cell>
          <cell r="AB3" t="str">
            <v/>
          </cell>
          <cell r="AC3" t="str">
            <v>○</v>
          </cell>
          <cell r="AD3" t="str">
            <v>●</v>
          </cell>
          <cell r="AE3" t="str">
            <v/>
          </cell>
          <cell r="AF3" t="str">
            <v/>
          </cell>
          <cell r="AG3" t="str">
            <v/>
          </cell>
          <cell r="AH3" t="str">
            <v/>
          </cell>
        </row>
        <row r="4">
          <cell r="A4">
            <v>2</v>
          </cell>
          <cell r="B4" t="str">
            <v>35665</v>
          </cell>
          <cell r="C4" t="str">
            <v>山下 修</v>
          </cell>
          <cell r="D4" t="str">
            <v/>
          </cell>
          <cell r="E4" t="str">
            <v/>
          </cell>
          <cell r="F4" t="str">
            <v/>
          </cell>
          <cell r="G4" t="str">
            <v/>
          </cell>
          <cell r="H4" t="str">
            <v>○</v>
          </cell>
          <cell r="I4" t="str">
            <v>●</v>
          </cell>
          <cell r="J4" t="str">
            <v/>
          </cell>
          <cell r="K4" t="str">
            <v/>
          </cell>
          <cell r="L4" t="str">
            <v/>
          </cell>
          <cell r="M4" t="str">
            <v/>
          </cell>
          <cell r="N4" t="str">
            <v/>
          </cell>
          <cell r="O4" t="str">
            <v>○</v>
          </cell>
          <cell r="P4" t="str">
            <v>●</v>
          </cell>
          <cell r="Q4" t="str">
            <v/>
          </cell>
          <cell r="R4" t="str">
            <v/>
          </cell>
          <cell r="S4" t="str">
            <v/>
          </cell>
          <cell r="T4" t="str">
            <v/>
          </cell>
          <cell r="U4" t="str">
            <v/>
          </cell>
          <cell r="V4" t="str">
            <v>○</v>
          </cell>
          <cell r="W4" t="str">
            <v>●</v>
          </cell>
          <cell r="X4" t="str">
            <v/>
          </cell>
          <cell r="Y4" t="str">
            <v/>
          </cell>
          <cell r="Z4" t="str">
            <v/>
          </cell>
          <cell r="AA4" t="str">
            <v/>
          </cell>
          <cell r="AB4" t="str">
            <v/>
          </cell>
          <cell r="AC4" t="str">
            <v>○</v>
          </cell>
          <cell r="AD4" t="str">
            <v>●</v>
          </cell>
          <cell r="AE4" t="str">
            <v/>
          </cell>
          <cell r="AF4" t="str">
            <v/>
          </cell>
          <cell r="AG4" t="str">
            <v/>
          </cell>
          <cell r="AH4" t="str">
            <v/>
          </cell>
        </row>
        <row r="5">
          <cell r="A5">
            <v>3</v>
          </cell>
          <cell r="B5" t="str">
            <v>62993</v>
          </cell>
          <cell r="C5" t="str">
            <v>平田 恵哉</v>
          </cell>
          <cell r="D5" t="str">
            <v/>
          </cell>
          <cell r="E5" t="str">
            <v/>
          </cell>
          <cell r="F5" t="str">
            <v/>
          </cell>
          <cell r="G5" t="str">
            <v/>
          </cell>
          <cell r="H5" t="str">
            <v>／</v>
          </cell>
          <cell r="I5" t="str">
            <v>●</v>
          </cell>
          <cell r="J5" t="str">
            <v/>
          </cell>
          <cell r="K5" t="str">
            <v>当</v>
          </cell>
          <cell r="L5" t="str">
            <v>明</v>
          </cell>
          <cell r="M5" t="str">
            <v/>
          </cell>
          <cell r="N5" t="str">
            <v/>
          </cell>
          <cell r="O5" t="str">
            <v>○</v>
          </cell>
          <cell r="P5" t="str">
            <v>●</v>
          </cell>
          <cell r="Q5" t="str">
            <v/>
          </cell>
          <cell r="R5" t="str">
            <v/>
          </cell>
          <cell r="S5" t="str">
            <v/>
          </cell>
          <cell r="T5" t="str">
            <v/>
          </cell>
          <cell r="U5" t="str">
            <v/>
          </cell>
          <cell r="V5" t="str">
            <v>／</v>
          </cell>
          <cell r="W5" t="str">
            <v>●</v>
          </cell>
          <cell r="X5" t="str">
            <v/>
          </cell>
          <cell r="Y5" t="str">
            <v/>
          </cell>
          <cell r="Z5" t="str">
            <v/>
          </cell>
          <cell r="AA5" t="str">
            <v/>
          </cell>
          <cell r="AB5" t="str">
            <v/>
          </cell>
          <cell r="AC5" t="str">
            <v>○</v>
          </cell>
          <cell r="AD5" t="str">
            <v/>
          </cell>
          <cell r="AE5" t="str">
            <v/>
          </cell>
          <cell r="AF5" t="str">
            <v>当</v>
          </cell>
          <cell r="AG5" t="str">
            <v>明</v>
          </cell>
          <cell r="AH5" t="str">
            <v/>
          </cell>
        </row>
        <row r="6">
          <cell r="A6">
            <v>4</v>
          </cell>
          <cell r="B6" t="str">
            <v>88014</v>
          </cell>
          <cell r="C6" t="str">
            <v>長田 弘二</v>
          </cell>
          <cell r="D6" t="str">
            <v/>
          </cell>
          <cell r="E6" t="str">
            <v/>
          </cell>
          <cell r="F6" t="str">
            <v>当</v>
          </cell>
          <cell r="G6" t="str">
            <v>明</v>
          </cell>
          <cell r="H6" t="str">
            <v>○</v>
          </cell>
          <cell r="I6" t="str">
            <v>●</v>
          </cell>
          <cell r="J6" t="str">
            <v/>
          </cell>
          <cell r="K6" t="str">
            <v/>
          </cell>
          <cell r="L6" t="str">
            <v/>
          </cell>
          <cell r="M6" t="str">
            <v/>
          </cell>
          <cell r="N6" t="str">
            <v/>
          </cell>
          <cell r="O6" t="str">
            <v>／</v>
          </cell>
          <cell r="P6" t="str">
            <v>●</v>
          </cell>
          <cell r="Q6" t="str">
            <v/>
          </cell>
          <cell r="R6" t="str">
            <v/>
          </cell>
          <cell r="S6" t="str">
            <v/>
          </cell>
          <cell r="T6" t="str">
            <v/>
          </cell>
          <cell r="U6" t="str">
            <v/>
          </cell>
          <cell r="V6" t="str">
            <v>○</v>
          </cell>
          <cell r="W6" t="str">
            <v>●</v>
          </cell>
          <cell r="X6" t="str">
            <v>当</v>
          </cell>
          <cell r="Y6" t="str">
            <v>明</v>
          </cell>
          <cell r="Z6" t="str">
            <v/>
          </cell>
          <cell r="AA6" t="str">
            <v/>
          </cell>
          <cell r="AB6" t="str">
            <v/>
          </cell>
          <cell r="AC6" t="str">
            <v>／</v>
          </cell>
          <cell r="AD6" t="str">
            <v>●</v>
          </cell>
          <cell r="AE6" t="str">
            <v/>
          </cell>
          <cell r="AF6" t="str">
            <v/>
          </cell>
          <cell r="AG6" t="str">
            <v/>
          </cell>
          <cell r="AH6" t="str">
            <v/>
          </cell>
        </row>
        <row r="7">
          <cell r="A7">
            <v>5</v>
          </cell>
          <cell r="B7" t="str">
            <v>29056</v>
          </cell>
          <cell r="C7" t="str">
            <v>中井 士郎</v>
          </cell>
          <cell r="D7" t="str">
            <v/>
          </cell>
          <cell r="E7" t="str">
            <v/>
          </cell>
          <cell r="F7" t="str">
            <v/>
          </cell>
          <cell r="G7" t="str">
            <v/>
          </cell>
          <cell r="H7" t="str">
            <v>○</v>
          </cell>
          <cell r="I7" t="str">
            <v>●</v>
          </cell>
          <cell r="J7" t="str">
            <v/>
          </cell>
          <cell r="K7" t="str">
            <v/>
          </cell>
          <cell r="L7" t="str">
            <v/>
          </cell>
          <cell r="M7" t="str">
            <v/>
          </cell>
          <cell r="N7" t="str">
            <v/>
          </cell>
          <cell r="O7" t="str">
            <v>○</v>
          </cell>
          <cell r="P7" t="str">
            <v>●</v>
          </cell>
          <cell r="Q7" t="str">
            <v/>
          </cell>
          <cell r="R7" t="str">
            <v/>
          </cell>
          <cell r="S7" t="str">
            <v/>
          </cell>
          <cell r="T7" t="str">
            <v/>
          </cell>
          <cell r="U7" t="str">
            <v/>
          </cell>
          <cell r="V7" t="str">
            <v>○</v>
          </cell>
          <cell r="W7" t="str">
            <v>●</v>
          </cell>
          <cell r="X7" t="str">
            <v/>
          </cell>
          <cell r="Y7" t="str">
            <v/>
          </cell>
          <cell r="Z7" t="str">
            <v/>
          </cell>
          <cell r="AA7" t="str">
            <v/>
          </cell>
          <cell r="AB7" t="str">
            <v/>
          </cell>
          <cell r="AC7" t="str">
            <v>○</v>
          </cell>
          <cell r="AD7" t="str">
            <v>●</v>
          </cell>
          <cell r="AE7" t="str">
            <v/>
          </cell>
          <cell r="AF7" t="str">
            <v/>
          </cell>
          <cell r="AG7" t="str">
            <v/>
          </cell>
          <cell r="AH7" t="str">
            <v/>
          </cell>
        </row>
        <row r="8">
          <cell r="A8">
            <v>6</v>
          </cell>
          <cell r="B8" t="str">
            <v>31176</v>
          </cell>
          <cell r="C8" t="str">
            <v>北 洋一</v>
          </cell>
          <cell r="D8" t="str">
            <v/>
          </cell>
          <cell r="E8" t="str">
            <v/>
          </cell>
          <cell r="F8" t="str">
            <v/>
          </cell>
          <cell r="G8" t="str">
            <v/>
          </cell>
          <cell r="H8" t="str">
            <v>○</v>
          </cell>
          <cell r="I8" t="str">
            <v>●</v>
          </cell>
          <cell r="J8" t="str">
            <v/>
          </cell>
          <cell r="K8" t="str">
            <v/>
          </cell>
          <cell r="L8" t="str">
            <v/>
          </cell>
          <cell r="M8" t="str">
            <v/>
          </cell>
          <cell r="N8" t="str">
            <v/>
          </cell>
          <cell r="O8" t="str">
            <v>○</v>
          </cell>
          <cell r="P8" t="str">
            <v>●</v>
          </cell>
          <cell r="Q8" t="str">
            <v/>
          </cell>
          <cell r="R8" t="str">
            <v/>
          </cell>
          <cell r="S8" t="str">
            <v/>
          </cell>
          <cell r="T8" t="str">
            <v/>
          </cell>
          <cell r="U8" t="str">
            <v/>
          </cell>
          <cell r="V8" t="str">
            <v>○</v>
          </cell>
          <cell r="W8" t="str">
            <v>●</v>
          </cell>
          <cell r="X8" t="str">
            <v/>
          </cell>
          <cell r="Y8" t="str">
            <v/>
          </cell>
          <cell r="Z8" t="str">
            <v/>
          </cell>
          <cell r="AA8" t="str">
            <v/>
          </cell>
          <cell r="AB8" t="str">
            <v/>
          </cell>
          <cell r="AC8" t="str">
            <v>○</v>
          </cell>
          <cell r="AD8" t="str">
            <v>●</v>
          </cell>
          <cell r="AE8" t="str">
            <v/>
          </cell>
          <cell r="AF8" t="str">
            <v/>
          </cell>
          <cell r="AG8" t="str">
            <v/>
          </cell>
          <cell r="AH8" t="str">
            <v/>
          </cell>
        </row>
        <row r="9">
          <cell r="A9">
            <v>7</v>
          </cell>
          <cell r="B9" t="str">
            <v>33473</v>
          </cell>
          <cell r="C9" t="str">
            <v>中村 映水</v>
          </cell>
          <cell r="D9" t="str">
            <v/>
          </cell>
          <cell r="E9" t="str">
            <v/>
          </cell>
          <cell r="F9" t="str">
            <v/>
          </cell>
          <cell r="G9" t="str">
            <v/>
          </cell>
          <cell r="H9" t="str">
            <v>○</v>
          </cell>
          <cell r="I9" t="str">
            <v>●</v>
          </cell>
          <cell r="J9" t="str">
            <v/>
          </cell>
          <cell r="K9" t="str">
            <v/>
          </cell>
          <cell r="L9" t="str">
            <v/>
          </cell>
          <cell r="M9" t="str">
            <v/>
          </cell>
          <cell r="N9" t="str">
            <v/>
          </cell>
          <cell r="O9" t="str">
            <v>○</v>
          </cell>
          <cell r="P9" t="str">
            <v>●</v>
          </cell>
          <cell r="Q9" t="str">
            <v/>
          </cell>
          <cell r="R9" t="str">
            <v/>
          </cell>
          <cell r="S9" t="str">
            <v/>
          </cell>
          <cell r="T9" t="str">
            <v/>
          </cell>
          <cell r="U9" t="str">
            <v/>
          </cell>
          <cell r="V9" t="str">
            <v>○</v>
          </cell>
          <cell r="W9" t="str">
            <v>●</v>
          </cell>
          <cell r="X9" t="str">
            <v/>
          </cell>
          <cell r="Y9" t="str">
            <v/>
          </cell>
          <cell r="Z9" t="str">
            <v/>
          </cell>
          <cell r="AA9" t="str">
            <v/>
          </cell>
          <cell r="AB9" t="str">
            <v/>
          </cell>
          <cell r="AC9" t="str">
            <v>○</v>
          </cell>
          <cell r="AD9" t="str">
            <v>●</v>
          </cell>
          <cell r="AE9" t="str">
            <v/>
          </cell>
          <cell r="AF9" t="str">
            <v/>
          </cell>
          <cell r="AG9" t="str">
            <v/>
          </cell>
          <cell r="AH9" t="str">
            <v/>
          </cell>
        </row>
        <row r="10">
          <cell r="A10">
            <v>8</v>
          </cell>
          <cell r="B10" t="str">
            <v>33485</v>
          </cell>
          <cell r="C10" t="str">
            <v>平田 真奈美</v>
          </cell>
          <cell r="D10" t="str">
            <v/>
          </cell>
          <cell r="E10" t="str">
            <v/>
          </cell>
          <cell r="F10" t="str">
            <v/>
          </cell>
          <cell r="G10" t="str">
            <v/>
          </cell>
          <cell r="H10" t="str">
            <v>○</v>
          </cell>
          <cell r="I10" t="str">
            <v>●</v>
          </cell>
          <cell r="J10" t="str">
            <v/>
          </cell>
          <cell r="K10" t="str">
            <v/>
          </cell>
          <cell r="L10" t="str">
            <v/>
          </cell>
          <cell r="M10" t="str">
            <v/>
          </cell>
          <cell r="N10" t="str">
            <v/>
          </cell>
          <cell r="O10" t="str">
            <v>○</v>
          </cell>
          <cell r="P10" t="str">
            <v>●</v>
          </cell>
          <cell r="Q10" t="str">
            <v/>
          </cell>
          <cell r="R10" t="str">
            <v/>
          </cell>
          <cell r="S10" t="str">
            <v/>
          </cell>
          <cell r="T10" t="str">
            <v/>
          </cell>
          <cell r="U10" t="str">
            <v/>
          </cell>
          <cell r="V10" t="str">
            <v>○</v>
          </cell>
          <cell r="W10" t="str">
            <v>●</v>
          </cell>
          <cell r="X10" t="str">
            <v/>
          </cell>
          <cell r="Y10" t="str">
            <v/>
          </cell>
          <cell r="Z10" t="str">
            <v/>
          </cell>
          <cell r="AA10" t="str">
            <v/>
          </cell>
          <cell r="AB10" t="str">
            <v/>
          </cell>
          <cell r="AC10" t="str">
            <v>○</v>
          </cell>
          <cell r="AD10" t="str">
            <v>●</v>
          </cell>
          <cell r="AE10" t="str">
            <v/>
          </cell>
          <cell r="AF10" t="str">
            <v/>
          </cell>
          <cell r="AG10" t="str">
            <v/>
          </cell>
          <cell r="AH10" t="str">
            <v/>
          </cell>
        </row>
        <row r="11">
          <cell r="A11">
            <v>9</v>
          </cell>
          <cell r="B11" t="str">
            <v>37584</v>
          </cell>
          <cell r="C11" t="str">
            <v>大橋 効</v>
          </cell>
          <cell r="D11" t="str">
            <v/>
          </cell>
          <cell r="E11" t="str">
            <v/>
          </cell>
          <cell r="F11" t="str">
            <v/>
          </cell>
          <cell r="G11" t="str">
            <v/>
          </cell>
          <cell r="H11" t="str">
            <v>○</v>
          </cell>
          <cell r="I11" t="str">
            <v>当</v>
          </cell>
          <cell r="J11" t="str">
            <v>明</v>
          </cell>
          <cell r="K11" t="str">
            <v>●</v>
          </cell>
          <cell r="L11" t="str">
            <v/>
          </cell>
          <cell r="M11" t="str">
            <v/>
          </cell>
          <cell r="N11" t="str">
            <v>当</v>
          </cell>
          <cell r="O11" t="str">
            <v>明</v>
          </cell>
          <cell r="P11" t="str">
            <v>●</v>
          </cell>
          <cell r="Q11" t="str">
            <v/>
          </cell>
          <cell r="R11" t="str">
            <v/>
          </cell>
          <cell r="S11" t="str">
            <v/>
          </cell>
          <cell r="T11" t="str">
            <v/>
          </cell>
          <cell r="U11" t="str">
            <v/>
          </cell>
          <cell r="V11" t="str">
            <v>○</v>
          </cell>
          <cell r="W11" t="str">
            <v>●</v>
          </cell>
          <cell r="X11" t="str">
            <v/>
          </cell>
          <cell r="Y11" t="str">
            <v/>
          </cell>
          <cell r="Z11" t="str">
            <v/>
          </cell>
          <cell r="AA11" t="str">
            <v/>
          </cell>
          <cell r="AB11" t="str">
            <v>当</v>
          </cell>
          <cell r="AC11" t="str">
            <v>明</v>
          </cell>
          <cell r="AD11" t="str">
            <v>●</v>
          </cell>
          <cell r="AE11" t="str">
            <v/>
          </cell>
          <cell r="AF11" t="str">
            <v/>
          </cell>
          <cell r="AG11" t="str">
            <v/>
          </cell>
          <cell r="AH11" t="str">
            <v/>
          </cell>
        </row>
        <row r="12">
          <cell r="A12">
            <v>10</v>
          </cell>
          <cell r="B12" t="str">
            <v>37601</v>
          </cell>
          <cell r="C12" t="str">
            <v>山本 浩之</v>
          </cell>
          <cell r="D12" t="str">
            <v/>
          </cell>
          <cell r="E12" t="str">
            <v/>
          </cell>
          <cell r="F12" t="str">
            <v/>
          </cell>
          <cell r="G12" t="str">
            <v/>
          </cell>
          <cell r="H12" t="str">
            <v>／</v>
          </cell>
          <cell r="I12" t="str">
            <v>●</v>
          </cell>
          <cell r="J12" t="str">
            <v/>
          </cell>
          <cell r="K12" t="str">
            <v/>
          </cell>
          <cell r="L12" t="str">
            <v/>
          </cell>
          <cell r="M12" t="str">
            <v>当</v>
          </cell>
          <cell r="N12" t="str">
            <v>明</v>
          </cell>
          <cell r="O12" t="str">
            <v>○</v>
          </cell>
          <cell r="P12" t="str">
            <v>●</v>
          </cell>
          <cell r="Q12" t="str">
            <v/>
          </cell>
          <cell r="R12" t="str">
            <v/>
          </cell>
          <cell r="S12" t="str">
            <v/>
          </cell>
          <cell r="T12" t="str">
            <v/>
          </cell>
          <cell r="U12" t="str">
            <v/>
          </cell>
          <cell r="V12" t="str">
            <v>／</v>
          </cell>
          <cell r="W12" t="str">
            <v>●</v>
          </cell>
          <cell r="X12" t="str">
            <v/>
          </cell>
          <cell r="Y12" t="str">
            <v/>
          </cell>
          <cell r="Z12" t="str">
            <v>当</v>
          </cell>
          <cell r="AA12" t="str">
            <v>明</v>
          </cell>
          <cell r="AB12" t="str">
            <v/>
          </cell>
          <cell r="AC12" t="str">
            <v>○</v>
          </cell>
          <cell r="AD12" t="str">
            <v>●</v>
          </cell>
          <cell r="AE12" t="str">
            <v/>
          </cell>
          <cell r="AF12" t="str">
            <v/>
          </cell>
          <cell r="AG12" t="str">
            <v/>
          </cell>
          <cell r="AH12" t="str">
            <v/>
          </cell>
        </row>
        <row r="13">
          <cell r="A13">
            <v>11</v>
          </cell>
          <cell r="B13" t="str">
            <v>39805</v>
          </cell>
          <cell r="C13" t="str">
            <v>南 博之</v>
          </cell>
          <cell r="D13" t="str">
            <v/>
          </cell>
          <cell r="E13" t="str">
            <v/>
          </cell>
          <cell r="F13" t="str">
            <v/>
          </cell>
          <cell r="G13" t="str">
            <v/>
          </cell>
          <cell r="H13" t="str">
            <v>当</v>
          </cell>
          <cell r="I13" t="str">
            <v>明</v>
          </cell>
          <cell r="J13" t="str">
            <v>●</v>
          </cell>
          <cell r="K13" t="str">
            <v/>
          </cell>
          <cell r="L13" t="str">
            <v/>
          </cell>
          <cell r="M13" t="str">
            <v/>
          </cell>
          <cell r="N13" t="str">
            <v/>
          </cell>
          <cell r="O13" t="str">
            <v>○</v>
          </cell>
          <cell r="P13" t="str">
            <v>●</v>
          </cell>
          <cell r="Q13" t="str">
            <v/>
          </cell>
          <cell r="R13" t="str">
            <v/>
          </cell>
          <cell r="S13" t="str">
            <v/>
          </cell>
          <cell r="T13" t="str">
            <v/>
          </cell>
          <cell r="U13" t="str">
            <v/>
          </cell>
          <cell r="V13" t="str">
            <v>／</v>
          </cell>
          <cell r="W13" t="str">
            <v>●</v>
          </cell>
          <cell r="X13" t="str">
            <v/>
          </cell>
          <cell r="Y13" t="str">
            <v>当</v>
          </cell>
          <cell r="Z13" t="str">
            <v>明</v>
          </cell>
          <cell r="AA13" t="str">
            <v/>
          </cell>
          <cell r="AB13" t="str">
            <v/>
          </cell>
          <cell r="AC13" t="str">
            <v>○</v>
          </cell>
          <cell r="AD13" t="str">
            <v>●</v>
          </cell>
          <cell r="AE13" t="str">
            <v/>
          </cell>
          <cell r="AF13" t="str">
            <v/>
          </cell>
          <cell r="AG13" t="str">
            <v/>
          </cell>
          <cell r="AH13" t="str">
            <v/>
          </cell>
        </row>
        <row r="14">
          <cell r="A14">
            <v>12</v>
          </cell>
          <cell r="B14" t="str">
            <v>42503</v>
          </cell>
          <cell r="C14" t="str">
            <v>澤野 正樹</v>
          </cell>
          <cell r="D14" t="str">
            <v/>
          </cell>
          <cell r="E14" t="str">
            <v/>
          </cell>
          <cell r="F14" t="str">
            <v/>
          </cell>
          <cell r="G14" t="str">
            <v/>
          </cell>
          <cell r="H14" t="str">
            <v>／</v>
          </cell>
          <cell r="I14" t="str">
            <v>●</v>
          </cell>
          <cell r="J14" t="str">
            <v/>
          </cell>
          <cell r="K14" t="str">
            <v/>
          </cell>
          <cell r="L14" t="str">
            <v/>
          </cell>
          <cell r="M14" t="str">
            <v/>
          </cell>
          <cell r="N14" t="str">
            <v/>
          </cell>
          <cell r="O14" t="str">
            <v>○</v>
          </cell>
          <cell r="P14" t="str">
            <v/>
          </cell>
          <cell r="Q14" t="str">
            <v>当</v>
          </cell>
          <cell r="R14" t="str">
            <v>明</v>
          </cell>
          <cell r="S14" t="str">
            <v/>
          </cell>
          <cell r="T14" t="str">
            <v/>
          </cell>
          <cell r="U14" t="str">
            <v/>
          </cell>
          <cell r="V14" t="str">
            <v>当</v>
          </cell>
          <cell r="W14" t="str">
            <v>明</v>
          </cell>
          <cell r="X14" t="str">
            <v>●</v>
          </cell>
          <cell r="Y14" t="str">
            <v/>
          </cell>
          <cell r="Z14" t="str">
            <v/>
          </cell>
          <cell r="AA14" t="str">
            <v/>
          </cell>
          <cell r="AB14" t="str">
            <v/>
          </cell>
          <cell r="AC14" t="str">
            <v>○</v>
          </cell>
          <cell r="AD14" t="str">
            <v>●</v>
          </cell>
          <cell r="AE14" t="str">
            <v/>
          </cell>
          <cell r="AF14" t="str">
            <v/>
          </cell>
          <cell r="AG14" t="str">
            <v/>
          </cell>
          <cell r="AH14" t="str">
            <v/>
          </cell>
        </row>
        <row r="15">
          <cell r="A15">
            <v>13</v>
          </cell>
          <cell r="B15" t="str">
            <v>46963</v>
          </cell>
          <cell r="C15" t="str">
            <v>清水 和弥</v>
          </cell>
          <cell r="D15" t="str">
            <v/>
          </cell>
          <cell r="E15" t="str">
            <v/>
          </cell>
          <cell r="F15" t="str">
            <v/>
          </cell>
          <cell r="G15" t="str">
            <v/>
          </cell>
          <cell r="H15" t="str">
            <v>○</v>
          </cell>
          <cell r="I15" t="str">
            <v>●</v>
          </cell>
          <cell r="J15" t="str">
            <v/>
          </cell>
          <cell r="K15" t="str">
            <v/>
          </cell>
          <cell r="L15" t="str">
            <v/>
          </cell>
          <cell r="M15" t="str">
            <v/>
          </cell>
          <cell r="N15" t="str">
            <v/>
          </cell>
          <cell r="O15" t="str">
            <v>○</v>
          </cell>
          <cell r="P15" t="str">
            <v>●</v>
          </cell>
          <cell r="Q15" t="str">
            <v/>
          </cell>
          <cell r="R15" t="str">
            <v/>
          </cell>
          <cell r="S15" t="str">
            <v/>
          </cell>
          <cell r="T15" t="str">
            <v/>
          </cell>
          <cell r="U15" t="str">
            <v/>
          </cell>
          <cell r="V15" t="str">
            <v>○</v>
          </cell>
          <cell r="W15" t="str">
            <v>●</v>
          </cell>
          <cell r="X15" t="str">
            <v/>
          </cell>
          <cell r="Y15" t="str">
            <v/>
          </cell>
          <cell r="Z15" t="str">
            <v/>
          </cell>
          <cell r="AA15" t="str">
            <v/>
          </cell>
          <cell r="AB15" t="str">
            <v/>
          </cell>
          <cell r="AC15" t="str">
            <v>○</v>
          </cell>
          <cell r="AD15" t="str">
            <v>●</v>
          </cell>
          <cell r="AE15" t="str">
            <v/>
          </cell>
          <cell r="AF15" t="str">
            <v/>
          </cell>
          <cell r="AG15" t="str">
            <v/>
          </cell>
          <cell r="AH15" t="str">
            <v/>
          </cell>
        </row>
        <row r="16">
          <cell r="A16">
            <v>14</v>
          </cell>
          <cell r="B16" t="str">
            <v>52687</v>
          </cell>
          <cell r="C16" t="str">
            <v>坪野 寿恵</v>
          </cell>
          <cell r="D16" t="str">
            <v/>
          </cell>
          <cell r="E16" t="str">
            <v/>
          </cell>
          <cell r="F16" t="str">
            <v/>
          </cell>
          <cell r="G16" t="str">
            <v/>
          </cell>
          <cell r="H16" t="str">
            <v>○</v>
          </cell>
          <cell r="I16" t="str">
            <v>●</v>
          </cell>
          <cell r="J16" t="str">
            <v/>
          </cell>
          <cell r="K16" t="str">
            <v/>
          </cell>
          <cell r="L16" t="str">
            <v/>
          </cell>
          <cell r="M16" t="str">
            <v/>
          </cell>
          <cell r="N16" t="str">
            <v/>
          </cell>
          <cell r="O16" t="str">
            <v>○</v>
          </cell>
          <cell r="P16" t="str">
            <v>●</v>
          </cell>
          <cell r="Q16" t="str">
            <v/>
          </cell>
          <cell r="R16" t="str">
            <v/>
          </cell>
          <cell r="S16" t="str">
            <v/>
          </cell>
          <cell r="T16" t="str">
            <v/>
          </cell>
          <cell r="U16" t="str">
            <v/>
          </cell>
          <cell r="V16" t="str">
            <v>○</v>
          </cell>
          <cell r="W16" t="str">
            <v>●</v>
          </cell>
          <cell r="X16" t="str">
            <v/>
          </cell>
          <cell r="Y16" t="str">
            <v/>
          </cell>
          <cell r="Z16" t="str">
            <v/>
          </cell>
          <cell r="AA16" t="str">
            <v/>
          </cell>
          <cell r="AB16" t="str">
            <v/>
          </cell>
          <cell r="AC16" t="str">
            <v>○</v>
          </cell>
          <cell r="AD16" t="str">
            <v>●</v>
          </cell>
          <cell r="AE16" t="str">
            <v/>
          </cell>
          <cell r="AF16" t="str">
            <v/>
          </cell>
          <cell r="AG16" t="str">
            <v/>
          </cell>
          <cell r="AH16" t="str">
            <v/>
          </cell>
        </row>
        <row r="17">
          <cell r="A17">
            <v>15</v>
          </cell>
          <cell r="B17" t="str">
            <v>56712</v>
          </cell>
          <cell r="C17" t="str">
            <v>山田 正則</v>
          </cell>
          <cell r="D17" t="str">
            <v/>
          </cell>
          <cell r="E17" t="str">
            <v/>
          </cell>
          <cell r="F17" t="str">
            <v/>
          </cell>
          <cell r="G17" t="str">
            <v/>
          </cell>
          <cell r="H17" t="str">
            <v>／</v>
          </cell>
          <cell r="I17" t="str">
            <v>●</v>
          </cell>
          <cell r="J17" t="str">
            <v/>
          </cell>
          <cell r="K17" t="str">
            <v/>
          </cell>
          <cell r="L17" t="str">
            <v/>
          </cell>
          <cell r="M17" t="str">
            <v/>
          </cell>
          <cell r="N17" t="str">
            <v/>
          </cell>
          <cell r="O17" t="str">
            <v>○</v>
          </cell>
          <cell r="P17" t="str">
            <v>当</v>
          </cell>
          <cell r="Q17" t="str">
            <v>明</v>
          </cell>
          <cell r="R17" t="str">
            <v>●</v>
          </cell>
          <cell r="S17" t="str">
            <v/>
          </cell>
          <cell r="T17" t="str">
            <v/>
          </cell>
          <cell r="U17" t="str">
            <v/>
          </cell>
          <cell r="V17" t="str">
            <v>／</v>
          </cell>
          <cell r="W17" t="str">
            <v>●</v>
          </cell>
          <cell r="X17" t="str">
            <v/>
          </cell>
          <cell r="Y17" t="str">
            <v/>
          </cell>
          <cell r="Z17" t="str">
            <v/>
          </cell>
          <cell r="AA17" t="str">
            <v/>
          </cell>
          <cell r="AB17" t="str">
            <v/>
          </cell>
          <cell r="AC17" t="str">
            <v>○</v>
          </cell>
          <cell r="AD17" t="str">
            <v>当</v>
          </cell>
          <cell r="AE17" t="str">
            <v>明</v>
          </cell>
          <cell r="AF17" t="str">
            <v>●</v>
          </cell>
          <cell r="AG17" t="str">
            <v/>
          </cell>
          <cell r="AH17" t="str">
            <v/>
          </cell>
        </row>
        <row r="18">
          <cell r="A18">
            <v>16</v>
          </cell>
          <cell r="B18" t="str">
            <v>97962</v>
          </cell>
          <cell r="C18" t="str">
            <v>林 亮子</v>
          </cell>
          <cell r="D18" t="str">
            <v/>
          </cell>
          <cell r="E18" t="str">
            <v/>
          </cell>
          <cell r="F18" t="str">
            <v/>
          </cell>
          <cell r="G18" t="str">
            <v/>
          </cell>
          <cell r="H18" t="str">
            <v>○</v>
          </cell>
          <cell r="I18" t="str">
            <v>●</v>
          </cell>
          <cell r="J18" t="str">
            <v/>
          </cell>
          <cell r="K18" t="str">
            <v/>
          </cell>
          <cell r="L18" t="str">
            <v>当</v>
          </cell>
          <cell r="M18" t="str">
            <v>明</v>
          </cell>
          <cell r="N18" t="str">
            <v/>
          </cell>
          <cell r="O18" t="str">
            <v>／</v>
          </cell>
          <cell r="P18" t="str">
            <v>●</v>
          </cell>
          <cell r="Q18" t="str">
            <v/>
          </cell>
          <cell r="R18" t="str">
            <v/>
          </cell>
          <cell r="S18" t="str">
            <v/>
          </cell>
          <cell r="T18" t="str">
            <v/>
          </cell>
          <cell r="U18" t="str">
            <v/>
          </cell>
          <cell r="V18" t="str">
            <v>○</v>
          </cell>
          <cell r="W18" t="str">
            <v>●</v>
          </cell>
          <cell r="X18" t="str">
            <v/>
          </cell>
          <cell r="Y18" t="str">
            <v/>
          </cell>
          <cell r="Z18" t="str">
            <v/>
          </cell>
          <cell r="AA18" t="str">
            <v/>
          </cell>
          <cell r="AB18" t="str">
            <v/>
          </cell>
          <cell r="AC18" t="str">
            <v>／</v>
          </cell>
          <cell r="AD18" t="str">
            <v>●</v>
          </cell>
          <cell r="AE18" t="str">
            <v/>
          </cell>
          <cell r="AF18" t="str">
            <v/>
          </cell>
          <cell r="AG18" t="str">
            <v>当</v>
          </cell>
          <cell r="AH18" t="str">
            <v/>
          </cell>
        </row>
        <row r="19">
          <cell r="A19">
            <v>17</v>
          </cell>
          <cell r="B19" t="str">
            <v>103814</v>
          </cell>
          <cell r="C19" t="str">
            <v>田村 能之</v>
          </cell>
          <cell r="D19" t="str">
            <v/>
          </cell>
          <cell r="E19" t="str">
            <v/>
          </cell>
          <cell r="F19" t="str">
            <v/>
          </cell>
          <cell r="G19" t="str">
            <v/>
          </cell>
          <cell r="H19" t="str">
            <v>当</v>
          </cell>
          <cell r="I19" t="str">
            <v>明</v>
          </cell>
          <cell r="J19" t="str">
            <v>●</v>
          </cell>
          <cell r="K19" t="str">
            <v/>
          </cell>
          <cell r="L19" t="str">
            <v/>
          </cell>
          <cell r="M19" t="str">
            <v>当</v>
          </cell>
          <cell r="N19" t="str">
            <v>明</v>
          </cell>
          <cell r="O19" t="str">
            <v>○</v>
          </cell>
          <cell r="P19" t="str">
            <v>●</v>
          </cell>
          <cell r="Q19" t="str">
            <v/>
          </cell>
          <cell r="R19" t="str">
            <v/>
          </cell>
          <cell r="S19" t="str">
            <v/>
          </cell>
          <cell r="T19" t="str">
            <v/>
          </cell>
          <cell r="U19" t="str">
            <v>当</v>
          </cell>
          <cell r="V19" t="str">
            <v>明</v>
          </cell>
          <cell r="W19" t="str">
            <v>●</v>
          </cell>
          <cell r="X19" t="str">
            <v/>
          </cell>
          <cell r="Y19" t="str">
            <v/>
          </cell>
          <cell r="Z19" t="str">
            <v/>
          </cell>
          <cell r="AA19" t="str">
            <v/>
          </cell>
          <cell r="AB19" t="str">
            <v/>
          </cell>
          <cell r="AC19" t="str">
            <v>○</v>
          </cell>
          <cell r="AD19" t="str">
            <v>●</v>
          </cell>
          <cell r="AE19" t="str">
            <v/>
          </cell>
          <cell r="AF19" t="str">
            <v>当</v>
          </cell>
          <cell r="AG19" t="str">
            <v>明</v>
          </cell>
          <cell r="AH19" t="str">
            <v/>
          </cell>
        </row>
        <row r="20">
          <cell r="A20">
            <v>18</v>
          </cell>
          <cell r="B20" t="str">
            <v>109997</v>
          </cell>
          <cell r="C20" t="str">
            <v>庵 緋沙子</v>
          </cell>
          <cell r="D20" t="str">
            <v/>
          </cell>
          <cell r="E20" t="str">
            <v/>
          </cell>
          <cell r="F20" t="str">
            <v/>
          </cell>
          <cell r="G20" t="str">
            <v/>
          </cell>
          <cell r="H20" t="str">
            <v>○</v>
          </cell>
          <cell r="I20" t="str">
            <v>●</v>
          </cell>
          <cell r="J20" t="str">
            <v>当</v>
          </cell>
          <cell r="K20" t="str">
            <v>明</v>
          </cell>
          <cell r="L20" t="str">
            <v/>
          </cell>
          <cell r="M20" t="str">
            <v/>
          </cell>
          <cell r="N20" t="str">
            <v/>
          </cell>
          <cell r="O20" t="str">
            <v>当</v>
          </cell>
          <cell r="P20" t="str">
            <v>明</v>
          </cell>
          <cell r="Q20" t="str">
            <v>●</v>
          </cell>
          <cell r="R20" t="str">
            <v/>
          </cell>
          <cell r="S20" t="str">
            <v/>
          </cell>
          <cell r="T20" t="str">
            <v/>
          </cell>
          <cell r="U20" t="str">
            <v/>
          </cell>
          <cell r="V20" t="str">
            <v>○</v>
          </cell>
          <cell r="W20" t="str">
            <v>●</v>
          </cell>
          <cell r="X20" t="str">
            <v>当</v>
          </cell>
          <cell r="Y20" t="str">
            <v>明</v>
          </cell>
          <cell r="Z20" t="str">
            <v/>
          </cell>
          <cell r="AA20" t="str">
            <v/>
          </cell>
          <cell r="AB20" t="str">
            <v/>
          </cell>
          <cell r="AC20" t="str">
            <v>／</v>
          </cell>
          <cell r="AD20" t="str">
            <v>●</v>
          </cell>
          <cell r="AE20" t="str">
            <v/>
          </cell>
          <cell r="AF20" t="str">
            <v/>
          </cell>
          <cell r="AG20" t="str">
            <v/>
          </cell>
          <cell r="AH20" t="str">
            <v/>
          </cell>
        </row>
        <row r="21">
          <cell r="A21">
            <v>19</v>
          </cell>
          <cell r="B21" t="str">
            <v>79269</v>
          </cell>
          <cell r="C21" t="str">
            <v>冨田 紗詠子</v>
          </cell>
          <cell r="D21" t="str">
            <v/>
          </cell>
          <cell r="E21" t="str">
            <v/>
          </cell>
          <cell r="F21" t="str">
            <v/>
          </cell>
          <cell r="G21" t="str">
            <v/>
          </cell>
          <cell r="H21" t="str">
            <v>○</v>
          </cell>
          <cell r="I21" t="str">
            <v>●</v>
          </cell>
          <cell r="J21" t="str">
            <v/>
          </cell>
          <cell r="K21" t="str">
            <v/>
          </cell>
          <cell r="L21" t="str">
            <v/>
          </cell>
          <cell r="M21" t="str">
            <v/>
          </cell>
          <cell r="N21" t="str">
            <v/>
          </cell>
          <cell r="O21" t="str">
            <v>○</v>
          </cell>
          <cell r="P21" t="str">
            <v>●</v>
          </cell>
          <cell r="Q21" t="str">
            <v/>
          </cell>
          <cell r="R21" t="str">
            <v/>
          </cell>
          <cell r="S21" t="str">
            <v/>
          </cell>
          <cell r="T21" t="str">
            <v/>
          </cell>
          <cell r="U21" t="str">
            <v/>
          </cell>
          <cell r="V21" t="str">
            <v>○</v>
          </cell>
          <cell r="W21" t="str">
            <v>●</v>
          </cell>
          <cell r="X21" t="str">
            <v/>
          </cell>
          <cell r="Y21" t="str">
            <v/>
          </cell>
          <cell r="Z21" t="str">
            <v/>
          </cell>
          <cell r="AA21" t="str">
            <v/>
          </cell>
          <cell r="AB21" t="str">
            <v/>
          </cell>
          <cell r="AC21" t="str">
            <v>○</v>
          </cell>
          <cell r="AD21" t="str">
            <v>●</v>
          </cell>
          <cell r="AE21" t="str">
            <v/>
          </cell>
          <cell r="AF21" t="str">
            <v/>
          </cell>
          <cell r="AG21" t="str">
            <v/>
          </cell>
          <cell r="AH21" t="str">
            <v/>
          </cell>
        </row>
        <row r="22">
          <cell r="A22">
            <v>20</v>
          </cell>
          <cell r="B22" t="str">
            <v>88777</v>
          </cell>
          <cell r="C22" t="str">
            <v>黒田 奈菜子</v>
          </cell>
          <cell r="D22" t="str">
            <v/>
          </cell>
          <cell r="E22" t="str">
            <v/>
          </cell>
          <cell r="F22" t="str">
            <v/>
          </cell>
          <cell r="G22" t="str">
            <v/>
          </cell>
          <cell r="H22" t="str">
            <v>○</v>
          </cell>
          <cell r="I22" t="str">
            <v>●</v>
          </cell>
          <cell r="J22" t="str">
            <v/>
          </cell>
          <cell r="K22" t="str">
            <v/>
          </cell>
          <cell r="L22" t="str">
            <v/>
          </cell>
          <cell r="M22" t="str">
            <v/>
          </cell>
          <cell r="N22" t="str">
            <v/>
          </cell>
          <cell r="O22" t="str">
            <v>○</v>
          </cell>
          <cell r="P22" t="str">
            <v>●</v>
          </cell>
          <cell r="Q22" t="str">
            <v/>
          </cell>
          <cell r="R22" t="str">
            <v/>
          </cell>
          <cell r="S22" t="str">
            <v/>
          </cell>
          <cell r="T22" t="str">
            <v/>
          </cell>
          <cell r="U22" t="str">
            <v/>
          </cell>
          <cell r="V22" t="str">
            <v>○</v>
          </cell>
          <cell r="W22" t="str">
            <v>●</v>
          </cell>
          <cell r="X22" t="str">
            <v/>
          </cell>
          <cell r="Y22" t="str">
            <v/>
          </cell>
          <cell r="Z22" t="str">
            <v/>
          </cell>
          <cell r="AA22" t="str">
            <v/>
          </cell>
          <cell r="AB22" t="str">
            <v/>
          </cell>
          <cell r="AC22" t="str">
            <v>○</v>
          </cell>
          <cell r="AD22" t="str">
            <v>●</v>
          </cell>
          <cell r="AE22" t="str">
            <v/>
          </cell>
          <cell r="AF22" t="str">
            <v/>
          </cell>
          <cell r="AG22" t="str">
            <v/>
          </cell>
          <cell r="AH22" t="str">
            <v/>
          </cell>
        </row>
        <row r="23">
          <cell r="A23">
            <v>21</v>
          </cell>
          <cell r="B23" t="str">
            <v>94908</v>
          </cell>
          <cell r="C23" t="str">
            <v>長迫 千寛</v>
          </cell>
          <cell r="D23" t="str">
            <v/>
          </cell>
          <cell r="E23" t="str">
            <v/>
          </cell>
          <cell r="F23" t="str">
            <v/>
          </cell>
          <cell r="G23" t="str">
            <v/>
          </cell>
          <cell r="H23" t="str">
            <v>○</v>
          </cell>
          <cell r="I23" t="str">
            <v>●</v>
          </cell>
          <cell r="J23" t="str">
            <v/>
          </cell>
          <cell r="K23" t="str">
            <v/>
          </cell>
          <cell r="L23" t="str">
            <v/>
          </cell>
          <cell r="M23" t="str">
            <v/>
          </cell>
          <cell r="N23" t="str">
            <v/>
          </cell>
          <cell r="O23" t="str">
            <v>○</v>
          </cell>
          <cell r="P23" t="str">
            <v>●</v>
          </cell>
          <cell r="Q23" t="str">
            <v/>
          </cell>
          <cell r="R23" t="str">
            <v/>
          </cell>
          <cell r="S23" t="str">
            <v/>
          </cell>
          <cell r="T23" t="str">
            <v/>
          </cell>
          <cell r="U23" t="str">
            <v/>
          </cell>
          <cell r="V23" t="str">
            <v>○</v>
          </cell>
          <cell r="W23" t="str">
            <v>●</v>
          </cell>
          <cell r="X23" t="str">
            <v/>
          </cell>
          <cell r="Y23" t="str">
            <v/>
          </cell>
          <cell r="Z23" t="str">
            <v/>
          </cell>
          <cell r="AA23" t="str">
            <v/>
          </cell>
          <cell r="AB23" t="str">
            <v/>
          </cell>
          <cell r="AC23" t="str">
            <v>○</v>
          </cell>
          <cell r="AD23" t="str">
            <v>●</v>
          </cell>
          <cell r="AE23" t="str">
            <v/>
          </cell>
          <cell r="AF23" t="str">
            <v/>
          </cell>
          <cell r="AG23" t="str">
            <v/>
          </cell>
          <cell r="AH23" t="str">
            <v/>
          </cell>
        </row>
        <row r="24">
          <cell r="A24">
            <v>22</v>
          </cell>
          <cell r="B24" t="str">
            <v>97974</v>
          </cell>
          <cell r="C24" t="str">
            <v>吉田 汐里</v>
          </cell>
          <cell r="D24" t="str">
            <v/>
          </cell>
          <cell r="E24" t="str">
            <v/>
          </cell>
          <cell r="F24" t="str">
            <v/>
          </cell>
          <cell r="G24" t="str">
            <v/>
          </cell>
          <cell r="H24" t="str">
            <v>○</v>
          </cell>
          <cell r="I24" t="str">
            <v>●</v>
          </cell>
          <cell r="J24" t="str">
            <v/>
          </cell>
          <cell r="K24" t="str">
            <v/>
          </cell>
          <cell r="L24" t="str">
            <v/>
          </cell>
          <cell r="M24" t="str">
            <v/>
          </cell>
          <cell r="N24" t="str">
            <v/>
          </cell>
          <cell r="O24" t="str">
            <v>○</v>
          </cell>
          <cell r="P24" t="str">
            <v>●</v>
          </cell>
          <cell r="Q24" t="str">
            <v/>
          </cell>
          <cell r="R24" t="str">
            <v/>
          </cell>
          <cell r="S24" t="str">
            <v/>
          </cell>
          <cell r="T24" t="str">
            <v/>
          </cell>
          <cell r="U24" t="str">
            <v/>
          </cell>
          <cell r="V24" t="str">
            <v>○</v>
          </cell>
          <cell r="W24" t="str">
            <v>●</v>
          </cell>
          <cell r="X24" t="str">
            <v/>
          </cell>
          <cell r="Y24" t="str">
            <v/>
          </cell>
          <cell r="Z24" t="str">
            <v/>
          </cell>
          <cell r="AA24" t="str">
            <v/>
          </cell>
          <cell r="AB24" t="str">
            <v/>
          </cell>
          <cell r="AC24" t="str">
            <v>○</v>
          </cell>
          <cell r="AD24" t="str">
            <v>●</v>
          </cell>
          <cell r="AE24" t="str">
            <v/>
          </cell>
          <cell r="AF24" t="str">
            <v/>
          </cell>
          <cell r="AG24" t="str">
            <v/>
          </cell>
          <cell r="AH24" t="str">
            <v/>
          </cell>
        </row>
        <row r="25">
          <cell r="A25">
            <v>23</v>
          </cell>
          <cell r="B25" t="str">
            <v>109272</v>
          </cell>
          <cell r="C25" t="str">
            <v>齊藤 久紘</v>
          </cell>
          <cell r="D25" t="str">
            <v/>
          </cell>
          <cell r="E25" t="str">
            <v/>
          </cell>
          <cell r="F25" t="str">
            <v/>
          </cell>
          <cell r="G25" t="str">
            <v/>
          </cell>
          <cell r="H25" t="str">
            <v>○</v>
          </cell>
          <cell r="I25" t="str">
            <v>●</v>
          </cell>
          <cell r="J25" t="str">
            <v/>
          </cell>
          <cell r="K25" t="str">
            <v/>
          </cell>
          <cell r="L25" t="str">
            <v/>
          </cell>
          <cell r="M25" t="str">
            <v/>
          </cell>
          <cell r="N25" t="str">
            <v/>
          </cell>
          <cell r="O25" t="str">
            <v>○</v>
          </cell>
          <cell r="P25" t="str">
            <v>●</v>
          </cell>
          <cell r="Q25" t="str">
            <v/>
          </cell>
          <cell r="R25" t="str">
            <v/>
          </cell>
          <cell r="S25" t="str">
            <v/>
          </cell>
          <cell r="T25" t="str">
            <v/>
          </cell>
          <cell r="U25" t="str">
            <v/>
          </cell>
          <cell r="V25" t="str">
            <v>○</v>
          </cell>
          <cell r="W25" t="str">
            <v>●</v>
          </cell>
          <cell r="X25" t="str">
            <v/>
          </cell>
          <cell r="Y25" t="str">
            <v/>
          </cell>
          <cell r="Z25" t="str">
            <v/>
          </cell>
          <cell r="AA25" t="str">
            <v/>
          </cell>
          <cell r="AB25" t="str">
            <v/>
          </cell>
          <cell r="AC25" t="str">
            <v>○</v>
          </cell>
          <cell r="AD25" t="str">
            <v>●</v>
          </cell>
          <cell r="AE25" t="str">
            <v/>
          </cell>
          <cell r="AF25" t="str">
            <v/>
          </cell>
          <cell r="AG25" t="str">
            <v/>
          </cell>
          <cell r="AH25" t="str">
            <v/>
          </cell>
        </row>
        <row r="26">
          <cell r="A26">
            <v>24</v>
          </cell>
          <cell r="B26" t="str">
            <v>112499</v>
          </cell>
          <cell r="C26" t="str">
            <v>佐藤 恵梨子</v>
          </cell>
          <cell r="D26" t="str">
            <v/>
          </cell>
          <cell r="E26" t="str">
            <v/>
          </cell>
          <cell r="F26" t="str">
            <v/>
          </cell>
          <cell r="G26" t="str">
            <v/>
          </cell>
          <cell r="H26" t="str">
            <v>／</v>
          </cell>
          <cell r="I26" t="str">
            <v>●</v>
          </cell>
          <cell r="J26" t="str">
            <v/>
          </cell>
          <cell r="K26" t="str">
            <v/>
          </cell>
          <cell r="L26" t="str">
            <v>当</v>
          </cell>
          <cell r="M26" t="str">
            <v>明</v>
          </cell>
          <cell r="N26" t="str">
            <v/>
          </cell>
          <cell r="O26" t="str">
            <v>○</v>
          </cell>
          <cell r="P26" t="str">
            <v>●</v>
          </cell>
          <cell r="Q26" t="str">
            <v/>
          </cell>
          <cell r="R26" t="str">
            <v/>
          </cell>
          <cell r="S26" t="str">
            <v>当</v>
          </cell>
          <cell r="T26" t="str">
            <v>明</v>
          </cell>
          <cell r="U26" t="str">
            <v/>
          </cell>
          <cell r="V26" t="str">
            <v>／</v>
          </cell>
          <cell r="W26" t="str">
            <v>●</v>
          </cell>
          <cell r="X26" t="str">
            <v/>
          </cell>
          <cell r="Y26" t="str">
            <v/>
          </cell>
          <cell r="Z26" t="str">
            <v/>
          </cell>
          <cell r="AA26" t="str">
            <v/>
          </cell>
          <cell r="AB26" t="str">
            <v/>
          </cell>
          <cell r="AC26" t="str">
            <v>○</v>
          </cell>
          <cell r="AD26" t="str">
            <v>当</v>
          </cell>
          <cell r="AE26" t="str">
            <v>明</v>
          </cell>
          <cell r="AF26" t="str">
            <v>●</v>
          </cell>
          <cell r="AG26" t="str">
            <v/>
          </cell>
          <cell r="AH26" t="str">
            <v/>
          </cell>
        </row>
        <row r="27">
          <cell r="A27">
            <v>25</v>
          </cell>
          <cell r="B27" t="str">
            <v>114863</v>
          </cell>
          <cell r="C27" t="str">
            <v>加藤 靖博</v>
          </cell>
          <cell r="D27" t="str">
            <v/>
          </cell>
          <cell r="E27" t="str">
            <v>当</v>
          </cell>
          <cell r="F27" t="str">
            <v>明</v>
          </cell>
          <cell r="G27" t="str">
            <v/>
          </cell>
          <cell r="H27" t="str">
            <v>○</v>
          </cell>
          <cell r="I27" t="str">
            <v>●</v>
          </cell>
          <cell r="J27" t="str">
            <v/>
          </cell>
          <cell r="K27" t="str">
            <v/>
          </cell>
          <cell r="L27" t="str">
            <v/>
          </cell>
          <cell r="M27" t="str">
            <v/>
          </cell>
          <cell r="N27" t="str">
            <v/>
          </cell>
          <cell r="O27" t="str">
            <v>／</v>
          </cell>
          <cell r="P27" t="str">
            <v>●</v>
          </cell>
          <cell r="Q27" t="str">
            <v>当</v>
          </cell>
          <cell r="R27" t="str">
            <v>明</v>
          </cell>
          <cell r="S27" t="str">
            <v/>
          </cell>
          <cell r="T27" t="str">
            <v/>
          </cell>
          <cell r="U27" t="str">
            <v/>
          </cell>
          <cell r="V27" t="str">
            <v>○</v>
          </cell>
          <cell r="W27" t="str">
            <v>●</v>
          </cell>
          <cell r="X27" t="str">
            <v/>
          </cell>
          <cell r="Y27" t="str">
            <v/>
          </cell>
          <cell r="Z27" t="str">
            <v/>
          </cell>
          <cell r="AA27" t="str">
            <v>当</v>
          </cell>
          <cell r="AB27" t="str">
            <v>明</v>
          </cell>
          <cell r="AC27" t="str">
            <v>／</v>
          </cell>
          <cell r="AD27" t="str">
            <v>●</v>
          </cell>
          <cell r="AE27" t="str">
            <v/>
          </cell>
          <cell r="AF27" t="str">
            <v/>
          </cell>
          <cell r="AG27" t="str">
            <v/>
          </cell>
          <cell r="AH27" t="str">
            <v/>
          </cell>
        </row>
        <row r="28">
          <cell r="A28">
            <v>26</v>
          </cell>
          <cell r="B28" t="str">
            <v>118857</v>
          </cell>
          <cell r="C28" t="str">
            <v>小川 穂波</v>
          </cell>
          <cell r="D28" t="str">
            <v/>
          </cell>
          <cell r="E28" t="str">
            <v/>
          </cell>
          <cell r="F28" t="str">
            <v/>
          </cell>
          <cell r="G28" t="str">
            <v/>
          </cell>
          <cell r="H28" t="str">
            <v>／</v>
          </cell>
          <cell r="I28" t="str">
            <v>●</v>
          </cell>
          <cell r="J28" t="str">
            <v/>
          </cell>
          <cell r="K28" t="str">
            <v/>
          </cell>
          <cell r="L28" t="str">
            <v/>
          </cell>
          <cell r="M28" t="str">
            <v/>
          </cell>
          <cell r="N28" t="str">
            <v/>
          </cell>
          <cell r="O28" t="str">
            <v>○</v>
          </cell>
          <cell r="P28" t="str">
            <v>●</v>
          </cell>
          <cell r="Q28" t="str">
            <v/>
          </cell>
          <cell r="R28" t="str">
            <v>当</v>
          </cell>
          <cell r="S28" t="str">
            <v>明</v>
          </cell>
          <cell r="T28" t="str">
            <v/>
          </cell>
          <cell r="U28" t="str">
            <v/>
          </cell>
          <cell r="V28" t="str">
            <v>／</v>
          </cell>
          <cell r="W28" t="str">
            <v>●</v>
          </cell>
          <cell r="X28" t="str">
            <v/>
          </cell>
          <cell r="Y28" t="str">
            <v/>
          </cell>
          <cell r="Z28" t="str">
            <v/>
          </cell>
          <cell r="AA28" t="str">
            <v/>
          </cell>
          <cell r="AB28" t="str">
            <v/>
          </cell>
          <cell r="AC28" t="str">
            <v>○</v>
          </cell>
          <cell r="AD28" t="str">
            <v>●</v>
          </cell>
          <cell r="AE28" t="str">
            <v>当</v>
          </cell>
          <cell r="AF28" t="str">
            <v>明</v>
          </cell>
          <cell r="AG28" t="str">
            <v/>
          </cell>
          <cell r="AH28" t="str">
            <v/>
          </cell>
        </row>
        <row r="29">
          <cell r="A29">
            <v>27</v>
          </cell>
          <cell r="B29" t="str">
            <v>118869</v>
          </cell>
          <cell r="C29" t="str">
            <v>薬司 康平</v>
          </cell>
          <cell r="D29" t="str">
            <v/>
          </cell>
          <cell r="E29" t="str">
            <v>当</v>
          </cell>
          <cell r="F29" t="str">
            <v>明</v>
          </cell>
          <cell r="G29" t="str">
            <v/>
          </cell>
          <cell r="H29" t="str">
            <v>○</v>
          </cell>
          <cell r="I29" t="str">
            <v>●</v>
          </cell>
          <cell r="J29" t="str">
            <v/>
          </cell>
          <cell r="K29" t="str">
            <v/>
          </cell>
          <cell r="L29" t="str">
            <v/>
          </cell>
          <cell r="M29" t="str">
            <v/>
          </cell>
          <cell r="N29" t="str">
            <v/>
          </cell>
          <cell r="O29" t="str">
            <v>／</v>
          </cell>
          <cell r="P29" t="str">
            <v>●</v>
          </cell>
          <cell r="Q29" t="str">
            <v/>
          </cell>
          <cell r="R29" t="str">
            <v/>
          </cell>
          <cell r="S29" t="str">
            <v>当</v>
          </cell>
          <cell r="T29" t="str">
            <v>明</v>
          </cell>
          <cell r="U29" t="str">
            <v/>
          </cell>
          <cell r="V29" t="str">
            <v>○</v>
          </cell>
          <cell r="W29" t="str">
            <v>●</v>
          </cell>
          <cell r="X29" t="str">
            <v/>
          </cell>
          <cell r="Y29" t="str">
            <v/>
          </cell>
          <cell r="Z29" t="str">
            <v/>
          </cell>
          <cell r="AA29" t="str">
            <v/>
          </cell>
          <cell r="AB29" t="str">
            <v/>
          </cell>
          <cell r="AC29" t="str">
            <v>／</v>
          </cell>
          <cell r="AD29" t="str">
            <v>●</v>
          </cell>
          <cell r="AE29" t="str">
            <v/>
          </cell>
          <cell r="AF29" t="str">
            <v/>
          </cell>
          <cell r="AG29" t="str">
            <v/>
          </cell>
          <cell r="AH29" t="str">
            <v/>
          </cell>
        </row>
        <row r="30">
          <cell r="A30">
            <v>28</v>
          </cell>
          <cell r="B30" t="str">
            <v>122339</v>
          </cell>
          <cell r="C30" t="str">
            <v>西郡 健太</v>
          </cell>
          <cell r="D30" t="str">
            <v>当</v>
          </cell>
          <cell r="E30" t="str">
            <v>明</v>
          </cell>
          <cell r="F30" t="str">
            <v/>
          </cell>
          <cell r="G30" t="str">
            <v/>
          </cell>
          <cell r="H30" t="str">
            <v>／</v>
          </cell>
          <cell r="I30" t="str">
            <v>●</v>
          </cell>
          <cell r="J30" t="str">
            <v/>
          </cell>
          <cell r="K30" t="str">
            <v/>
          </cell>
          <cell r="L30" t="str">
            <v/>
          </cell>
          <cell r="M30" t="str">
            <v/>
          </cell>
          <cell r="N30" t="str">
            <v/>
          </cell>
          <cell r="O30" t="str">
            <v>○</v>
          </cell>
          <cell r="P30" t="str">
            <v>●</v>
          </cell>
          <cell r="Q30" t="str">
            <v/>
          </cell>
          <cell r="R30" t="str">
            <v>当</v>
          </cell>
          <cell r="S30" t="str">
            <v>明</v>
          </cell>
          <cell r="T30" t="str">
            <v/>
          </cell>
          <cell r="U30" t="str">
            <v/>
          </cell>
          <cell r="V30" t="str">
            <v>／</v>
          </cell>
          <cell r="W30" t="str">
            <v>●</v>
          </cell>
          <cell r="X30" t="str">
            <v/>
          </cell>
          <cell r="Y30" t="str">
            <v/>
          </cell>
          <cell r="Z30" t="str">
            <v>当</v>
          </cell>
          <cell r="AA30" t="str">
            <v>明</v>
          </cell>
          <cell r="AB30" t="str">
            <v/>
          </cell>
          <cell r="AC30" t="str">
            <v>○</v>
          </cell>
          <cell r="AD30" t="str">
            <v>●</v>
          </cell>
          <cell r="AE30" t="str">
            <v/>
          </cell>
          <cell r="AF30" t="str">
            <v/>
          </cell>
          <cell r="AG30" t="str">
            <v>当</v>
          </cell>
          <cell r="AH30" t="str">
            <v/>
          </cell>
        </row>
        <row r="31">
          <cell r="A31">
            <v>29</v>
          </cell>
          <cell r="B31" t="str">
            <v>125630</v>
          </cell>
          <cell r="C31" t="str">
            <v>松木 こころ</v>
          </cell>
          <cell r="D31" t="str">
            <v/>
          </cell>
          <cell r="E31" t="str">
            <v/>
          </cell>
          <cell r="F31" t="str">
            <v/>
          </cell>
          <cell r="G31" t="str">
            <v/>
          </cell>
          <cell r="H31" t="str">
            <v>○</v>
          </cell>
          <cell r="I31" t="str">
            <v>●</v>
          </cell>
          <cell r="J31" t="str">
            <v/>
          </cell>
          <cell r="K31" t="str">
            <v/>
          </cell>
          <cell r="L31" t="str">
            <v/>
          </cell>
          <cell r="M31" t="str">
            <v/>
          </cell>
          <cell r="N31" t="str">
            <v/>
          </cell>
          <cell r="O31" t="str">
            <v>○</v>
          </cell>
          <cell r="P31" t="str">
            <v>●</v>
          </cell>
          <cell r="Q31" t="str">
            <v/>
          </cell>
          <cell r="R31" t="str">
            <v/>
          </cell>
          <cell r="S31" t="str">
            <v/>
          </cell>
          <cell r="T31" t="str">
            <v/>
          </cell>
          <cell r="U31" t="str">
            <v/>
          </cell>
          <cell r="V31" t="str">
            <v>○</v>
          </cell>
          <cell r="W31" t="str">
            <v>●</v>
          </cell>
          <cell r="X31" t="str">
            <v/>
          </cell>
          <cell r="Y31" t="str">
            <v/>
          </cell>
          <cell r="Z31" t="str">
            <v/>
          </cell>
          <cell r="AA31" t="str">
            <v/>
          </cell>
          <cell r="AB31" t="str">
            <v/>
          </cell>
          <cell r="AC31" t="str">
            <v>○</v>
          </cell>
          <cell r="AD31" t="str">
            <v>●</v>
          </cell>
          <cell r="AE31" t="str">
            <v/>
          </cell>
          <cell r="AF31" t="str">
            <v/>
          </cell>
          <cell r="AG31" t="str">
            <v/>
          </cell>
          <cell r="AH31" t="str">
            <v/>
          </cell>
        </row>
        <row r="32">
          <cell r="A32">
            <v>30</v>
          </cell>
          <cell r="B32" t="str">
            <v>125642</v>
          </cell>
          <cell r="C32" t="str">
            <v>諸田 悠也</v>
          </cell>
          <cell r="D32" t="str">
            <v>当</v>
          </cell>
          <cell r="E32" t="str">
            <v>明</v>
          </cell>
          <cell r="F32" t="str">
            <v/>
          </cell>
          <cell r="G32" t="str">
            <v/>
          </cell>
          <cell r="H32" t="str">
            <v>○</v>
          </cell>
          <cell r="I32" t="str">
            <v>●</v>
          </cell>
          <cell r="J32" t="str">
            <v/>
          </cell>
          <cell r="K32" t="str">
            <v/>
          </cell>
          <cell r="L32" t="str">
            <v/>
          </cell>
          <cell r="M32" t="str">
            <v/>
          </cell>
          <cell r="N32" t="str">
            <v/>
          </cell>
          <cell r="O32" t="str">
            <v>／</v>
          </cell>
          <cell r="P32" t="str">
            <v>●</v>
          </cell>
          <cell r="Q32" t="str">
            <v/>
          </cell>
          <cell r="R32" t="str">
            <v/>
          </cell>
          <cell r="S32" t="str">
            <v/>
          </cell>
          <cell r="T32" t="str">
            <v/>
          </cell>
          <cell r="U32" t="str">
            <v/>
          </cell>
          <cell r="V32" t="str">
            <v>○</v>
          </cell>
          <cell r="W32" t="str">
            <v>当</v>
          </cell>
          <cell r="X32" t="str">
            <v>明</v>
          </cell>
          <cell r="Y32" t="str">
            <v>●</v>
          </cell>
          <cell r="Z32" t="str">
            <v/>
          </cell>
          <cell r="AA32" t="str">
            <v/>
          </cell>
          <cell r="AB32" t="str">
            <v/>
          </cell>
          <cell r="AC32" t="str">
            <v>／</v>
          </cell>
          <cell r="AD32" t="str">
            <v>●</v>
          </cell>
          <cell r="AE32" t="str">
            <v/>
          </cell>
          <cell r="AF32" t="str">
            <v/>
          </cell>
          <cell r="AG32" t="str">
            <v/>
          </cell>
          <cell r="AH32" t="str">
            <v/>
          </cell>
        </row>
        <row r="33">
          <cell r="A33">
            <v>31</v>
          </cell>
          <cell r="B33" t="str">
            <v>130415</v>
          </cell>
          <cell r="C33" t="str">
            <v>樫田 尚</v>
          </cell>
          <cell r="D33" t="str">
            <v/>
          </cell>
          <cell r="E33" t="str">
            <v/>
          </cell>
          <cell r="F33" t="str">
            <v/>
          </cell>
          <cell r="G33" t="str">
            <v/>
          </cell>
          <cell r="H33" t="str">
            <v>○</v>
          </cell>
          <cell r="I33" t="str">
            <v>●</v>
          </cell>
          <cell r="J33" t="str">
            <v/>
          </cell>
          <cell r="K33" t="str">
            <v/>
          </cell>
          <cell r="L33" t="str">
            <v/>
          </cell>
          <cell r="M33" t="str">
            <v/>
          </cell>
          <cell r="N33" t="str">
            <v>当</v>
          </cell>
          <cell r="O33" t="str">
            <v>明</v>
          </cell>
          <cell r="P33" t="str">
            <v>●</v>
          </cell>
          <cell r="Q33" t="str">
            <v/>
          </cell>
          <cell r="R33" t="str">
            <v/>
          </cell>
          <cell r="S33" t="str">
            <v/>
          </cell>
          <cell r="T33" t="str">
            <v/>
          </cell>
          <cell r="U33" t="str">
            <v/>
          </cell>
          <cell r="V33" t="str">
            <v>○</v>
          </cell>
          <cell r="W33" t="str">
            <v/>
          </cell>
          <cell r="X33" t="str">
            <v/>
          </cell>
          <cell r="Y33" t="str">
            <v/>
          </cell>
          <cell r="Z33" t="str">
            <v/>
          </cell>
          <cell r="AA33" t="str">
            <v/>
          </cell>
          <cell r="AB33" t="str">
            <v/>
          </cell>
          <cell r="AC33" t="str">
            <v>当</v>
          </cell>
          <cell r="AD33" t="str">
            <v>明</v>
          </cell>
          <cell r="AE33" t="str">
            <v>●</v>
          </cell>
          <cell r="AF33" t="str">
            <v/>
          </cell>
          <cell r="AG33" t="str">
            <v/>
          </cell>
          <cell r="AH33" t="str">
            <v/>
          </cell>
        </row>
        <row r="34">
          <cell r="A34">
            <v>32</v>
          </cell>
          <cell r="B34" t="str">
            <v>130427</v>
          </cell>
          <cell r="C34" t="str">
            <v>中村 公亮</v>
          </cell>
          <cell r="D34" t="str">
            <v/>
          </cell>
          <cell r="E34" t="str">
            <v/>
          </cell>
          <cell r="F34" t="str">
            <v/>
          </cell>
          <cell r="G34" t="str">
            <v/>
          </cell>
          <cell r="H34" t="str">
            <v>○</v>
          </cell>
          <cell r="I34" t="str">
            <v>●</v>
          </cell>
          <cell r="J34" t="str">
            <v/>
          </cell>
          <cell r="K34" t="str">
            <v/>
          </cell>
          <cell r="L34" t="str">
            <v/>
          </cell>
          <cell r="M34" t="str">
            <v/>
          </cell>
          <cell r="N34" t="str">
            <v/>
          </cell>
          <cell r="O34" t="str">
            <v>○</v>
          </cell>
          <cell r="P34" t="str">
            <v>●</v>
          </cell>
          <cell r="Q34" t="str">
            <v/>
          </cell>
          <cell r="R34" t="str">
            <v/>
          </cell>
          <cell r="S34" t="str">
            <v/>
          </cell>
          <cell r="T34" t="str">
            <v/>
          </cell>
          <cell r="U34" t="str">
            <v/>
          </cell>
          <cell r="V34" t="str">
            <v>○</v>
          </cell>
          <cell r="W34" t="str">
            <v>●</v>
          </cell>
          <cell r="X34" t="str">
            <v/>
          </cell>
          <cell r="Y34" t="str">
            <v/>
          </cell>
          <cell r="Z34" t="str">
            <v/>
          </cell>
          <cell r="AA34" t="str">
            <v/>
          </cell>
          <cell r="AB34" t="str">
            <v/>
          </cell>
          <cell r="AC34" t="str">
            <v>○</v>
          </cell>
          <cell r="AD34" t="str">
            <v>●</v>
          </cell>
          <cell r="AE34" t="str">
            <v/>
          </cell>
          <cell r="AF34" t="str">
            <v/>
          </cell>
          <cell r="AG34" t="str">
            <v/>
          </cell>
          <cell r="AH34" t="str">
            <v/>
          </cell>
        </row>
        <row r="35">
          <cell r="A35">
            <v>33</v>
          </cell>
          <cell r="B35" t="str">
            <v>130439</v>
          </cell>
          <cell r="C35" t="str">
            <v>福知 千佳</v>
          </cell>
          <cell r="D35" t="str">
            <v/>
          </cell>
          <cell r="E35" t="str">
            <v/>
          </cell>
          <cell r="F35" t="str">
            <v/>
          </cell>
          <cell r="G35" t="str">
            <v/>
          </cell>
          <cell r="H35" t="str">
            <v>○</v>
          </cell>
          <cell r="I35" t="str">
            <v>当</v>
          </cell>
          <cell r="J35" t="str">
            <v>明</v>
          </cell>
          <cell r="K35" t="str">
            <v>●</v>
          </cell>
          <cell r="L35" t="str">
            <v/>
          </cell>
          <cell r="M35" t="str">
            <v/>
          </cell>
          <cell r="N35" t="str">
            <v/>
          </cell>
          <cell r="O35" t="str">
            <v>／</v>
          </cell>
          <cell r="P35" t="str">
            <v>●</v>
          </cell>
          <cell r="Q35" t="str">
            <v/>
          </cell>
          <cell r="R35" t="str">
            <v/>
          </cell>
          <cell r="S35" t="str">
            <v/>
          </cell>
          <cell r="T35" t="str">
            <v/>
          </cell>
          <cell r="U35" t="str">
            <v/>
          </cell>
          <cell r="V35" t="str">
            <v>○</v>
          </cell>
          <cell r="W35" t="str">
            <v>●</v>
          </cell>
          <cell r="X35" t="str">
            <v/>
          </cell>
          <cell r="Y35" t="str">
            <v/>
          </cell>
          <cell r="Z35" t="str">
            <v/>
          </cell>
          <cell r="AA35" t="str">
            <v/>
          </cell>
          <cell r="AB35" t="str">
            <v>当</v>
          </cell>
          <cell r="AC35" t="str">
            <v>明</v>
          </cell>
          <cell r="AD35" t="str">
            <v>●</v>
          </cell>
          <cell r="AE35" t="str">
            <v/>
          </cell>
          <cell r="AF35" t="str">
            <v/>
          </cell>
          <cell r="AG35" t="str">
            <v/>
          </cell>
          <cell r="AH35" t="str">
            <v/>
          </cell>
        </row>
        <row r="36">
          <cell r="A36">
            <v>34</v>
          </cell>
          <cell r="B36" t="str">
            <v>130441</v>
          </cell>
          <cell r="C36" t="str">
            <v>袋 隼哉</v>
          </cell>
          <cell r="D36" t="str">
            <v/>
          </cell>
          <cell r="E36" t="str">
            <v/>
          </cell>
          <cell r="F36" t="str">
            <v/>
          </cell>
          <cell r="G36" t="str">
            <v>当</v>
          </cell>
          <cell r="H36" t="str">
            <v>明</v>
          </cell>
          <cell r="I36" t="str">
            <v>●</v>
          </cell>
          <cell r="J36" t="str">
            <v/>
          </cell>
          <cell r="K36" t="str">
            <v/>
          </cell>
          <cell r="L36" t="str">
            <v/>
          </cell>
          <cell r="M36" t="str">
            <v/>
          </cell>
          <cell r="N36" t="str">
            <v/>
          </cell>
          <cell r="O36" t="str">
            <v>○</v>
          </cell>
          <cell r="P36" t="str">
            <v>●</v>
          </cell>
          <cell r="Q36" t="str">
            <v/>
          </cell>
          <cell r="R36" t="str">
            <v/>
          </cell>
          <cell r="S36" t="str">
            <v/>
          </cell>
          <cell r="T36" t="str">
            <v>当</v>
          </cell>
          <cell r="U36" t="str">
            <v>明</v>
          </cell>
          <cell r="V36" t="str">
            <v>／</v>
          </cell>
          <cell r="W36" t="str">
            <v>●</v>
          </cell>
          <cell r="X36" t="str">
            <v/>
          </cell>
          <cell r="Y36" t="str">
            <v>当</v>
          </cell>
          <cell r="Z36" t="str">
            <v>明</v>
          </cell>
          <cell r="AA36" t="str">
            <v/>
          </cell>
          <cell r="AB36" t="str">
            <v/>
          </cell>
          <cell r="AC36" t="str">
            <v>○</v>
          </cell>
          <cell r="AD36" t="str">
            <v>●</v>
          </cell>
          <cell r="AE36" t="str">
            <v/>
          </cell>
          <cell r="AF36" t="str">
            <v/>
          </cell>
          <cell r="AG36" t="str">
            <v/>
          </cell>
          <cell r="AH36" t="str">
            <v/>
          </cell>
        </row>
        <row r="37">
          <cell r="A37">
            <v>35</v>
          </cell>
          <cell r="B37" t="str">
            <v>130831</v>
          </cell>
          <cell r="C37" t="str">
            <v>雨池 凌也</v>
          </cell>
          <cell r="D37" t="str">
            <v/>
          </cell>
          <cell r="E37" t="str">
            <v/>
          </cell>
          <cell r="F37" t="str">
            <v/>
          </cell>
          <cell r="G37" t="str">
            <v/>
          </cell>
          <cell r="H37" t="str">
            <v>○</v>
          </cell>
          <cell r="I37" t="str">
            <v>●</v>
          </cell>
          <cell r="J37" t="str">
            <v/>
          </cell>
          <cell r="K37" t="str">
            <v>当</v>
          </cell>
          <cell r="L37" t="str">
            <v>明</v>
          </cell>
          <cell r="M37" t="str">
            <v/>
          </cell>
          <cell r="N37" t="str">
            <v/>
          </cell>
          <cell r="O37" t="str">
            <v>／</v>
          </cell>
          <cell r="P37" t="str">
            <v>●</v>
          </cell>
          <cell r="Q37" t="str">
            <v/>
          </cell>
          <cell r="R37" t="str">
            <v/>
          </cell>
          <cell r="S37" t="str">
            <v/>
          </cell>
          <cell r="T37" t="str">
            <v/>
          </cell>
          <cell r="U37" t="str">
            <v/>
          </cell>
          <cell r="V37" t="str">
            <v>○</v>
          </cell>
          <cell r="W37" t="str">
            <v>当</v>
          </cell>
          <cell r="X37" t="str">
            <v>明</v>
          </cell>
          <cell r="Y37" t="str">
            <v>●</v>
          </cell>
          <cell r="Z37" t="str">
            <v/>
          </cell>
          <cell r="AA37" t="str">
            <v/>
          </cell>
          <cell r="AB37" t="str">
            <v/>
          </cell>
          <cell r="AC37" t="str">
            <v>当</v>
          </cell>
          <cell r="AD37" t="str">
            <v>明</v>
          </cell>
          <cell r="AE37" t="str">
            <v>●</v>
          </cell>
          <cell r="AF37" t="str">
            <v/>
          </cell>
          <cell r="AG37" t="str">
            <v/>
          </cell>
          <cell r="AH37" t="str">
            <v/>
          </cell>
        </row>
        <row r="38">
          <cell r="A38">
            <v>36</v>
          </cell>
          <cell r="B38" t="str">
            <v>131603</v>
          </cell>
          <cell r="C38" t="str">
            <v>中川 大誠</v>
          </cell>
          <cell r="D38" t="str">
            <v/>
          </cell>
          <cell r="E38" t="str">
            <v/>
          </cell>
          <cell r="F38" t="str">
            <v/>
          </cell>
          <cell r="G38" t="str">
            <v/>
          </cell>
          <cell r="H38" t="str">
            <v>○</v>
          </cell>
          <cell r="I38" t="str">
            <v>●</v>
          </cell>
          <cell r="J38" t="str">
            <v/>
          </cell>
          <cell r="K38" t="str">
            <v/>
          </cell>
          <cell r="L38" t="str">
            <v/>
          </cell>
          <cell r="M38" t="str">
            <v/>
          </cell>
          <cell r="N38" t="str">
            <v/>
          </cell>
          <cell r="O38" t="str">
            <v>○</v>
          </cell>
          <cell r="P38" t="str">
            <v>●</v>
          </cell>
          <cell r="Q38" t="str">
            <v/>
          </cell>
          <cell r="R38" t="str">
            <v/>
          </cell>
          <cell r="S38" t="str">
            <v/>
          </cell>
          <cell r="T38" t="str">
            <v/>
          </cell>
          <cell r="U38" t="str">
            <v/>
          </cell>
          <cell r="V38" t="str">
            <v>○</v>
          </cell>
          <cell r="W38" t="str">
            <v>●</v>
          </cell>
          <cell r="X38" t="str">
            <v/>
          </cell>
          <cell r="Y38" t="str">
            <v/>
          </cell>
          <cell r="Z38" t="str">
            <v/>
          </cell>
          <cell r="AA38" t="str">
            <v/>
          </cell>
          <cell r="AB38" t="str">
            <v/>
          </cell>
          <cell r="AC38" t="str">
            <v>○</v>
          </cell>
          <cell r="AD38" t="str">
            <v>●</v>
          </cell>
          <cell r="AE38" t="str">
            <v/>
          </cell>
          <cell r="AF38" t="str">
            <v/>
          </cell>
          <cell r="AG38" t="str">
            <v/>
          </cell>
          <cell r="AH38" t="str">
            <v/>
          </cell>
        </row>
        <row r="39">
          <cell r="A39">
            <v>37</v>
          </cell>
          <cell r="B39" t="str">
            <v>138041</v>
          </cell>
          <cell r="C39" t="str">
            <v>清水 正生</v>
          </cell>
          <cell r="D39" t="str">
            <v/>
          </cell>
          <cell r="E39" t="str">
            <v/>
          </cell>
          <cell r="F39" t="str">
            <v/>
          </cell>
          <cell r="G39" t="str">
            <v>当</v>
          </cell>
          <cell r="H39" t="str">
            <v>明</v>
          </cell>
          <cell r="I39" t="str">
            <v>●</v>
          </cell>
          <cell r="J39" t="str">
            <v/>
          </cell>
          <cell r="K39" t="str">
            <v/>
          </cell>
          <cell r="L39" t="str">
            <v/>
          </cell>
          <cell r="M39" t="str">
            <v/>
          </cell>
          <cell r="N39" t="str">
            <v/>
          </cell>
          <cell r="O39" t="str">
            <v>○</v>
          </cell>
          <cell r="P39" t="str">
            <v>●</v>
          </cell>
          <cell r="Q39" t="str">
            <v/>
          </cell>
          <cell r="R39" t="str">
            <v/>
          </cell>
          <cell r="S39" t="str">
            <v/>
          </cell>
          <cell r="T39" t="str">
            <v/>
          </cell>
          <cell r="U39" t="str">
            <v/>
          </cell>
          <cell r="V39" t="str">
            <v>／</v>
          </cell>
          <cell r="W39" t="str">
            <v>●</v>
          </cell>
          <cell r="X39" t="str">
            <v/>
          </cell>
          <cell r="Y39" t="str">
            <v/>
          </cell>
          <cell r="Z39" t="str">
            <v/>
          </cell>
          <cell r="AA39" t="str">
            <v>当</v>
          </cell>
          <cell r="AB39" t="str">
            <v>明</v>
          </cell>
          <cell r="AC39" t="str">
            <v>○</v>
          </cell>
          <cell r="AD39" t="str">
            <v>●</v>
          </cell>
          <cell r="AE39" t="str">
            <v/>
          </cell>
          <cell r="AF39" t="str">
            <v/>
          </cell>
          <cell r="AG39" t="str">
            <v/>
          </cell>
          <cell r="AH39" t="str">
            <v/>
          </cell>
        </row>
        <row r="40">
          <cell r="A40">
            <v>38</v>
          </cell>
          <cell r="B40" t="str">
            <v>138053</v>
          </cell>
          <cell r="C40" t="str">
            <v>菅野 祐萌</v>
          </cell>
          <cell r="D40" t="str">
            <v/>
          </cell>
          <cell r="E40" t="str">
            <v/>
          </cell>
          <cell r="F40" t="str">
            <v/>
          </cell>
          <cell r="G40" t="str">
            <v/>
          </cell>
          <cell r="H40" t="str">
            <v>○</v>
          </cell>
          <cell r="I40" t="str">
            <v/>
          </cell>
          <cell r="J40" t="str">
            <v/>
          </cell>
          <cell r="K40" t="str">
            <v/>
          </cell>
          <cell r="L40" t="str">
            <v/>
          </cell>
          <cell r="M40" t="str">
            <v/>
          </cell>
          <cell r="N40" t="str">
            <v/>
          </cell>
          <cell r="O40" t="str">
            <v>当</v>
          </cell>
          <cell r="P40" t="str">
            <v>明</v>
          </cell>
          <cell r="Q40" t="str">
            <v>●</v>
          </cell>
          <cell r="R40" t="str">
            <v/>
          </cell>
          <cell r="S40" t="str">
            <v/>
          </cell>
          <cell r="T40" t="str">
            <v>当</v>
          </cell>
          <cell r="U40" t="str">
            <v>明</v>
          </cell>
          <cell r="V40" t="str">
            <v>○</v>
          </cell>
          <cell r="W40" t="str">
            <v>●</v>
          </cell>
          <cell r="X40" t="str">
            <v/>
          </cell>
          <cell r="Y40" t="str">
            <v/>
          </cell>
          <cell r="Z40" t="str">
            <v/>
          </cell>
          <cell r="AA40" t="str">
            <v/>
          </cell>
          <cell r="AB40" t="str">
            <v/>
          </cell>
          <cell r="AC40" t="str">
            <v>／</v>
          </cell>
          <cell r="AD40" t="str">
            <v>●</v>
          </cell>
          <cell r="AE40" t="str">
            <v/>
          </cell>
          <cell r="AF40" t="str">
            <v/>
          </cell>
          <cell r="AG40" t="str">
            <v/>
          </cell>
          <cell r="AH40" t="str">
            <v/>
          </cell>
        </row>
        <row r="41">
          <cell r="A41">
            <v>39</v>
          </cell>
          <cell r="B41">
            <v>142042</v>
          </cell>
          <cell r="C41" t="str">
            <v>別所 貴仁</v>
          </cell>
          <cell r="D41" t="str">
            <v/>
          </cell>
          <cell r="E41" t="str">
            <v/>
          </cell>
          <cell r="F41" t="str">
            <v>当</v>
          </cell>
          <cell r="G41" t="str">
            <v>明</v>
          </cell>
          <cell r="H41" t="str">
            <v>／</v>
          </cell>
          <cell r="I41" t="str">
            <v>●</v>
          </cell>
          <cell r="J41" t="str">
            <v/>
          </cell>
          <cell r="K41" t="str">
            <v/>
          </cell>
          <cell r="L41" t="str">
            <v/>
          </cell>
          <cell r="M41" t="str">
            <v/>
          </cell>
          <cell r="N41" t="str">
            <v/>
          </cell>
          <cell r="O41" t="str">
            <v>○</v>
          </cell>
          <cell r="P41" t="str">
            <v>当</v>
          </cell>
          <cell r="Q41" t="str">
            <v>明</v>
          </cell>
          <cell r="R41" t="str">
            <v>●</v>
          </cell>
          <cell r="S41" t="str">
            <v/>
          </cell>
          <cell r="T41" t="str">
            <v/>
          </cell>
          <cell r="U41" t="str">
            <v/>
          </cell>
          <cell r="V41" t="str">
            <v>当</v>
          </cell>
          <cell r="W41" t="str">
            <v>明</v>
          </cell>
          <cell r="X41" t="str">
            <v>●</v>
          </cell>
          <cell r="Y41" t="str">
            <v/>
          </cell>
          <cell r="Z41" t="str">
            <v/>
          </cell>
          <cell r="AA41" t="str">
            <v/>
          </cell>
          <cell r="AB41" t="str">
            <v/>
          </cell>
          <cell r="AC41" t="str">
            <v>○</v>
          </cell>
          <cell r="AD41" t="str">
            <v>●</v>
          </cell>
          <cell r="AE41" t="str">
            <v>当</v>
          </cell>
          <cell r="AF41" t="str">
            <v>明</v>
          </cell>
          <cell r="AG41" t="str">
            <v/>
          </cell>
          <cell r="AH41" t="str">
            <v/>
          </cell>
        </row>
        <row r="42">
          <cell r="A42">
            <v>40</v>
          </cell>
          <cell r="B42">
            <v>145410</v>
          </cell>
          <cell r="C42" t="str">
            <v>坂下 大知</v>
          </cell>
          <cell r="D42" t="str">
            <v/>
          </cell>
          <cell r="E42" t="str">
            <v/>
          </cell>
          <cell r="F42" t="str">
            <v/>
          </cell>
          <cell r="G42" t="str">
            <v/>
          </cell>
          <cell r="H42" t="str">
            <v>／</v>
          </cell>
          <cell r="I42" t="str">
            <v>●</v>
          </cell>
          <cell r="J42" t="str">
            <v>当</v>
          </cell>
          <cell r="K42" t="str">
            <v>明</v>
          </cell>
          <cell r="L42" t="str">
            <v/>
          </cell>
          <cell r="M42" t="str">
            <v/>
          </cell>
          <cell r="O42" t="str">
            <v>○</v>
          </cell>
          <cell r="P42" t="str">
            <v>●</v>
          </cell>
          <cell r="Q42" t="str">
            <v/>
          </cell>
          <cell r="R42" t="str">
            <v/>
          </cell>
          <cell r="S42" t="str">
            <v/>
          </cell>
          <cell r="T42" t="str">
            <v/>
          </cell>
          <cell r="U42" t="str">
            <v>当</v>
          </cell>
          <cell r="V42" t="str">
            <v>明</v>
          </cell>
          <cell r="W42" t="str">
            <v>●</v>
          </cell>
          <cell r="X42" t="str">
            <v/>
          </cell>
          <cell r="Y42" t="str">
            <v/>
          </cell>
          <cell r="Z42" t="str">
            <v/>
          </cell>
          <cell r="AA42" t="str">
            <v/>
          </cell>
          <cell r="AB42" t="str">
            <v/>
          </cell>
          <cell r="AC42" t="str">
            <v>○</v>
          </cell>
          <cell r="AD42" t="str">
            <v>●</v>
          </cell>
          <cell r="AE42" t="str">
            <v/>
          </cell>
          <cell r="AF42" t="str">
            <v/>
          </cell>
          <cell r="AG42" t="str">
            <v/>
          </cell>
          <cell r="AH42" t="str">
            <v/>
          </cell>
        </row>
        <row r="43">
          <cell r="A43" t="str">
            <v/>
          </cell>
          <cell r="B43">
            <v>0</v>
          </cell>
          <cell r="C43">
            <v>0</v>
          </cell>
          <cell r="D43" t="str">
            <v/>
          </cell>
          <cell r="E43" t="str">
            <v/>
          </cell>
          <cell r="F43" t="str">
            <v/>
          </cell>
          <cell r="G43" t="str">
            <v/>
          </cell>
          <cell r="H43" t="str">
            <v/>
          </cell>
          <cell r="I43" t="str">
            <v/>
          </cell>
          <cell r="J43" t="str">
            <v/>
          </cell>
          <cell r="K43" t="str">
            <v/>
          </cell>
          <cell r="L43" t="str">
            <v/>
          </cell>
          <cell r="M43" t="str">
            <v/>
          </cell>
          <cell r="O43" t="str">
            <v/>
          </cell>
          <cell r="P43" t="str">
            <v/>
          </cell>
          <cell r="Q43" t="str">
            <v/>
          </cell>
          <cell r="R43" t="str">
            <v/>
          </cell>
          <cell r="S43" t="str">
            <v/>
          </cell>
          <cell r="T43" t="str">
            <v/>
          </cell>
          <cell r="U43" t="str">
            <v/>
          </cell>
          <cell r="V43" t="str">
            <v/>
          </cell>
          <cell r="W43" t="str">
            <v/>
          </cell>
          <cell r="X43" t="str">
            <v/>
          </cell>
          <cell r="Y43" t="str">
            <v/>
          </cell>
          <cell r="Z43" t="str">
            <v/>
          </cell>
          <cell r="AA43" t="str">
            <v/>
          </cell>
          <cell r="AB43" t="str">
            <v/>
          </cell>
          <cell r="AC43" t="str">
            <v/>
          </cell>
          <cell r="AD43" t="str">
            <v/>
          </cell>
          <cell r="AE43" t="str">
            <v/>
          </cell>
          <cell r="AF43" t="str">
            <v/>
          </cell>
          <cell r="AG43" t="str">
            <v/>
          </cell>
          <cell r="AH43" t="str">
            <v/>
          </cell>
        </row>
        <row r="44">
          <cell r="A44" t="str">
            <v/>
          </cell>
          <cell r="B44">
            <v>0</v>
          </cell>
          <cell r="C44">
            <v>0</v>
          </cell>
          <cell r="D44" t="str">
            <v/>
          </cell>
          <cell r="E44" t="str">
            <v/>
          </cell>
          <cell r="F44" t="str">
            <v/>
          </cell>
          <cell r="G44" t="str">
            <v/>
          </cell>
          <cell r="H44" t="str">
            <v/>
          </cell>
          <cell r="I44" t="str">
            <v/>
          </cell>
          <cell r="J44" t="str">
            <v/>
          </cell>
          <cell r="K44" t="str">
            <v/>
          </cell>
          <cell r="L44" t="str">
            <v/>
          </cell>
          <cell r="M44" t="str">
            <v/>
          </cell>
          <cell r="O44" t="str">
            <v/>
          </cell>
          <cell r="P44" t="str">
            <v/>
          </cell>
          <cell r="Q44" t="str">
            <v/>
          </cell>
          <cell r="R44" t="str">
            <v/>
          </cell>
          <cell r="S44" t="str">
            <v/>
          </cell>
          <cell r="T44" t="str">
            <v/>
          </cell>
          <cell r="U44" t="str">
            <v/>
          </cell>
          <cell r="V44" t="str">
            <v/>
          </cell>
          <cell r="W44" t="str">
            <v/>
          </cell>
          <cell r="X44" t="str">
            <v/>
          </cell>
          <cell r="Y44" t="str">
            <v/>
          </cell>
          <cell r="Z44" t="str">
            <v/>
          </cell>
          <cell r="AA44" t="str">
            <v/>
          </cell>
          <cell r="AB44" t="str">
            <v/>
          </cell>
          <cell r="AC44" t="str">
            <v/>
          </cell>
          <cell r="AD44" t="str">
            <v/>
          </cell>
          <cell r="AE44" t="str">
            <v/>
          </cell>
          <cell r="AF44" t="str">
            <v/>
          </cell>
          <cell r="AG44" t="str">
            <v/>
          </cell>
          <cell r="AH44" t="str">
            <v/>
          </cell>
        </row>
        <row r="45">
          <cell r="A45" t="str">
            <v/>
          </cell>
          <cell r="B45">
            <v>0</v>
          </cell>
          <cell r="C45">
            <v>0</v>
          </cell>
          <cell r="D45" t="str">
            <v/>
          </cell>
          <cell r="E45" t="str">
            <v/>
          </cell>
          <cell r="F45" t="str">
            <v/>
          </cell>
          <cell r="G45" t="str">
            <v/>
          </cell>
          <cell r="H45" t="str">
            <v/>
          </cell>
          <cell r="I45" t="str">
            <v/>
          </cell>
          <cell r="J45" t="str">
            <v/>
          </cell>
          <cell r="K45" t="str">
            <v/>
          </cell>
          <cell r="L45" t="str">
            <v/>
          </cell>
          <cell r="M45" t="str">
            <v/>
          </cell>
          <cell r="O45" t="str">
            <v/>
          </cell>
          <cell r="P45" t="str">
            <v/>
          </cell>
          <cell r="Q45" t="str">
            <v/>
          </cell>
          <cell r="R45" t="str">
            <v/>
          </cell>
          <cell r="S45" t="str">
            <v/>
          </cell>
          <cell r="T45" t="str">
            <v/>
          </cell>
          <cell r="U45" t="str">
            <v/>
          </cell>
          <cell r="V45" t="str">
            <v/>
          </cell>
          <cell r="W45" t="str">
            <v/>
          </cell>
          <cell r="X45" t="str">
            <v/>
          </cell>
          <cell r="Y45" t="str">
            <v/>
          </cell>
          <cell r="Z45" t="str">
            <v/>
          </cell>
          <cell r="AA45" t="str">
            <v/>
          </cell>
          <cell r="AB45" t="str">
            <v/>
          </cell>
          <cell r="AC45" t="str">
            <v/>
          </cell>
          <cell r="AD45" t="str">
            <v/>
          </cell>
          <cell r="AE45" t="str">
            <v/>
          </cell>
          <cell r="AF45" t="str">
            <v/>
          </cell>
          <cell r="AG45" t="str">
            <v/>
          </cell>
          <cell r="AH45" t="str">
            <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勤務表 (参照用)"/>
    </sheetNames>
    <sheetDataSet>
      <sheetData sheetId="0"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kintai.kanazawa-med.ac.jp/TimePro-VG/page/OVg00010t.aspx"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C1:AO57"/>
  <sheetViews>
    <sheetView showGridLines="0" showRowColHeaders="0" zoomScaleNormal="100" workbookViewId="0">
      <pane xSplit="43" ySplit="3" topLeftCell="AR4" activePane="bottomRight" state="frozen"/>
      <selection pane="topRight" activeCell="AP1" sqref="AP1"/>
      <selection pane="bottomLeft" activeCell="A4" sqref="A4"/>
      <selection pane="bottomRight" activeCell="G21" sqref="G21"/>
    </sheetView>
  </sheetViews>
  <sheetFormatPr defaultRowHeight="13" x14ac:dyDescent="0.2"/>
  <cols>
    <col min="1" max="1" width="0" hidden="1" customWidth="1"/>
    <col min="2" max="2" width="2.7265625" customWidth="1"/>
    <col min="3" max="3" width="12" style="12" customWidth="1"/>
    <col min="4" max="34" width="3.90625" style="12" customWidth="1"/>
    <col min="35" max="35" width="1.36328125" style="28" customWidth="1"/>
    <col min="36" max="37" width="3" customWidth="1"/>
    <col min="38" max="38" width="0.6328125" customWidth="1"/>
    <col min="41" max="41" width="20.6328125" hidden="1" customWidth="1"/>
    <col min="43" max="43" width="11.08984375" customWidth="1"/>
  </cols>
  <sheetData>
    <row r="1" spans="3:41" ht="52.9" customHeight="1" x14ac:dyDescent="0.2"/>
    <row r="2" spans="3:41" x14ac:dyDescent="0.2">
      <c r="C2" s="85" t="str">
        <f>'勤務表（参照用）'!C2</f>
        <v>4月</v>
      </c>
      <c r="D2" s="1">
        <f>'勤務表（参照用）'!D2</f>
        <v>45748</v>
      </c>
      <c r="E2" s="2">
        <f>'勤務表（参照用）'!E2</f>
        <v>45749</v>
      </c>
      <c r="F2" s="2">
        <f>'勤務表（参照用）'!F2</f>
        <v>45750</v>
      </c>
      <c r="G2" s="2">
        <f>'勤務表（参照用）'!G2</f>
        <v>45751</v>
      </c>
      <c r="H2" s="2">
        <f>'勤務表（参照用）'!H2</f>
        <v>45752</v>
      </c>
      <c r="I2" s="2">
        <f>'勤務表（参照用）'!I2</f>
        <v>45753</v>
      </c>
      <c r="J2" s="2">
        <f>'勤務表（参照用）'!J2</f>
        <v>45754</v>
      </c>
      <c r="K2" s="2">
        <f>'勤務表（参照用）'!K2</f>
        <v>45755</v>
      </c>
      <c r="L2" s="2">
        <f>'勤務表（参照用）'!L2</f>
        <v>45756</v>
      </c>
      <c r="M2" s="2">
        <f>'勤務表（参照用）'!M2</f>
        <v>45757</v>
      </c>
      <c r="N2" s="2">
        <f>'勤務表（参照用）'!N2</f>
        <v>45758</v>
      </c>
      <c r="O2" s="2">
        <f>'勤務表（参照用）'!O2</f>
        <v>45759</v>
      </c>
      <c r="P2" s="2">
        <f>'勤務表（参照用）'!P2</f>
        <v>45760</v>
      </c>
      <c r="Q2" s="2">
        <f>'勤務表（参照用）'!Q2</f>
        <v>45761</v>
      </c>
      <c r="R2" s="2">
        <f>'勤務表（参照用）'!R2</f>
        <v>45762</v>
      </c>
      <c r="S2" s="2">
        <f>'勤務表（参照用）'!S2</f>
        <v>45763</v>
      </c>
      <c r="T2" s="2">
        <f>'勤務表（参照用）'!T2</f>
        <v>45764</v>
      </c>
      <c r="U2" s="2">
        <f>'勤務表（参照用）'!U2</f>
        <v>45765</v>
      </c>
      <c r="V2" s="2">
        <f>'勤務表（参照用）'!V2</f>
        <v>45766</v>
      </c>
      <c r="W2" s="2">
        <f>'勤務表（参照用）'!W2</f>
        <v>45767</v>
      </c>
      <c r="X2" s="2">
        <f>'勤務表（参照用）'!X2</f>
        <v>45768</v>
      </c>
      <c r="Y2" s="2">
        <f>'勤務表（参照用）'!Y2</f>
        <v>45769</v>
      </c>
      <c r="Z2" s="2">
        <f>'勤務表（参照用）'!Z2</f>
        <v>45770</v>
      </c>
      <c r="AA2" s="2">
        <f>'勤務表（参照用）'!AA2</f>
        <v>45771</v>
      </c>
      <c r="AB2" s="2">
        <f>'勤務表（参照用）'!AB2</f>
        <v>45772</v>
      </c>
      <c r="AC2" s="2">
        <f>'勤務表（参照用）'!AC2</f>
        <v>45773</v>
      </c>
      <c r="AD2" s="2">
        <f>'勤務表（参照用）'!AD2</f>
        <v>45774</v>
      </c>
      <c r="AE2" s="2">
        <f>'勤務表（参照用）'!AE2</f>
        <v>45775</v>
      </c>
      <c r="AF2" s="2">
        <f>'勤務表（参照用）'!AF2</f>
        <v>45776</v>
      </c>
      <c r="AG2" s="2">
        <f>'勤務表（参照用）'!AG2</f>
        <v>45777</v>
      </c>
      <c r="AH2" s="3" t="str">
        <f>'勤務表（参照用）'!AH2</f>
        <v/>
      </c>
      <c r="AI2" s="87"/>
    </row>
    <row r="3" spans="3:41" x14ac:dyDescent="0.2">
      <c r="C3" s="86">
        <f>'勤務表（参照用）'!C3</f>
        <v>0</v>
      </c>
      <c r="D3" s="5">
        <f>D2</f>
        <v>45748</v>
      </c>
      <c r="E3" s="6">
        <f t="shared" ref="E3:AH3" si="0">E2</f>
        <v>45749</v>
      </c>
      <c r="F3" s="6">
        <f t="shared" si="0"/>
        <v>45750</v>
      </c>
      <c r="G3" s="6">
        <f t="shared" si="0"/>
        <v>45751</v>
      </c>
      <c r="H3" s="6">
        <f t="shared" si="0"/>
        <v>45752</v>
      </c>
      <c r="I3" s="6">
        <f t="shared" si="0"/>
        <v>45753</v>
      </c>
      <c r="J3" s="6">
        <f t="shared" si="0"/>
        <v>45754</v>
      </c>
      <c r="K3" s="6">
        <f t="shared" si="0"/>
        <v>45755</v>
      </c>
      <c r="L3" s="6">
        <f t="shared" si="0"/>
        <v>45756</v>
      </c>
      <c r="M3" s="6">
        <f t="shared" si="0"/>
        <v>45757</v>
      </c>
      <c r="N3" s="6">
        <f t="shared" si="0"/>
        <v>45758</v>
      </c>
      <c r="O3" s="6">
        <f t="shared" si="0"/>
        <v>45759</v>
      </c>
      <c r="P3" s="6">
        <f t="shared" si="0"/>
        <v>45760</v>
      </c>
      <c r="Q3" s="6">
        <f t="shared" si="0"/>
        <v>45761</v>
      </c>
      <c r="R3" s="6">
        <f t="shared" si="0"/>
        <v>45762</v>
      </c>
      <c r="S3" s="6">
        <f t="shared" si="0"/>
        <v>45763</v>
      </c>
      <c r="T3" s="6">
        <f t="shared" si="0"/>
        <v>45764</v>
      </c>
      <c r="U3" s="6">
        <f t="shared" si="0"/>
        <v>45765</v>
      </c>
      <c r="V3" s="6">
        <f t="shared" si="0"/>
        <v>45766</v>
      </c>
      <c r="W3" s="6">
        <f t="shared" si="0"/>
        <v>45767</v>
      </c>
      <c r="X3" s="6">
        <f t="shared" si="0"/>
        <v>45768</v>
      </c>
      <c r="Y3" s="6">
        <f t="shared" si="0"/>
        <v>45769</v>
      </c>
      <c r="Z3" s="6">
        <f t="shared" si="0"/>
        <v>45770</v>
      </c>
      <c r="AA3" s="6">
        <f t="shared" si="0"/>
        <v>45771</v>
      </c>
      <c r="AB3" s="6">
        <f t="shared" si="0"/>
        <v>45772</v>
      </c>
      <c r="AC3" s="6">
        <f t="shared" si="0"/>
        <v>45773</v>
      </c>
      <c r="AD3" s="6">
        <f t="shared" si="0"/>
        <v>45774</v>
      </c>
      <c r="AE3" s="6">
        <f t="shared" si="0"/>
        <v>45775</v>
      </c>
      <c r="AF3" s="6">
        <f t="shared" si="0"/>
        <v>45776</v>
      </c>
      <c r="AG3" s="6">
        <f t="shared" si="0"/>
        <v>45777</v>
      </c>
      <c r="AH3" s="7" t="str">
        <f t="shared" si="0"/>
        <v/>
      </c>
      <c r="AI3" s="88"/>
    </row>
    <row r="4" spans="3:41" x14ac:dyDescent="0.2">
      <c r="C4" s="68" t="str">
        <f>'勤務表（参照用）'!C4</f>
        <v>山村 博</v>
      </c>
      <c r="D4" s="29" t="s">
        <v>46</v>
      </c>
      <c r="E4" s="29" t="str">
        <f>'勤務表（参照用）'!E4</f>
        <v/>
      </c>
      <c r="F4" s="29" t="str">
        <f>'勤務表（参照用）'!F4</f>
        <v/>
      </c>
      <c r="G4" s="29" t="str">
        <f>'勤務表（参照用）'!G4</f>
        <v/>
      </c>
      <c r="H4" s="29" t="str">
        <f>'勤務表（参照用）'!H4</f>
        <v>○</v>
      </c>
      <c r="I4" s="29" t="str">
        <f>'勤務表（参照用）'!I4</f>
        <v>●</v>
      </c>
      <c r="J4" s="29" t="str">
        <f>'勤務表（参照用）'!J4</f>
        <v/>
      </c>
      <c r="K4" s="29" t="str">
        <f>'勤務表（参照用）'!K4</f>
        <v/>
      </c>
      <c r="L4" s="29" t="str">
        <f>'勤務表（参照用）'!L4</f>
        <v/>
      </c>
      <c r="M4" s="29" t="str">
        <f>'勤務表（参照用）'!M4</f>
        <v/>
      </c>
      <c r="N4" s="29" t="str">
        <f>'勤務表（参照用）'!N4</f>
        <v/>
      </c>
      <c r="O4" s="29" t="str">
        <f>'勤務表（参照用）'!O4</f>
        <v>○</v>
      </c>
      <c r="P4" s="29" t="str">
        <f>'勤務表（参照用）'!P4</f>
        <v>●</v>
      </c>
      <c r="Q4" s="29" t="str">
        <f>'勤務表（参照用）'!Q4</f>
        <v/>
      </c>
      <c r="R4" s="29" t="str">
        <f>'勤務表（参照用）'!R4</f>
        <v/>
      </c>
      <c r="S4" s="29" t="str">
        <f>'勤務表（参照用）'!S4</f>
        <v/>
      </c>
      <c r="T4" s="29" t="str">
        <f>'勤務表（参照用）'!T4</f>
        <v/>
      </c>
      <c r="U4" s="29" t="str">
        <f>'勤務表（参照用）'!U4</f>
        <v/>
      </c>
      <c r="V4" s="29" t="str">
        <f>'勤務表（参照用）'!V4</f>
        <v>○</v>
      </c>
      <c r="W4" s="29" t="str">
        <f>'勤務表（参照用）'!W4</f>
        <v>●</v>
      </c>
      <c r="X4" s="29" t="str">
        <f>'勤務表（参照用）'!X4</f>
        <v/>
      </c>
      <c r="Y4" s="29" t="str">
        <f>'勤務表（参照用）'!Y4</f>
        <v/>
      </c>
      <c r="Z4" s="29" t="str">
        <f>'勤務表（参照用）'!Z4</f>
        <v/>
      </c>
      <c r="AA4" s="29" t="str">
        <f>'勤務表（参照用）'!AA4</f>
        <v/>
      </c>
      <c r="AB4" s="29" t="str">
        <f>'勤務表（参照用）'!AB4</f>
        <v/>
      </c>
      <c r="AC4" s="29" t="str">
        <f>'勤務表（参照用）'!AC4</f>
        <v>○</v>
      </c>
      <c r="AD4" s="29" t="str">
        <f>'勤務表（参照用）'!AD4</f>
        <v>●</v>
      </c>
      <c r="AE4" s="29" t="str">
        <f>'勤務表（参照用）'!AE4</f>
        <v/>
      </c>
      <c r="AF4" s="29" t="str">
        <f>'勤務表（参照用）'!AF4</f>
        <v/>
      </c>
      <c r="AG4" s="29" t="str">
        <f>'勤務表（参照用）'!AG4</f>
        <v/>
      </c>
      <c r="AH4" s="29" t="str">
        <f>'勤務表（参照用）'!AH4</f>
        <v/>
      </c>
      <c r="AI4" s="29">
        <f>'勤務表（参照用）'!AI4</f>
        <v>0</v>
      </c>
      <c r="AJ4" s="30"/>
    </row>
    <row r="5" spans="3:41" x14ac:dyDescent="0.2">
      <c r="C5" s="69" t="str">
        <f>'勤務表（参照用）'!C5</f>
        <v>山下 修</v>
      </c>
      <c r="D5" s="29" t="str">
        <f>'勤務表（参照用）'!D5</f>
        <v/>
      </c>
      <c r="E5" s="29" t="str">
        <f>'勤務表（参照用）'!E5</f>
        <v/>
      </c>
      <c r="F5" s="29" t="str">
        <f>'勤務表（参照用）'!F5</f>
        <v/>
      </c>
      <c r="G5" s="29" t="str">
        <f>'勤務表（参照用）'!G5</f>
        <v/>
      </c>
      <c r="H5" s="29" t="str">
        <f>'勤務表（参照用）'!H5</f>
        <v>○</v>
      </c>
      <c r="I5" s="29" t="str">
        <f>'勤務表（参照用）'!I5</f>
        <v>●</v>
      </c>
      <c r="J5" s="29" t="str">
        <f>'勤務表（参照用）'!J5</f>
        <v/>
      </c>
      <c r="K5" s="29" t="str">
        <f>'勤務表（参照用）'!K5</f>
        <v/>
      </c>
      <c r="L5" s="29" t="str">
        <f>'勤務表（参照用）'!L5</f>
        <v/>
      </c>
      <c r="M5" s="29" t="str">
        <f>'勤務表（参照用）'!M5</f>
        <v/>
      </c>
      <c r="N5" s="29" t="str">
        <f>'勤務表（参照用）'!N5</f>
        <v/>
      </c>
      <c r="O5" s="29" t="str">
        <f>'勤務表（参照用）'!O5</f>
        <v>○</v>
      </c>
      <c r="P5" s="29" t="str">
        <f>'勤務表（参照用）'!P5</f>
        <v>●</v>
      </c>
      <c r="Q5" s="29" t="str">
        <f>'勤務表（参照用）'!Q5</f>
        <v/>
      </c>
      <c r="R5" s="29" t="str">
        <f>'勤務表（参照用）'!R5</f>
        <v/>
      </c>
      <c r="S5" s="29" t="str">
        <f>'勤務表（参照用）'!S5</f>
        <v/>
      </c>
      <c r="T5" s="29" t="str">
        <f>'勤務表（参照用）'!T5</f>
        <v/>
      </c>
      <c r="U5" s="29" t="str">
        <f>'勤務表（参照用）'!U5</f>
        <v/>
      </c>
      <c r="V5" s="29" t="str">
        <f>'勤務表（参照用）'!V5</f>
        <v>○</v>
      </c>
      <c r="W5" s="29" t="str">
        <f>'勤務表（参照用）'!W5</f>
        <v>●</v>
      </c>
      <c r="X5" s="29" t="str">
        <f>'勤務表（参照用）'!X5</f>
        <v/>
      </c>
      <c r="Y5" s="29" t="str">
        <f>'勤務表（参照用）'!Y5</f>
        <v/>
      </c>
      <c r="Z5" s="29" t="str">
        <f>'勤務表（参照用）'!Z5</f>
        <v/>
      </c>
      <c r="AA5" s="29" t="str">
        <f>'勤務表（参照用）'!AA5</f>
        <v/>
      </c>
      <c r="AB5" s="29" t="str">
        <f>'勤務表（参照用）'!AB5</f>
        <v/>
      </c>
      <c r="AC5" s="29" t="str">
        <f>'勤務表（参照用）'!AC5</f>
        <v>○</v>
      </c>
      <c r="AD5" s="29" t="str">
        <f>'勤務表（参照用）'!AD5</f>
        <v>●</v>
      </c>
      <c r="AE5" s="29" t="str">
        <f>'勤務表（参照用）'!AE5</f>
        <v/>
      </c>
      <c r="AF5" s="29" t="str">
        <f>'勤務表（参照用）'!AF5</f>
        <v/>
      </c>
      <c r="AG5" s="29" t="str">
        <f>'勤務表（参照用）'!AG5</f>
        <v/>
      </c>
      <c r="AH5" s="29" t="str">
        <f>'勤務表（参照用）'!AH5</f>
        <v/>
      </c>
      <c r="AJ5" s="28"/>
      <c r="AK5" s="30"/>
      <c r="AO5" s="64">
        <f ca="1">NOW()</f>
        <v>45720.684094328702</v>
      </c>
    </row>
    <row r="6" spans="3:41" x14ac:dyDescent="0.2">
      <c r="C6" s="69" t="str">
        <f>'勤務表（参照用）'!C6</f>
        <v>平田 恵哉</v>
      </c>
      <c r="D6" s="29" t="str">
        <f>'勤務表（参照用）'!D6</f>
        <v/>
      </c>
      <c r="E6" s="29" t="str">
        <f>'勤務表（参照用）'!E6</f>
        <v/>
      </c>
      <c r="F6" s="29" t="str">
        <f>'勤務表（参照用）'!F6</f>
        <v/>
      </c>
      <c r="G6" s="29" t="str">
        <f>'勤務表（参照用）'!G6</f>
        <v/>
      </c>
      <c r="H6" s="29" t="str">
        <f>'勤務表（参照用）'!H6</f>
        <v>／</v>
      </c>
      <c r="I6" s="29" t="str">
        <f>'勤務表（参照用）'!I6</f>
        <v>●</v>
      </c>
      <c r="J6" s="29" t="str">
        <f>'勤務表（参照用）'!J6</f>
        <v/>
      </c>
      <c r="K6" s="29" t="str">
        <f>'勤務表（参照用）'!K6</f>
        <v>当</v>
      </c>
      <c r="L6" s="29" t="str">
        <f>'勤務表（参照用）'!L6</f>
        <v>明</v>
      </c>
      <c r="M6" s="29" t="str">
        <f>'勤務表（参照用）'!M6</f>
        <v/>
      </c>
      <c r="N6" s="29" t="str">
        <f>'勤務表（参照用）'!N6</f>
        <v/>
      </c>
      <c r="O6" s="29" t="str">
        <f>'勤務表（参照用）'!O6</f>
        <v>○</v>
      </c>
      <c r="P6" s="29" t="str">
        <f>'勤務表（参照用）'!P6</f>
        <v>●</v>
      </c>
      <c r="Q6" s="29" t="str">
        <f>'勤務表（参照用）'!Q6</f>
        <v/>
      </c>
      <c r="R6" s="29" t="str">
        <f>'勤務表（参照用）'!R6</f>
        <v/>
      </c>
      <c r="S6" s="29" t="str">
        <f>'勤務表（参照用）'!S6</f>
        <v/>
      </c>
      <c r="T6" s="29" t="str">
        <f>'勤務表（参照用）'!T6</f>
        <v/>
      </c>
      <c r="U6" s="29" t="str">
        <f>'勤務表（参照用）'!U6</f>
        <v/>
      </c>
      <c r="V6" s="29" t="str">
        <f>'勤務表（参照用）'!V6</f>
        <v>／</v>
      </c>
      <c r="W6" s="29" t="str">
        <f>'勤務表（参照用）'!W6</f>
        <v>●</v>
      </c>
      <c r="X6" s="29" t="str">
        <f>'勤務表（参照用）'!X6</f>
        <v/>
      </c>
      <c r="Y6" s="29" t="str">
        <f>'勤務表（参照用）'!Y6</f>
        <v/>
      </c>
      <c r="Z6" s="29" t="str">
        <f>'勤務表（参照用）'!Z6</f>
        <v/>
      </c>
      <c r="AA6" s="29" t="str">
        <f>'勤務表（参照用）'!AA6</f>
        <v/>
      </c>
      <c r="AB6" s="29" t="str">
        <f>'勤務表（参照用）'!AB6</f>
        <v/>
      </c>
      <c r="AC6" s="29" t="str">
        <f>'勤務表（参照用）'!AC6</f>
        <v>○</v>
      </c>
      <c r="AD6" s="29" t="str">
        <f>'勤務表（参照用）'!AD6</f>
        <v/>
      </c>
      <c r="AE6" s="29" t="str">
        <f>'勤務表（参照用）'!AE6</f>
        <v/>
      </c>
      <c r="AF6" s="29" t="str">
        <f>'勤務表（参照用）'!AF6</f>
        <v>当</v>
      </c>
      <c r="AG6" s="29" t="str">
        <f>'勤務表（参照用）'!AG6</f>
        <v>明</v>
      </c>
      <c r="AH6" s="29" t="str">
        <f>'勤務表（参照用）'!AH6</f>
        <v/>
      </c>
      <c r="AJ6" s="30"/>
    </row>
    <row r="7" spans="3:41" x14ac:dyDescent="0.2">
      <c r="C7" s="69" t="str">
        <f>'勤務表（参照用）'!C7</f>
        <v>長田 弘二</v>
      </c>
      <c r="D7" s="29" t="str">
        <f>'勤務表（参照用）'!D7</f>
        <v/>
      </c>
      <c r="E7" s="29" t="str">
        <f>'勤務表（参照用）'!E7</f>
        <v/>
      </c>
      <c r="F7" s="29" t="str">
        <f>'勤務表（参照用）'!F7</f>
        <v>当</v>
      </c>
      <c r="G7" s="29" t="str">
        <f>'勤務表（参照用）'!G7</f>
        <v>明</v>
      </c>
      <c r="H7" s="29" t="str">
        <f>'勤務表（参照用）'!H7</f>
        <v>○</v>
      </c>
      <c r="I7" s="29" t="str">
        <f>'勤務表（参照用）'!I7</f>
        <v>●</v>
      </c>
      <c r="J7" s="29" t="str">
        <f>'勤務表（参照用）'!J7</f>
        <v/>
      </c>
      <c r="K7" s="29" t="str">
        <f>'勤務表（参照用）'!K7</f>
        <v/>
      </c>
      <c r="L7" s="29" t="str">
        <f>'勤務表（参照用）'!L7</f>
        <v/>
      </c>
      <c r="M7" s="29" t="str">
        <f>'勤務表（参照用）'!M7</f>
        <v/>
      </c>
      <c r="N7" s="29" t="str">
        <f>'勤務表（参照用）'!N7</f>
        <v/>
      </c>
      <c r="O7" s="29" t="str">
        <f>'勤務表（参照用）'!O7</f>
        <v>／</v>
      </c>
      <c r="P7" s="29" t="str">
        <f>'勤務表（参照用）'!P7</f>
        <v>●</v>
      </c>
      <c r="Q7" s="29" t="str">
        <f>'勤務表（参照用）'!Q7</f>
        <v/>
      </c>
      <c r="R7" s="29" t="str">
        <f>'勤務表（参照用）'!R7</f>
        <v/>
      </c>
      <c r="S7" s="29" t="str">
        <f>'勤務表（参照用）'!S7</f>
        <v/>
      </c>
      <c r="T7" s="29" t="str">
        <f>'勤務表（参照用）'!T7</f>
        <v/>
      </c>
      <c r="U7" s="29" t="str">
        <f>'勤務表（参照用）'!U7</f>
        <v/>
      </c>
      <c r="V7" s="29" t="str">
        <f>'勤務表（参照用）'!V7</f>
        <v>○</v>
      </c>
      <c r="W7" s="29" t="str">
        <f>'勤務表（参照用）'!W7</f>
        <v>●</v>
      </c>
      <c r="X7" s="29" t="str">
        <f>'勤務表（参照用）'!X7</f>
        <v>当</v>
      </c>
      <c r="Y7" s="29" t="str">
        <f>'勤務表（参照用）'!Y7</f>
        <v>明</v>
      </c>
      <c r="Z7" s="29" t="str">
        <f>'勤務表（参照用）'!Z7</f>
        <v/>
      </c>
      <c r="AA7" s="29" t="str">
        <f>'勤務表（参照用）'!AA7</f>
        <v/>
      </c>
      <c r="AB7" s="29" t="str">
        <f>'勤務表（参照用）'!AB7</f>
        <v/>
      </c>
      <c r="AC7" s="29" t="str">
        <f>'勤務表（参照用）'!AC7</f>
        <v>／</v>
      </c>
      <c r="AD7" s="29" t="str">
        <f>'勤務表（参照用）'!AD7</f>
        <v>●</v>
      </c>
      <c r="AE7" s="29" t="str">
        <f>'勤務表（参照用）'!AE7</f>
        <v/>
      </c>
      <c r="AF7" s="29" t="str">
        <f>'勤務表（参照用）'!AF7</f>
        <v/>
      </c>
      <c r="AG7" s="29" t="str">
        <f>'勤務表（参照用）'!AG7</f>
        <v/>
      </c>
      <c r="AH7" s="29" t="str">
        <f>'勤務表（参照用）'!AH7</f>
        <v/>
      </c>
      <c r="AJ7" s="28"/>
      <c r="AK7" s="30"/>
    </row>
    <row r="8" spans="3:41" x14ac:dyDescent="0.2">
      <c r="C8" s="69" t="str">
        <f>'勤務表（参照用）'!C8</f>
        <v>中井 士郎</v>
      </c>
      <c r="D8" s="29" t="str">
        <f>'勤務表（参照用）'!D8</f>
        <v/>
      </c>
      <c r="E8" s="29" t="str">
        <f>'勤務表（参照用）'!E8</f>
        <v/>
      </c>
      <c r="F8" s="29" t="str">
        <f>'勤務表（参照用）'!F8</f>
        <v/>
      </c>
      <c r="G8" s="29" t="str">
        <f>'勤務表（参照用）'!G8</f>
        <v/>
      </c>
      <c r="H8" s="29" t="str">
        <f>'勤務表（参照用）'!H8</f>
        <v>○</v>
      </c>
      <c r="I8" s="29" t="str">
        <f>'勤務表（参照用）'!I8</f>
        <v>●</v>
      </c>
      <c r="J8" s="29" t="str">
        <f>'勤務表（参照用）'!J8</f>
        <v/>
      </c>
      <c r="K8" s="29" t="str">
        <f>'勤務表（参照用）'!K8</f>
        <v/>
      </c>
      <c r="L8" s="29" t="str">
        <f>'勤務表（参照用）'!L8</f>
        <v/>
      </c>
      <c r="M8" s="29" t="str">
        <f>'勤務表（参照用）'!M8</f>
        <v/>
      </c>
      <c r="N8" s="29" t="str">
        <f>'勤務表（参照用）'!N8</f>
        <v/>
      </c>
      <c r="O8" s="29" t="str">
        <f>'勤務表（参照用）'!O8</f>
        <v>○</v>
      </c>
      <c r="P8" s="29" t="str">
        <f>'勤務表（参照用）'!P8</f>
        <v>●</v>
      </c>
      <c r="Q8" s="29" t="str">
        <f>'勤務表（参照用）'!Q8</f>
        <v/>
      </c>
      <c r="R8" s="29" t="str">
        <f>'勤務表（参照用）'!R8</f>
        <v/>
      </c>
      <c r="S8" s="29" t="str">
        <f>'勤務表（参照用）'!S8</f>
        <v/>
      </c>
      <c r="T8" s="29" t="str">
        <f>'勤務表（参照用）'!T8</f>
        <v/>
      </c>
      <c r="U8" s="29" t="str">
        <f>'勤務表（参照用）'!U8</f>
        <v/>
      </c>
      <c r="V8" s="29" t="str">
        <f>'勤務表（参照用）'!V8</f>
        <v>○</v>
      </c>
      <c r="W8" s="29" t="str">
        <f>'勤務表（参照用）'!W8</f>
        <v>●</v>
      </c>
      <c r="X8" s="29" t="str">
        <f>'勤務表（参照用）'!X8</f>
        <v/>
      </c>
      <c r="Y8" s="29" t="str">
        <f>'勤務表（参照用）'!Y8</f>
        <v/>
      </c>
      <c r="Z8" s="29" t="str">
        <f>'勤務表（参照用）'!Z8</f>
        <v/>
      </c>
      <c r="AA8" s="29" t="str">
        <f>'勤務表（参照用）'!AA8</f>
        <v/>
      </c>
      <c r="AB8" s="29" t="str">
        <f>'勤務表（参照用）'!AB8</f>
        <v/>
      </c>
      <c r="AC8" s="29" t="str">
        <f>'勤務表（参照用）'!AC8</f>
        <v>○</v>
      </c>
      <c r="AD8" s="29" t="str">
        <f>'勤務表（参照用）'!AD8</f>
        <v>●</v>
      </c>
      <c r="AE8" s="29" t="str">
        <f>'勤務表（参照用）'!AE8</f>
        <v/>
      </c>
      <c r="AF8" s="29" t="str">
        <f>'勤務表（参照用）'!AF8</f>
        <v/>
      </c>
      <c r="AG8" s="29" t="str">
        <f>'勤務表（参照用）'!AG8</f>
        <v/>
      </c>
      <c r="AH8" s="29" t="str">
        <f>'勤務表（参照用）'!AH8</f>
        <v/>
      </c>
      <c r="AJ8" s="30"/>
    </row>
    <row r="9" spans="3:41" x14ac:dyDescent="0.2">
      <c r="C9" s="69" t="str">
        <f>'勤務表（参照用）'!C9</f>
        <v>北 洋一</v>
      </c>
      <c r="D9" s="29" t="str">
        <f>'勤務表（参照用）'!D9</f>
        <v/>
      </c>
      <c r="E9" s="29" t="str">
        <f>'勤務表（参照用）'!E9</f>
        <v/>
      </c>
      <c r="F9" s="29" t="str">
        <f>'勤務表（参照用）'!F9</f>
        <v/>
      </c>
      <c r="G9" s="29" t="str">
        <f>'勤務表（参照用）'!G9</f>
        <v/>
      </c>
      <c r="H9" s="29" t="str">
        <f>'勤務表（参照用）'!H9</f>
        <v>○</v>
      </c>
      <c r="I9" s="29" t="str">
        <f>'勤務表（参照用）'!I9</f>
        <v>●</v>
      </c>
      <c r="J9" s="29" t="str">
        <f>'勤務表（参照用）'!J9</f>
        <v/>
      </c>
      <c r="K9" s="29" t="str">
        <f>'勤務表（参照用）'!K9</f>
        <v/>
      </c>
      <c r="L9" s="29" t="str">
        <f>'勤務表（参照用）'!L9</f>
        <v/>
      </c>
      <c r="M9" s="29" t="str">
        <f>'勤務表（参照用）'!M9</f>
        <v/>
      </c>
      <c r="N9" s="29" t="str">
        <f>'勤務表（参照用）'!N9</f>
        <v/>
      </c>
      <c r="O9" s="29" t="str">
        <f>'勤務表（参照用）'!O9</f>
        <v>○</v>
      </c>
      <c r="P9" s="29" t="str">
        <f>'勤務表（参照用）'!P9</f>
        <v>●</v>
      </c>
      <c r="Q9" s="29" t="str">
        <f>'勤務表（参照用）'!Q9</f>
        <v/>
      </c>
      <c r="R9" s="29" t="str">
        <f>'勤務表（参照用）'!R9</f>
        <v/>
      </c>
      <c r="S9" s="29" t="str">
        <f>'勤務表（参照用）'!S9</f>
        <v/>
      </c>
      <c r="T9" s="29" t="str">
        <f>'勤務表（参照用）'!T9</f>
        <v/>
      </c>
      <c r="U9" s="29" t="str">
        <f>'勤務表（参照用）'!U9</f>
        <v/>
      </c>
      <c r="V9" s="29" t="str">
        <f>'勤務表（参照用）'!V9</f>
        <v>○</v>
      </c>
      <c r="W9" s="29" t="str">
        <f>'勤務表（参照用）'!W9</f>
        <v>●</v>
      </c>
      <c r="X9" s="29" t="str">
        <f>'勤務表（参照用）'!X9</f>
        <v/>
      </c>
      <c r="Y9" s="29" t="str">
        <f>'勤務表（参照用）'!Y9</f>
        <v/>
      </c>
      <c r="Z9" s="29" t="str">
        <f>'勤務表（参照用）'!Z9</f>
        <v/>
      </c>
      <c r="AA9" s="29" t="str">
        <f>'勤務表（参照用）'!AA9</f>
        <v/>
      </c>
      <c r="AB9" s="29" t="str">
        <f>'勤務表（参照用）'!AB9</f>
        <v/>
      </c>
      <c r="AC9" s="29" t="str">
        <f>'勤務表（参照用）'!AC9</f>
        <v>○</v>
      </c>
      <c r="AD9" s="29" t="str">
        <f>'勤務表（参照用）'!AD9</f>
        <v>●</v>
      </c>
      <c r="AE9" s="29" t="str">
        <f>'勤務表（参照用）'!AE9</f>
        <v/>
      </c>
      <c r="AF9" s="29" t="str">
        <f>'勤務表（参照用）'!AF9</f>
        <v/>
      </c>
      <c r="AG9" s="29" t="str">
        <f>'勤務表（参照用）'!AG9</f>
        <v/>
      </c>
      <c r="AH9" s="29" t="str">
        <f>'勤務表（参照用）'!AH9</f>
        <v/>
      </c>
      <c r="AJ9" s="28"/>
      <c r="AK9" s="30"/>
    </row>
    <row r="10" spans="3:41" x14ac:dyDescent="0.2">
      <c r="C10" s="69" t="str">
        <f>'勤務表（参照用）'!C10</f>
        <v>中村 映水</v>
      </c>
      <c r="D10" s="29" t="str">
        <f>'勤務表（参照用）'!D10</f>
        <v/>
      </c>
      <c r="E10" s="29" t="str">
        <f>'勤務表（参照用）'!E10</f>
        <v/>
      </c>
      <c r="F10" s="29" t="str">
        <f>'勤務表（参照用）'!F10</f>
        <v/>
      </c>
      <c r="G10" s="29" t="str">
        <f>'勤務表（参照用）'!G10</f>
        <v/>
      </c>
      <c r="H10" s="29" t="str">
        <f>'勤務表（参照用）'!H10</f>
        <v>○</v>
      </c>
      <c r="I10" s="29" t="str">
        <f>'勤務表（参照用）'!I10</f>
        <v>●</v>
      </c>
      <c r="J10" s="29" t="str">
        <f>'勤務表（参照用）'!J10</f>
        <v/>
      </c>
      <c r="K10" s="29" t="str">
        <f>'勤務表（参照用）'!K10</f>
        <v/>
      </c>
      <c r="L10" s="29" t="str">
        <f>'勤務表（参照用）'!L10</f>
        <v/>
      </c>
      <c r="M10" s="29" t="str">
        <f>'勤務表（参照用）'!M10</f>
        <v/>
      </c>
      <c r="N10" s="29" t="str">
        <f>'勤務表（参照用）'!N10</f>
        <v/>
      </c>
      <c r="O10" s="29" t="str">
        <f>'勤務表（参照用）'!O10</f>
        <v>○</v>
      </c>
      <c r="P10" s="29" t="str">
        <f>'勤務表（参照用）'!P10</f>
        <v>●</v>
      </c>
      <c r="Q10" s="29" t="str">
        <f>'勤務表（参照用）'!Q10</f>
        <v/>
      </c>
      <c r="R10" s="29" t="str">
        <f>'勤務表（参照用）'!R10</f>
        <v/>
      </c>
      <c r="S10" s="29" t="str">
        <f>'勤務表（参照用）'!S10</f>
        <v/>
      </c>
      <c r="T10" s="29" t="str">
        <f>'勤務表（参照用）'!T10</f>
        <v/>
      </c>
      <c r="U10" s="29" t="str">
        <f>'勤務表（参照用）'!U10</f>
        <v/>
      </c>
      <c r="V10" s="29" t="str">
        <f>'勤務表（参照用）'!V10</f>
        <v>○</v>
      </c>
      <c r="W10" s="29" t="str">
        <f>'勤務表（参照用）'!W10</f>
        <v>●</v>
      </c>
      <c r="X10" s="29" t="str">
        <f>'勤務表（参照用）'!X10</f>
        <v/>
      </c>
      <c r="Y10" s="29" t="str">
        <f>'勤務表（参照用）'!Y10</f>
        <v/>
      </c>
      <c r="Z10" s="29" t="str">
        <f>'勤務表（参照用）'!Z10</f>
        <v/>
      </c>
      <c r="AA10" s="29" t="str">
        <f>'勤務表（参照用）'!AA10</f>
        <v/>
      </c>
      <c r="AB10" s="29" t="str">
        <f>'勤務表（参照用）'!AB10</f>
        <v/>
      </c>
      <c r="AC10" s="29" t="str">
        <f>'勤務表（参照用）'!AC10</f>
        <v>○</v>
      </c>
      <c r="AD10" s="29" t="str">
        <f>'勤務表（参照用）'!AD10</f>
        <v>●</v>
      </c>
      <c r="AE10" s="29" t="str">
        <f>'勤務表（参照用）'!AE10</f>
        <v/>
      </c>
      <c r="AF10" s="29" t="str">
        <f>'勤務表（参照用）'!AF10</f>
        <v/>
      </c>
      <c r="AG10" s="29" t="str">
        <f>'勤務表（参照用）'!AG10</f>
        <v/>
      </c>
      <c r="AH10" s="29" t="str">
        <f>'勤務表（参照用）'!AH10</f>
        <v/>
      </c>
      <c r="AJ10" s="30"/>
    </row>
    <row r="11" spans="3:41" x14ac:dyDescent="0.2">
      <c r="C11" s="69" t="str">
        <f>'勤務表（参照用）'!C11</f>
        <v>平田 真奈美</v>
      </c>
      <c r="D11" s="29" t="str">
        <f>'勤務表（参照用）'!D11</f>
        <v/>
      </c>
      <c r="E11" s="29" t="str">
        <f>'勤務表（参照用）'!E11</f>
        <v/>
      </c>
      <c r="F11" s="29" t="str">
        <f>'勤務表（参照用）'!F11</f>
        <v/>
      </c>
      <c r="G11" s="29" t="str">
        <f>'勤務表（参照用）'!G11</f>
        <v/>
      </c>
      <c r="H11" s="29" t="str">
        <f>'勤務表（参照用）'!H11</f>
        <v>○</v>
      </c>
      <c r="I11" s="29" t="str">
        <f>'勤務表（参照用）'!I11</f>
        <v>●</v>
      </c>
      <c r="J11" s="29" t="str">
        <f>'勤務表（参照用）'!J11</f>
        <v/>
      </c>
      <c r="K11" s="29" t="str">
        <f>'勤務表（参照用）'!K11</f>
        <v/>
      </c>
      <c r="L11" s="29" t="str">
        <f>'勤務表（参照用）'!L11</f>
        <v/>
      </c>
      <c r="M11" s="29" t="str">
        <f>'勤務表（参照用）'!M11</f>
        <v/>
      </c>
      <c r="N11" s="29" t="str">
        <f>'勤務表（参照用）'!N11</f>
        <v/>
      </c>
      <c r="O11" s="29" t="str">
        <f>'勤務表（参照用）'!O11</f>
        <v>○</v>
      </c>
      <c r="P11" s="29" t="str">
        <f>'勤務表（参照用）'!P11</f>
        <v>●</v>
      </c>
      <c r="Q11" s="29" t="str">
        <f>'勤務表（参照用）'!Q11</f>
        <v/>
      </c>
      <c r="R11" s="29" t="str">
        <f>'勤務表（参照用）'!R11</f>
        <v/>
      </c>
      <c r="S11" s="29" t="str">
        <f>'勤務表（参照用）'!S11</f>
        <v/>
      </c>
      <c r="T11" s="29" t="str">
        <f>'勤務表（参照用）'!T11</f>
        <v/>
      </c>
      <c r="U11" s="29" t="str">
        <f>'勤務表（参照用）'!U11</f>
        <v/>
      </c>
      <c r="V11" s="29" t="str">
        <f>'勤務表（参照用）'!V11</f>
        <v>○</v>
      </c>
      <c r="W11" s="29" t="str">
        <f>'勤務表（参照用）'!W11</f>
        <v>●</v>
      </c>
      <c r="X11" s="29" t="str">
        <f>'勤務表（参照用）'!X11</f>
        <v/>
      </c>
      <c r="Y11" s="29" t="str">
        <f>'勤務表（参照用）'!Y11</f>
        <v/>
      </c>
      <c r="Z11" s="29" t="str">
        <f>'勤務表（参照用）'!Z11</f>
        <v/>
      </c>
      <c r="AA11" s="29" t="str">
        <f>'勤務表（参照用）'!AA11</f>
        <v/>
      </c>
      <c r="AB11" s="29" t="str">
        <f>'勤務表（参照用）'!AB11</f>
        <v/>
      </c>
      <c r="AC11" s="29" t="str">
        <f>'勤務表（参照用）'!AC11</f>
        <v>○</v>
      </c>
      <c r="AD11" s="29" t="str">
        <f>'勤務表（参照用）'!AD11</f>
        <v>●</v>
      </c>
      <c r="AE11" s="29" t="str">
        <f>'勤務表（参照用）'!AE11</f>
        <v/>
      </c>
      <c r="AF11" s="29" t="str">
        <f>'勤務表（参照用）'!AF11</f>
        <v/>
      </c>
      <c r="AG11" s="29" t="str">
        <f>'勤務表（参照用）'!AG11</f>
        <v/>
      </c>
      <c r="AH11" s="29" t="str">
        <f>'勤務表（参照用）'!AH11</f>
        <v/>
      </c>
      <c r="AJ11" s="28"/>
      <c r="AK11" s="30"/>
    </row>
    <row r="12" spans="3:41" x14ac:dyDescent="0.2">
      <c r="C12" s="69" t="str">
        <f>'勤務表（参照用）'!C12</f>
        <v>大橋 効</v>
      </c>
      <c r="D12" s="29" t="str">
        <f>'勤務表（参照用）'!D12</f>
        <v/>
      </c>
      <c r="E12" s="29" t="str">
        <f>'勤務表（参照用）'!E12</f>
        <v/>
      </c>
      <c r="F12" s="29" t="str">
        <f>'勤務表（参照用）'!F12</f>
        <v/>
      </c>
      <c r="G12" s="29" t="str">
        <f>'勤務表（参照用）'!G12</f>
        <v/>
      </c>
      <c r="H12" s="29" t="str">
        <f>'勤務表（参照用）'!H12</f>
        <v>○</v>
      </c>
      <c r="I12" s="29" t="str">
        <f>'勤務表（参照用）'!I12</f>
        <v>当</v>
      </c>
      <c r="J12" s="29" t="str">
        <f>'勤務表（参照用）'!J12</f>
        <v>明</v>
      </c>
      <c r="K12" s="29" t="str">
        <f>'勤務表（参照用）'!K12</f>
        <v>●</v>
      </c>
      <c r="L12" s="29" t="str">
        <f>'勤務表（参照用）'!L12</f>
        <v/>
      </c>
      <c r="M12" s="29" t="str">
        <f>'勤務表（参照用）'!M12</f>
        <v/>
      </c>
      <c r="N12" s="29" t="str">
        <f>'勤務表（参照用）'!N12</f>
        <v>当</v>
      </c>
      <c r="O12" s="29" t="str">
        <f>'勤務表（参照用）'!O12</f>
        <v>明</v>
      </c>
      <c r="P12" s="29" t="str">
        <f>'勤務表（参照用）'!P12</f>
        <v>●</v>
      </c>
      <c r="Q12" s="29" t="str">
        <f>'勤務表（参照用）'!Q12</f>
        <v/>
      </c>
      <c r="R12" s="29" t="str">
        <f>'勤務表（参照用）'!R12</f>
        <v/>
      </c>
      <c r="S12" s="29" t="str">
        <f>'勤務表（参照用）'!S12</f>
        <v/>
      </c>
      <c r="T12" s="29" t="str">
        <f>'勤務表（参照用）'!T12</f>
        <v/>
      </c>
      <c r="U12" s="29" t="str">
        <f>'勤務表（参照用）'!U12</f>
        <v/>
      </c>
      <c r="V12" s="29" t="str">
        <f>'勤務表（参照用）'!V12</f>
        <v>○</v>
      </c>
      <c r="W12" s="29" t="str">
        <f>'勤務表（参照用）'!W12</f>
        <v>●</v>
      </c>
      <c r="X12" s="29" t="str">
        <f>'勤務表（参照用）'!X12</f>
        <v/>
      </c>
      <c r="Y12" s="29" t="str">
        <f>'勤務表（参照用）'!Y12</f>
        <v/>
      </c>
      <c r="Z12" s="29" t="str">
        <f>'勤務表（参照用）'!Z12</f>
        <v/>
      </c>
      <c r="AA12" s="29" t="str">
        <f>'勤務表（参照用）'!AA12</f>
        <v/>
      </c>
      <c r="AB12" s="29" t="str">
        <f>'勤務表（参照用）'!AB12</f>
        <v>当</v>
      </c>
      <c r="AC12" s="29" t="str">
        <f>'勤務表（参照用）'!AC12</f>
        <v>明</v>
      </c>
      <c r="AD12" s="29" t="str">
        <f>'勤務表（参照用）'!AD12</f>
        <v>●</v>
      </c>
      <c r="AE12" s="29" t="str">
        <f>'勤務表（参照用）'!AE12</f>
        <v/>
      </c>
      <c r="AF12" s="29" t="str">
        <f>'勤務表（参照用）'!AF12</f>
        <v/>
      </c>
      <c r="AG12" s="29" t="str">
        <f>'勤務表（参照用）'!AG12</f>
        <v/>
      </c>
      <c r="AH12" s="29" t="str">
        <f>'勤務表（参照用）'!AH12</f>
        <v/>
      </c>
      <c r="AJ12" s="30"/>
    </row>
    <row r="13" spans="3:41" x14ac:dyDescent="0.2">
      <c r="C13" s="69" t="str">
        <f>'勤務表（参照用）'!C13</f>
        <v>山本 浩之</v>
      </c>
      <c r="D13" s="29" t="str">
        <f>'勤務表（参照用）'!D13</f>
        <v/>
      </c>
      <c r="E13" s="29" t="str">
        <f>'勤務表（参照用）'!E13</f>
        <v/>
      </c>
      <c r="F13" s="29" t="str">
        <f>'勤務表（参照用）'!F13</f>
        <v/>
      </c>
      <c r="G13" s="29" t="str">
        <f>'勤務表（参照用）'!G13</f>
        <v/>
      </c>
      <c r="H13" s="29" t="str">
        <f>'勤務表（参照用）'!H13</f>
        <v>／</v>
      </c>
      <c r="I13" s="29" t="str">
        <f>'勤務表（参照用）'!I13</f>
        <v>●</v>
      </c>
      <c r="J13" s="29" t="str">
        <f>'勤務表（参照用）'!J13</f>
        <v/>
      </c>
      <c r="K13" s="29" t="str">
        <f>'勤務表（参照用）'!K13</f>
        <v/>
      </c>
      <c r="L13" s="29" t="str">
        <f>'勤務表（参照用）'!L13</f>
        <v/>
      </c>
      <c r="M13" s="29" t="str">
        <f>'勤務表（参照用）'!M13</f>
        <v>当</v>
      </c>
      <c r="N13" s="29" t="str">
        <f>'勤務表（参照用）'!N13</f>
        <v>明</v>
      </c>
      <c r="O13" s="29" t="str">
        <f>'勤務表（参照用）'!O13</f>
        <v>○</v>
      </c>
      <c r="P13" s="29" t="str">
        <f>'勤務表（参照用）'!P13</f>
        <v>●</v>
      </c>
      <c r="Q13" s="29" t="str">
        <f>'勤務表（参照用）'!Q13</f>
        <v/>
      </c>
      <c r="R13" s="29" t="str">
        <f>'勤務表（参照用）'!R13</f>
        <v/>
      </c>
      <c r="S13" s="29" t="str">
        <f>'勤務表（参照用）'!S13</f>
        <v/>
      </c>
      <c r="T13" s="29" t="str">
        <f>'勤務表（参照用）'!T13</f>
        <v/>
      </c>
      <c r="U13" s="29" t="str">
        <f>'勤務表（参照用）'!U13</f>
        <v/>
      </c>
      <c r="V13" s="29" t="str">
        <f>'勤務表（参照用）'!V13</f>
        <v>／</v>
      </c>
      <c r="W13" s="29" t="str">
        <f>'勤務表（参照用）'!W13</f>
        <v>●</v>
      </c>
      <c r="X13" s="29" t="str">
        <f>'勤務表（参照用）'!X13</f>
        <v/>
      </c>
      <c r="Y13" s="29" t="str">
        <f>'勤務表（参照用）'!Y13</f>
        <v/>
      </c>
      <c r="Z13" s="29" t="str">
        <f>'勤務表（参照用）'!Z13</f>
        <v>当</v>
      </c>
      <c r="AA13" s="29" t="str">
        <f>'勤務表（参照用）'!AA13</f>
        <v>明</v>
      </c>
      <c r="AB13" s="29" t="str">
        <f>'勤務表（参照用）'!AB13</f>
        <v/>
      </c>
      <c r="AC13" s="29" t="str">
        <f>'勤務表（参照用）'!AC13</f>
        <v>○</v>
      </c>
      <c r="AD13" s="29" t="str">
        <f>'勤務表（参照用）'!AD13</f>
        <v>●</v>
      </c>
      <c r="AE13" s="29" t="str">
        <f>'勤務表（参照用）'!AE13</f>
        <v/>
      </c>
      <c r="AF13" s="29" t="str">
        <f>'勤務表（参照用）'!AF13</f>
        <v/>
      </c>
      <c r="AG13" s="29" t="str">
        <f>'勤務表（参照用）'!AG13</f>
        <v/>
      </c>
      <c r="AH13" s="29" t="str">
        <f>'勤務表（参照用）'!AH13</f>
        <v/>
      </c>
      <c r="AJ13" s="28"/>
      <c r="AK13" s="30"/>
    </row>
    <row r="14" spans="3:41" x14ac:dyDescent="0.2">
      <c r="C14" s="69" t="str">
        <f>'勤務表（参照用）'!C14</f>
        <v>南 博之</v>
      </c>
      <c r="D14" s="29" t="str">
        <f>'勤務表（参照用）'!D14</f>
        <v/>
      </c>
      <c r="E14" s="29" t="str">
        <f>'勤務表（参照用）'!E14</f>
        <v/>
      </c>
      <c r="F14" s="29" t="str">
        <f>'勤務表（参照用）'!F14</f>
        <v/>
      </c>
      <c r="G14" s="29" t="str">
        <f>'勤務表（参照用）'!G14</f>
        <v/>
      </c>
      <c r="H14" s="29" t="str">
        <f>'勤務表（参照用）'!H14</f>
        <v>当</v>
      </c>
      <c r="I14" s="29" t="str">
        <f>'勤務表（参照用）'!I14</f>
        <v>明</v>
      </c>
      <c r="J14" s="29" t="str">
        <f>'勤務表（参照用）'!J14</f>
        <v>●</v>
      </c>
      <c r="K14" s="29" t="str">
        <f>'勤務表（参照用）'!K14</f>
        <v/>
      </c>
      <c r="L14" s="29" t="str">
        <f>'勤務表（参照用）'!L14</f>
        <v/>
      </c>
      <c r="M14" s="29" t="str">
        <f>'勤務表（参照用）'!M14</f>
        <v/>
      </c>
      <c r="N14" s="29" t="str">
        <f>'勤務表（参照用）'!N14</f>
        <v/>
      </c>
      <c r="O14" s="29" t="str">
        <f>'勤務表（参照用）'!O14</f>
        <v>○</v>
      </c>
      <c r="P14" s="29" t="str">
        <f>'勤務表（参照用）'!P14</f>
        <v>●</v>
      </c>
      <c r="Q14" s="29" t="str">
        <f>'勤務表（参照用）'!Q14</f>
        <v/>
      </c>
      <c r="R14" s="29" t="str">
        <f>'勤務表（参照用）'!R14</f>
        <v/>
      </c>
      <c r="S14" s="29" t="str">
        <f>'勤務表（参照用）'!S14</f>
        <v/>
      </c>
      <c r="T14" s="29" t="str">
        <f>'勤務表（参照用）'!T14</f>
        <v/>
      </c>
      <c r="U14" s="29" t="str">
        <f>'勤務表（参照用）'!U14</f>
        <v/>
      </c>
      <c r="V14" s="29" t="str">
        <f>'勤務表（参照用）'!V14</f>
        <v>／</v>
      </c>
      <c r="W14" s="29" t="str">
        <f>'勤務表（参照用）'!W14</f>
        <v>●</v>
      </c>
      <c r="X14" s="29" t="str">
        <f>'勤務表（参照用）'!X14</f>
        <v/>
      </c>
      <c r="Y14" s="29" t="str">
        <f>'勤務表（参照用）'!Y14</f>
        <v>当</v>
      </c>
      <c r="Z14" s="29" t="str">
        <f>'勤務表（参照用）'!Z14</f>
        <v>明</v>
      </c>
      <c r="AA14" s="29" t="str">
        <f>'勤務表（参照用）'!AA14</f>
        <v/>
      </c>
      <c r="AB14" s="29" t="str">
        <f>'勤務表（参照用）'!AB14</f>
        <v/>
      </c>
      <c r="AC14" s="29" t="str">
        <f>'勤務表（参照用）'!AC14</f>
        <v>○</v>
      </c>
      <c r="AD14" s="29" t="str">
        <f>'勤務表（参照用）'!AD14</f>
        <v>●</v>
      </c>
      <c r="AE14" s="29" t="str">
        <f>'勤務表（参照用）'!AE14</f>
        <v/>
      </c>
      <c r="AF14" s="29" t="str">
        <f>'勤務表（参照用）'!AF14</f>
        <v/>
      </c>
      <c r="AG14" s="29" t="str">
        <f>'勤務表（参照用）'!AG14</f>
        <v/>
      </c>
      <c r="AH14" s="29" t="str">
        <f>'勤務表（参照用）'!AH14</f>
        <v/>
      </c>
      <c r="AJ14" s="30"/>
    </row>
    <row r="15" spans="3:41" x14ac:dyDescent="0.2">
      <c r="C15" s="69" t="str">
        <f>'勤務表（参照用）'!C15</f>
        <v>澤野 正樹</v>
      </c>
      <c r="D15" s="29" t="str">
        <f>'勤務表（参照用）'!D15</f>
        <v/>
      </c>
      <c r="E15" s="29" t="str">
        <f>'勤務表（参照用）'!E15</f>
        <v/>
      </c>
      <c r="F15" s="29" t="str">
        <f>'勤務表（参照用）'!F15</f>
        <v/>
      </c>
      <c r="G15" s="29" t="str">
        <f>'勤務表（参照用）'!G15</f>
        <v/>
      </c>
      <c r="H15" s="29" t="str">
        <f>'勤務表（参照用）'!H15</f>
        <v>／</v>
      </c>
      <c r="I15" s="29" t="str">
        <f>'勤務表（参照用）'!I15</f>
        <v>●</v>
      </c>
      <c r="J15" s="29" t="str">
        <f>'勤務表（参照用）'!J15</f>
        <v/>
      </c>
      <c r="K15" s="29" t="str">
        <f>'勤務表（参照用）'!K15</f>
        <v/>
      </c>
      <c r="L15" s="29" t="str">
        <f>'勤務表（参照用）'!L15</f>
        <v/>
      </c>
      <c r="M15" s="29" t="str">
        <f>'勤務表（参照用）'!M15</f>
        <v/>
      </c>
      <c r="N15" s="29" t="str">
        <f>'勤務表（参照用）'!N15</f>
        <v/>
      </c>
      <c r="O15" s="29" t="str">
        <f>'勤務表（参照用）'!O15</f>
        <v>○</v>
      </c>
      <c r="P15" s="29" t="str">
        <f>'勤務表（参照用）'!P15</f>
        <v/>
      </c>
      <c r="Q15" s="29" t="str">
        <f>'勤務表（参照用）'!Q15</f>
        <v>当</v>
      </c>
      <c r="R15" s="29" t="str">
        <f>'勤務表（参照用）'!R15</f>
        <v>明</v>
      </c>
      <c r="S15" s="29" t="str">
        <f>'勤務表（参照用）'!S15</f>
        <v/>
      </c>
      <c r="T15" s="29" t="str">
        <f>'勤務表（参照用）'!T15</f>
        <v/>
      </c>
      <c r="U15" s="29" t="str">
        <f>'勤務表（参照用）'!U15</f>
        <v/>
      </c>
      <c r="V15" s="29" t="str">
        <f>'勤務表（参照用）'!V15</f>
        <v>当</v>
      </c>
      <c r="W15" s="29" t="str">
        <f>'勤務表（参照用）'!W15</f>
        <v>明</v>
      </c>
      <c r="X15" s="29" t="str">
        <f>'勤務表（参照用）'!X15</f>
        <v>●</v>
      </c>
      <c r="Y15" s="29" t="str">
        <f>'勤務表（参照用）'!Y15</f>
        <v/>
      </c>
      <c r="Z15" s="29" t="str">
        <f>'勤務表（参照用）'!Z15</f>
        <v/>
      </c>
      <c r="AA15" s="29" t="str">
        <f>'勤務表（参照用）'!AA15</f>
        <v/>
      </c>
      <c r="AB15" s="29" t="str">
        <f>'勤務表（参照用）'!AB15</f>
        <v/>
      </c>
      <c r="AC15" s="29" t="str">
        <f>'勤務表（参照用）'!AC15</f>
        <v>○</v>
      </c>
      <c r="AD15" s="29" t="str">
        <f>'勤務表（参照用）'!AD15</f>
        <v>●</v>
      </c>
      <c r="AE15" s="29" t="str">
        <f>'勤務表（参照用）'!AE15</f>
        <v/>
      </c>
      <c r="AF15" s="29" t="str">
        <f>'勤務表（参照用）'!AF15</f>
        <v/>
      </c>
      <c r="AG15" s="29" t="str">
        <f>'勤務表（参照用）'!AG15</f>
        <v/>
      </c>
      <c r="AH15" s="29" t="str">
        <f>'勤務表（参照用）'!AH15</f>
        <v/>
      </c>
      <c r="AJ15" s="28"/>
      <c r="AK15" s="30"/>
    </row>
    <row r="16" spans="3:41" x14ac:dyDescent="0.2">
      <c r="C16" s="69" t="str">
        <f>'勤務表（参照用）'!C16</f>
        <v>清水 和弥</v>
      </c>
      <c r="D16" s="29" t="str">
        <f>'勤務表（参照用）'!D16</f>
        <v/>
      </c>
      <c r="E16" s="29" t="str">
        <f>'勤務表（参照用）'!E16</f>
        <v/>
      </c>
      <c r="F16" s="29" t="str">
        <f>'勤務表（参照用）'!F16</f>
        <v/>
      </c>
      <c r="G16" s="29" t="str">
        <f>'勤務表（参照用）'!G16</f>
        <v/>
      </c>
      <c r="H16" s="29" t="str">
        <f>'勤務表（参照用）'!H16</f>
        <v>○</v>
      </c>
      <c r="I16" s="29" t="str">
        <f>'勤務表（参照用）'!I16</f>
        <v>●</v>
      </c>
      <c r="J16" s="29" t="str">
        <f>'勤務表（参照用）'!J16</f>
        <v/>
      </c>
      <c r="K16" s="29" t="str">
        <f>'勤務表（参照用）'!K16</f>
        <v/>
      </c>
      <c r="L16" s="29" t="str">
        <f>'勤務表（参照用）'!L16</f>
        <v/>
      </c>
      <c r="M16" s="29" t="str">
        <f>'勤務表（参照用）'!M16</f>
        <v/>
      </c>
      <c r="N16" s="29" t="str">
        <f>'勤務表（参照用）'!N16</f>
        <v/>
      </c>
      <c r="O16" s="29" t="str">
        <f>'勤務表（参照用）'!O16</f>
        <v>○</v>
      </c>
      <c r="P16" s="29" t="str">
        <f>'勤務表（参照用）'!P16</f>
        <v>●</v>
      </c>
      <c r="Q16" s="29" t="str">
        <f>'勤務表（参照用）'!Q16</f>
        <v/>
      </c>
      <c r="R16" s="29" t="str">
        <f>'勤務表（参照用）'!R16</f>
        <v/>
      </c>
      <c r="S16" s="29" t="str">
        <f>'勤務表（参照用）'!S16</f>
        <v/>
      </c>
      <c r="T16" s="29" t="str">
        <f>'勤務表（参照用）'!T16</f>
        <v/>
      </c>
      <c r="U16" s="29" t="str">
        <f>'勤務表（参照用）'!U16</f>
        <v/>
      </c>
      <c r="V16" s="29" t="str">
        <f>'勤務表（参照用）'!V16</f>
        <v>○</v>
      </c>
      <c r="W16" s="29" t="str">
        <f>'勤務表（参照用）'!W16</f>
        <v>●</v>
      </c>
      <c r="X16" s="29" t="str">
        <f>'勤務表（参照用）'!X16</f>
        <v/>
      </c>
      <c r="Y16" s="29" t="str">
        <f>'勤務表（参照用）'!Y16</f>
        <v/>
      </c>
      <c r="Z16" s="29" t="str">
        <f>'勤務表（参照用）'!Z16</f>
        <v/>
      </c>
      <c r="AA16" s="29" t="str">
        <f>'勤務表（参照用）'!AA16</f>
        <v/>
      </c>
      <c r="AB16" s="29" t="str">
        <f>'勤務表（参照用）'!AB16</f>
        <v/>
      </c>
      <c r="AC16" s="29" t="str">
        <f>'勤務表（参照用）'!AC16</f>
        <v>○</v>
      </c>
      <c r="AD16" s="29" t="str">
        <f>'勤務表（参照用）'!AD16</f>
        <v>●</v>
      </c>
      <c r="AE16" s="29" t="str">
        <f>'勤務表（参照用）'!AE16</f>
        <v/>
      </c>
      <c r="AF16" s="29" t="str">
        <f>'勤務表（参照用）'!AF16</f>
        <v/>
      </c>
      <c r="AG16" s="29" t="str">
        <f>'勤務表（参照用）'!AG16</f>
        <v/>
      </c>
      <c r="AH16" s="29" t="str">
        <f>'勤務表（参照用）'!AH16</f>
        <v/>
      </c>
      <c r="AJ16" s="30"/>
    </row>
    <row r="17" spans="3:37" x14ac:dyDescent="0.2">
      <c r="C17" s="69" t="str">
        <f>'勤務表（参照用）'!C17</f>
        <v>坪野 寿恵</v>
      </c>
      <c r="D17" s="29" t="str">
        <f>'勤務表（参照用）'!D17</f>
        <v/>
      </c>
      <c r="E17" s="29" t="str">
        <f>'勤務表（参照用）'!E17</f>
        <v/>
      </c>
      <c r="F17" s="29" t="str">
        <f>'勤務表（参照用）'!F17</f>
        <v/>
      </c>
      <c r="G17" s="29" t="str">
        <f>'勤務表（参照用）'!G17</f>
        <v/>
      </c>
      <c r="H17" s="29" t="str">
        <f>'勤務表（参照用）'!H17</f>
        <v>○</v>
      </c>
      <c r="I17" s="29" t="str">
        <f>'勤務表（参照用）'!I17</f>
        <v>●</v>
      </c>
      <c r="J17" s="29" t="str">
        <f>'勤務表（参照用）'!J17</f>
        <v/>
      </c>
      <c r="K17" s="29" t="str">
        <f>'勤務表（参照用）'!K17</f>
        <v/>
      </c>
      <c r="L17" s="29" t="str">
        <f>'勤務表（参照用）'!L17</f>
        <v/>
      </c>
      <c r="M17" s="29" t="str">
        <f>'勤務表（参照用）'!M17</f>
        <v/>
      </c>
      <c r="N17" s="29" t="str">
        <f>'勤務表（参照用）'!N17</f>
        <v/>
      </c>
      <c r="O17" s="29" t="str">
        <f>'勤務表（参照用）'!O17</f>
        <v>○</v>
      </c>
      <c r="P17" s="29" t="str">
        <f>'勤務表（参照用）'!P17</f>
        <v>●</v>
      </c>
      <c r="Q17" s="29" t="str">
        <f>'勤務表（参照用）'!Q17</f>
        <v/>
      </c>
      <c r="R17" s="29" t="str">
        <f>'勤務表（参照用）'!R17</f>
        <v/>
      </c>
      <c r="S17" s="29" t="str">
        <f>'勤務表（参照用）'!S17</f>
        <v/>
      </c>
      <c r="T17" s="29" t="str">
        <f>'勤務表（参照用）'!T17</f>
        <v/>
      </c>
      <c r="U17" s="29" t="str">
        <f>'勤務表（参照用）'!U17</f>
        <v/>
      </c>
      <c r="V17" s="29" t="str">
        <f>'勤務表（参照用）'!V17</f>
        <v>○</v>
      </c>
      <c r="W17" s="29" t="str">
        <f>'勤務表（参照用）'!W17</f>
        <v>●</v>
      </c>
      <c r="X17" s="29" t="str">
        <f>'勤務表（参照用）'!X17</f>
        <v/>
      </c>
      <c r="Y17" s="29" t="str">
        <f>'勤務表（参照用）'!Y17</f>
        <v/>
      </c>
      <c r="Z17" s="29" t="str">
        <f>'勤務表（参照用）'!Z17</f>
        <v/>
      </c>
      <c r="AA17" s="29" t="str">
        <f>'勤務表（参照用）'!AA17</f>
        <v/>
      </c>
      <c r="AB17" s="29" t="str">
        <f>'勤務表（参照用）'!AB17</f>
        <v/>
      </c>
      <c r="AC17" s="29" t="str">
        <f>'勤務表（参照用）'!AC17</f>
        <v>○</v>
      </c>
      <c r="AD17" s="29" t="str">
        <f>'勤務表（参照用）'!AD17</f>
        <v>●</v>
      </c>
      <c r="AE17" s="29" t="str">
        <f>'勤務表（参照用）'!AE17</f>
        <v/>
      </c>
      <c r="AF17" s="29" t="str">
        <f>'勤務表（参照用）'!AF17</f>
        <v/>
      </c>
      <c r="AG17" s="29" t="str">
        <f>'勤務表（参照用）'!AG17</f>
        <v/>
      </c>
      <c r="AH17" s="29" t="str">
        <f>'勤務表（参照用）'!AH17</f>
        <v/>
      </c>
      <c r="AJ17" s="28"/>
      <c r="AK17" s="30"/>
    </row>
    <row r="18" spans="3:37" x14ac:dyDescent="0.2">
      <c r="C18" s="69" t="str">
        <f>'勤務表（参照用）'!C18</f>
        <v>山田 正則</v>
      </c>
      <c r="D18" s="29" t="str">
        <f>'勤務表（参照用）'!D18</f>
        <v/>
      </c>
      <c r="E18" s="29" t="str">
        <f>'勤務表（参照用）'!E18</f>
        <v/>
      </c>
      <c r="F18" s="29" t="str">
        <f>'勤務表（参照用）'!F18</f>
        <v/>
      </c>
      <c r="G18" s="29" t="str">
        <f>'勤務表（参照用）'!G18</f>
        <v/>
      </c>
      <c r="H18" s="29" t="str">
        <f>'勤務表（参照用）'!H18</f>
        <v>／</v>
      </c>
      <c r="I18" s="29" t="str">
        <f>'勤務表（参照用）'!I18</f>
        <v>●</v>
      </c>
      <c r="J18" s="29" t="str">
        <f>'勤務表（参照用）'!J18</f>
        <v/>
      </c>
      <c r="K18" s="29" t="str">
        <f>'勤務表（参照用）'!K18</f>
        <v/>
      </c>
      <c r="L18" s="29" t="str">
        <f>'勤務表（参照用）'!L18</f>
        <v/>
      </c>
      <c r="M18" s="29" t="str">
        <f>'勤務表（参照用）'!M18</f>
        <v/>
      </c>
      <c r="N18" s="29" t="str">
        <f>'勤務表（参照用）'!N18</f>
        <v/>
      </c>
      <c r="O18" s="29" t="str">
        <f>'勤務表（参照用）'!O18</f>
        <v>○</v>
      </c>
      <c r="P18" s="29" t="str">
        <f>'勤務表（参照用）'!P18</f>
        <v>当</v>
      </c>
      <c r="Q18" s="29" t="str">
        <f>'勤務表（参照用）'!Q18</f>
        <v>明</v>
      </c>
      <c r="R18" s="29" t="str">
        <f>'勤務表（参照用）'!R18</f>
        <v>●</v>
      </c>
      <c r="S18" s="29" t="str">
        <f>'勤務表（参照用）'!S18</f>
        <v/>
      </c>
      <c r="T18" s="29" t="str">
        <f>'勤務表（参照用）'!T18</f>
        <v/>
      </c>
      <c r="U18" s="29" t="str">
        <f>'勤務表（参照用）'!U18</f>
        <v/>
      </c>
      <c r="V18" s="29" t="str">
        <f>'勤務表（参照用）'!V18</f>
        <v>／</v>
      </c>
      <c r="W18" s="29" t="str">
        <f>'勤務表（参照用）'!W18</f>
        <v>●</v>
      </c>
      <c r="X18" s="29" t="str">
        <f>'勤務表（参照用）'!X18</f>
        <v/>
      </c>
      <c r="Y18" s="29" t="str">
        <f>'勤務表（参照用）'!Y18</f>
        <v/>
      </c>
      <c r="Z18" s="29" t="str">
        <f>'勤務表（参照用）'!Z18</f>
        <v/>
      </c>
      <c r="AA18" s="29" t="str">
        <f>'勤務表（参照用）'!AA18</f>
        <v/>
      </c>
      <c r="AB18" s="29" t="str">
        <f>'勤務表（参照用）'!AB18</f>
        <v/>
      </c>
      <c r="AC18" s="29" t="str">
        <f>'勤務表（参照用）'!AC18</f>
        <v>○</v>
      </c>
      <c r="AD18" s="29" t="str">
        <f>'勤務表（参照用）'!AD18</f>
        <v>当</v>
      </c>
      <c r="AE18" s="29" t="str">
        <f>'勤務表（参照用）'!AE18</f>
        <v>明</v>
      </c>
      <c r="AF18" s="29" t="str">
        <f>'勤務表（参照用）'!AF18</f>
        <v>●</v>
      </c>
      <c r="AG18" s="29" t="str">
        <f>'勤務表（参照用）'!AG18</f>
        <v/>
      </c>
      <c r="AH18" s="29" t="str">
        <f>'勤務表（参照用）'!AH18</f>
        <v/>
      </c>
      <c r="AJ18" s="30"/>
    </row>
    <row r="19" spans="3:37" x14ac:dyDescent="0.2">
      <c r="C19" s="69" t="str">
        <f>'勤務表（参照用）'!C19</f>
        <v>林 亮子</v>
      </c>
      <c r="D19" s="29" t="str">
        <f>'勤務表（参照用）'!D19</f>
        <v/>
      </c>
      <c r="E19" s="29" t="str">
        <f>'勤務表（参照用）'!E19</f>
        <v/>
      </c>
      <c r="F19" s="29" t="str">
        <f>'勤務表（参照用）'!F19</f>
        <v/>
      </c>
      <c r="G19" s="29" t="str">
        <f>'勤務表（参照用）'!G19</f>
        <v/>
      </c>
      <c r="H19" s="29" t="str">
        <f>'勤務表（参照用）'!H19</f>
        <v>○</v>
      </c>
      <c r="I19" s="29" t="str">
        <f>'勤務表（参照用）'!I19</f>
        <v>●</v>
      </c>
      <c r="J19" s="29" t="str">
        <f>'勤務表（参照用）'!J19</f>
        <v/>
      </c>
      <c r="K19" s="29" t="str">
        <f>'勤務表（参照用）'!K19</f>
        <v/>
      </c>
      <c r="L19" s="29" t="str">
        <f>'勤務表（参照用）'!L19</f>
        <v>当</v>
      </c>
      <c r="M19" s="29" t="str">
        <f>'勤務表（参照用）'!M19</f>
        <v>明</v>
      </c>
      <c r="N19" s="29" t="str">
        <f>'勤務表（参照用）'!N19</f>
        <v/>
      </c>
      <c r="O19" s="29" t="str">
        <f>'勤務表（参照用）'!O19</f>
        <v>／</v>
      </c>
      <c r="P19" s="29" t="str">
        <f>'勤務表（参照用）'!P19</f>
        <v>●</v>
      </c>
      <c r="Q19" s="29" t="str">
        <f>'勤務表（参照用）'!Q19</f>
        <v/>
      </c>
      <c r="R19" s="29" t="str">
        <f>'勤務表（参照用）'!R19</f>
        <v/>
      </c>
      <c r="S19" s="29" t="str">
        <f>'勤務表（参照用）'!S19</f>
        <v/>
      </c>
      <c r="T19" s="29" t="str">
        <f>'勤務表（参照用）'!T19</f>
        <v/>
      </c>
      <c r="U19" s="29" t="str">
        <f>'勤務表（参照用）'!U19</f>
        <v/>
      </c>
      <c r="V19" s="29" t="str">
        <f>'勤務表（参照用）'!V19</f>
        <v>○</v>
      </c>
      <c r="W19" s="29" t="str">
        <f>'勤務表（参照用）'!W19</f>
        <v>●</v>
      </c>
      <c r="X19" s="29" t="str">
        <f>'勤務表（参照用）'!X19</f>
        <v/>
      </c>
      <c r="Y19" s="29" t="str">
        <f>'勤務表（参照用）'!Y19</f>
        <v/>
      </c>
      <c r="Z19" s="29" t="str">
        <f>'勤務表（参照用）'!Z19</f>
        <v/>
      </c>
      <c r="AA19" s="29" t="str">
        <f>'勤務表（参照用）'!AA19</f>
        <v/>
      </c>
      <c r="AB19" s="29" t="str">
        <f>'勤務表（参照用）'!AB19</f>
        <v/>
      </c>
      <c r="AC19" s="29" t="str">
        <f>'勤務表（参照用）'!AC19</f>
        <v>／</v>
      </c>
      <c r="AD19" s="29" t="str">
        <f>'勤務表（参照用）'!AD19</f>
        <v>●</v>
      </c>
      <c r="AE19" s="29" t="str">
        <f>'勤務表（参照用）'!AE19</f>
        <v/>
      </c>
      <c r="AF19" s="29" t="str">
        <f>'勤務表（参照用）'!AF19</f>
        <v/>
      </c>
      <c r="AG19" s="29" t="str">
        <f>'勤務表（参照用）'!AG19</f>
        <v>当</v>
      </c>
      <c r="AH19" s="29" t="str">
        <f>'勤務表（参照用）'!AH19</f>
        <v/>
      </c>
      <c r="AJ19" s="28"/>
      <c r="AK19" s="30"/>
    </row>
    <row r="20" spans="3:37" x14ac:dyDescent="0.2">
      <c r="C20" s="69" t="str">
        <f>'勤務表（参照用）'!C20</f>
        <v>田村 能之</v>
      </c>
      <c r="D20" s="29" t="str">
        <f>'勤務表（参照用）'!D20</f>
        <v/>
      </c>
      <c r="E20" s="29" t="str">
        <f>'勤務表（参照用）'!E20</f>
        <v/>
      </c>
      <c r="F20" s="29" t="str">
        <f>'勤務表（参照用）'!F20</f>
        <v/>
      </c>
      <c r="G20" s="29" t="str">
        <f>'勤務表（参照用）'!G20</f>
        <v/>
      </c>
      <c r="H20" s="29" t="str">
        <f>'勤務表（参照用）'!H20</f>
        <v>当</v>
      </c>
      <c r="I20" s="29" t="str">
        <f>'勤務表（参照用）'!I20</f>
        <v>明</v>
      </c>
      <c r="J20" s="29" t="str">
        <f>'勤務表（参照用）'!J20</f>
        <v>●</v>
      </c>
      <c r="K20" s="29" t="str">
        <f>'勤務表（参照用）'!K20</f>
        <v/>
      </c>
      <c r="L20" s="29" t="str">
        <f>'勤務表（参照用）'!L20</f>
        <v/>
      </c>
      <c r="M20" s="29" t="str">
        <f>'勤務表（参照用）'!M20</f>
        <v>当</v>
      </c>
      <c r="N20" s="29" t="str">
        <f>'勤務表（参照用）'!N20</f>
        <v>明</v>
      </c>
      <c r="O20" s="29" t="str">
        <f>'勤務表（参照用）'!O20</f>
        <v>○</v>
      </c>
      <c r="P20" s="29" t="str">
        <f>'勤務表（参照用）'!P20</f>
        <v>●</v>
      </c>
      <c r="Q20" s="29" t="str">
        <f>'勤務表（参照用）'!Q20</f>
        <v/>
      </c>
      <c r="R20" s="29" t="str">
        <f>'勤務表（参照用）'!R20</f>
        <v/>
      </c>
      <c r="S20" s="29" t="str">
        <f>'勤務表（参照用）'!S20</f>
        <v/>
      </c>
      <c r="T20" s="29" t="str">
        <f>'勤務表（参照用）'!T20</f>
        <v/>
      </c>
      <c r="U20" s="29" t="str">
        <f>'勤務表（参照用）'!U20</f>
        <v>当</v>
      </c>
      <c r="V20" s="29" t="str">
        <f>'勤務表（参照用）'!V20</f>
        <v>明</v>
      </c>
      <c r="W20" s="29" t="str">
        <f>'勤務表（参照用）'!W20</f>
        <v>●</v>
      </c>
      <c r="X20" s="29" t="str">
        <f>'勤務表（参照用）'!X20</f>
        <v/>
      </c>
      <c r="Y20" s="29" t="str">
        <f>'勤務表（参照用）'!Y20</f>
        <v/>
      </c>
      <c r="Z20" s="29" t="str">
        <f>'勤務表（参照用）'!Z20</f>
        <v/>
      </c>
      <c r="AA20" s="29" t="str">
        <f>'勤務表（参照用）'!AA20</f>
        <v/>
      </c>
      <c r="AB20" s="29" t="str">
        <f>'勤務表（参照用）'!AB20</f>
        <v/>
      </c>
      <c r="AC20" s="29" t="str">
        <f>'勤務表（参照用）'!AC20</f>
        <v>○</v>
      </c>
      <c r="AD20" s="29" t="str">
        <f>'勤務表（参照用）'!AD20</f>
        <v>●</v>
      </c>
      <c r="AE20" s="29" t="str">
        <f>'勤務表（参照用）'!AE20</f>
        <v/>
      </c>
      <c r="AF20" s="29" t="str">
        <f>'勤務表（参照用）'!AF20</f>
        <v>当</v>
      </c>
      <c r="AG20" s="29" t="str">
        <f>'勤務表（参照用）'!AG20</f>
        <v>明</v>
      </c>
      <c r="AH20" s="29" t="str">
        <f>'勤務表（参照用）'!AH20</f>
        <v/>
      </c>
      <c r="AJ20" s="30"/>
    </row>
    <row r="21" spans="3:37" x14ac:dyDescent="0.2">
      <c r="C21" s="69" t="str">
        <f>'勤務表（参照用）'!C21</f>
        <v>庵 緋沙子</v>
      </c>
      <c r="D21" s="29" t="str">
        <f>'勤務表（参照用）'!D21</f>
        <v/>
      </c>
      <c r="E21" s="29" t="str">
        <f>'勤務表（参照用）'!E21</f>
        <v/>
      </c>
      <c r="F21" s="29" t="str">
        <f>'勤務表（参照用）'!F21</f>
        <v/>
      </c>
      <c r="G21" s="29" t="str">
        <f>'勤務表（参照用）'!G21</f>
        <v/>
      </c>
      <c r="H21" s="29" t="str">
        <f>'勤務表（参照用）'!H21</f>
        <v>○</v>
      </c>
      <c r="I21" s="29" t="str">
        <f>'勤務表（参照用）'!I21</f>
        <v>●</v>
      </c>
      <c r="J21" s="29" t="str">
        <f>'勤務表（参照用）'!J21</f>
        <v>当</v>
      </c>
      <c r="K21" s="29" t="str">
        <f>'勤務表（参照用）'!K21</f>
        <v>明</v>
      </c>
      <c r="L21" s="29" t="str">
        <f>'勤務表（参照用）'!L21</f>
        <v/>
      </c>
      <c r="M21" s="29" t="str">
        <f>'勤務表（参照用）'!M21</f>
        <v/>
      </c>
      <c r="N21" s="29" t="str">
        <f>'勤務表（参照用）'!N21</f>
        <v/>
      </c>
      <c r="O21" s="29" t="str">
        <f>'勤務表（参照用）'!O21</f>
        <v>当</v>
      </c>
      <c r="P21" s="29" t="str">
        <f>'勤務表（参照用）'!P21</f>
        <v>明</v>
      </c>
      <c r="Q21" s="29" t="str">
        <f>'勤務表（参照用）'!Q21</f>
        <v>●</v>
      </c>
      <c r="R21" s="29" t="str">
        <f>'勤務表（参照用）'!R21</f>
        <v/>
      </c>
      <c r="S21" s="29" t="str">
        <f>'勤務表（参照用）'!S21</f>
        <v/>
      </c>
      <c r="T21" s="29" t="str">
        <f>'勤務表（参照用）'!T21</f>
        <v/>
      </c>
      <c r="U21" s="29" t="str">
        <f>'勤務表（参照用）'!U21</f>
        <v/>
      </c>
      <c r="V21" s="29" t="str">
        <f>'勤務表（参照用）'!V21</f>
        <v>○</v>
      </c>
      <c r="W21" s="29" t="str">
        <f>'勤務表（参照用）'!W21</f>
        <v>●</v>
      </c>
      <c r="X21" s="29" t="str">
        <f>'勤務表（参照用）'!X21</f>
        <v>当</v>
      </c>
      <c r="Y21" s="29" t="str">
        <f>'勤務表（参照用）'!Y21</f>
        <v>明</v>
      </c>
      <c r="Z21" s="29" t="str">
        <f>'勤務表（参照用）'!Z21</f>
        <v/>
      </c>
      <c r="AA21" s="29" t="str">
        <f>'勤務表（参照用）'!AA21</f>
        <v/>
      </c>
      <c r="AB21" s="29" t="str">
        <f>'勤務表（参照用）'!AB21</f>
        <v/>
      </c>
      <c r="AC21" s="29" t="str">
        <f>'勤務表（参照用）'!AC21</f>
        <v>／</v>
      </c>
      <c r="AD21" s="29" t="str">
        <f>'勤務表（参照用）'!AD21</f>
        <v>●</v>
      </c>
      <c r="AE21" s="29" t="str">
        <f>'勤務表（参照用）'!AE21</f>
        <v/>
      </c>
      <c r="AF21" s="29" t="str">
        <f>'勤務表（参照用）'!AF21</f>
        <v/>
      </c>
      <c r="AG21" s="29" t="str">
        <f>'勤務表（参照用）'!AG21</f>
        <v/>
      </c>
      <c r="AH21" s="29" t="str">
        <f>'勤務表（参照用）'!AH21</f>
        <v/>
      </c>
      <c r="AJ21" s="28"/>
      <c r="AK21" s="30"/>
    </row>
    <row r="22" spans="3:37" x14ac:dyDescent="0.2">
      <c r="C22" s="69" t="str">
        <f>'勤務表（参照用）'!C22</f>
        <v>冨田 紗詠子</v>
      </c>
      <c r="D22" s="29" t="s">
        <v>46</v>
      </c>
      <c r="E22" s="29" t="str">
        <f>'勤務表（参照用）'!E22</f>
        <v/>
      </c>
      <c r="F22" s="29" t="str">
        <f>'勤務表（参照用）'!F22</f>
        <v/>
      </c>
      <c r="G22" s="29" t="str">
        <f>'勤務表（参照用）'!G22</f>
        <v/>
      </c>
      <c r="H22" s="29" t="str">
        <f>'勤務表（参照用）'!H22</f>
        <v>○</v>
      </c>
      <c r="I22" s="29" t="str">
        <f>'勤務表（参照用）'!I22</f>
        <v>●</v>
      </c>
      <c r="J22" s="29" t="str">
        <f>'勤務表（参照用）'!J22</f>
        <v/>
      </c>
      <c r="K22" s="29" t="str">
        <f>'勤務表（参照用）'!K22</f>
        <v/>
      </c>
      <c r="L22" s="29" t="str">
        <f>'勤務表（参照用）'!L22</f>
        <v/>
      </c>
      <c r="M22" s="29" t="str">
        <f>'勤務表（参照用）'!M22</f>
        <v/>
      </c>
      <c r="N22" s="29" t="str">
        <f>'勤務表（参照用）'!N22</f>
        <v/>
      </c>
      <c r="O22" s="29" t="str">
        <f>'勤務表（参照用）'!O22</f>
        <v>○</v>
      </c>
      <c r="P22" s="29" t="str">
        <f>'勤務表（参照用）'!P22</f>
        <v>●</v>
      </c>
      <c r="Q22" s="29" t="str">
        <f>'勤務表（参照用）'!Q22</f>
        <v/>
      </c>
      <c r="R22" s="29" t="str">
        <f>'勤務表（参照用）'!R22</f>
        <v/>
      </c>
      <c r="S22" s="29" t="str">
        <f>'勤務表（参照用）'!S22</f>
        <v/>
      </c>
      <c r="T22" s="29" t="str">
        <f>'勤務表（参照用）'!T22</f>
        <v/>
      </c>
      <c r="U22" s="29" t="str">
        <f>'勤務表（参照用）'!U22</f>
        <v/>
      </c>
      <c r="V22" s="29" t="str">
        <f>'勤務表（参照用）'!V22</f>
        <v>○</v>
      </c>
      <c r="W22" s="29" t="str">
        <f>'勤務表（参照用）'!W22</f>
        <v>●</v>
      </c>
      <c r="X22" s="29" t="str">
        <f>'勤務表（参照用）'!X22</f>
        <v/>
      </c>
      <c r="Y22" s="29" t="str">
        <f>'勤務表（参照用）'!Y22</f>
        <v/>
      </c>
      <c r="Z22" s="29" t="str">
        <f>'勤務表（参照用）'!Z22</f>
        <v/>
      </c>
      <c r="AA22" s="29" t="str">
        <f>'勤務表（参照用）'!AA22</f>
        <v/>
      </c>
      <c r="AB22" s="29" t="str">
        <f>'勤務表（参照用）'!AB22</f>
        <v/>
      </c>
      <c r="AC22" s="29" t="str">
        <f>'勤務表（参照用）'!AC22</f>
        <v>○</v>
      </c>
      <c r="AD22" s="29" t="str">
        <f>'勤務表（参照用）'!AD22</f>
        <v>●</v>
      </c>
      <c r="AE22" s="29" t="str">
        <f>'勤務表（参照用）'!AE22</f>
        <v/>
      </c>
      <c r="AF22" s="29" t="str">
        <f>'勤務表（参照用）'!AF22</f>
        <v/>
      </c>
      <c r="AG22" s="29" t="str">
        <f>'勤務表（参照用）'!AG22</f>
        <v/>
      </c>
      <c r="AH22" s="29" t="str">
        <f>'勤務表（参照用）'!AH22</f>
        <v/>
      </c>
      <c r="AJ22" s="30"/>
    </row>
    <row r="23" spans="3:37" x14ac:dyDescent="0.2">
      <c r="C23" s="69" t="str">
        <f>'勤務表（参照用）'!C23</f>
        <v>黒田 奈菜子</v>
      </c>
      <c r="D23" s="29" t="str">
        <f>'勤務表（参照用）'!D23</f>
        <v/>
      </c>
      <c r="E23" s="29" t="str">
        <f>'勤務表（参照用）'!E23</f>
        <v/>
      </c>
      <c r="F23" s="29" t="str">
        <f>'勤務表（参照用）'!F23</f>
        <v/>
      </c>
      <c r="G23" s="29" t="str">
        <f>'勤務表（参照用）'!G23</f>
        <v/>
      </c>
      <c r="H23" s="29" t="str">
        <f>'勤務表（参照用）'!H23</f>
        <v>○</v>
      </c>
      <c r="I23" s="29" t="str">
        <f>'勤務表（参照用）'!I23</f>
        <v>●</v>
      </c>
      <c r="J23" s="29" t="str">
        <f>'勤務表（参照用）'!J23</f>
        <v/>
      </c>
      <c r="K23" s="29" t="str">
        <f>'勤務表（参照用）'!K23</f>
        <v/>
      </c>
      <c r="L23" s="29" t="str">
        <f>'勤務表（参照用）'!L23</f>
        <v/>
      </c>
      <c r="M23" s="29" t="str">
        <f>'勤務表（参照用）'!M23</f>
        <v/>
      </c>
      <c r="N23" s="29" t="str">
        <f>'勤務表（参照用）'!N23</f>
        <v/>
      </c>
      <c r="O23" s="29" t="str">
        <f>'勤務表（参照用）'!O23</f>
        <v>○</v>
      </c>
      <c r="P23" s="29" t="str">
        <f>'勤務表（参照用）'!P23</f>
        <v>●</v>
      </c>
      <c r="Q23" s="29" t="str">
        <f>'勤務表（参照用）'!Q23</f>
        <v/>
      </c>
      <c r="R23" s="29" t="str">
        <f>'勤務表（参照用）'!R23</f>
        <v/>
      </c>
      <c r="S23" s="29" t="str">
        <f>'勤務表（参照用）'!S23</f>
        <v/>
      </c>
      <c r="T23" s="29" t="str">
        <f>'勤務表（参照用）'!T23</f>
        <v/>
      </c>
      <c r="U23" s="29" t="str">
        <f>'勤務表（参照用）'!U23</f>
        <v/>
      </c>
      <c r="V23" s="29" t="str">
        <f>'勤務表（参照用）'!V23</f>
        <v>○</v>
      </c>
      <c r="W23" s="29" t="str">
        <f>'勤務表（参照用）'!W23</f>
        <v>●</v>
      </c>
      <c r="X23" s="29" t="str">
        <f>'勤務表（参照用）'!X23</f>
        <v/>
      </c>
      <c r="Y23" s="29" t="str">
        <f>'勤務表（参照用）'!Y23</f>
        <v/>
      </c>
      <c r="Z23" s="29" t="str">
        <f>'勤務表（参照用）'!Z23</f>
        <v/>
      </c>
      <c r="AA23" s="29" t="str">
        <f>'勤務表（参照用）'!AA23</f>
        <v/>
      </c>
      <c r="AB23" s="29" t="str">
        <f>'勤務表（参照用）'!AB23</f>
        <v/>
      </c>
      <c r="AC23" s="29" t="str">
        <f>'勤務表（参照用）'!AC23</f>
        <v>○</v>
      </c>
      <c r="AD23" s="29" t="str">
        <f>'勤務表（参照用）'!AD23</f>
        <v>●</v>
      </c>
      <c r="AE23" s="29" t="str">
        <f>'勤務表（参照用）'!AE23</f>
        <v/>
      </c>
      <c r="AF23" s="29" t="str">
        <f>'勤務表（参照用）'!AF23</f>
        <v/>
      </c>
      <c r="AG23" s="29" t="str">
        <f>'勤務表（参照用）'!AG23</f>
        <v/>
      </c>
      <c r="AH23" s="29" t="str">
        <f>'勤務表（参照用）'!AH23</f>
        <v/>
      </c>
      <c r="AJ23" s="28"/>
      <c r="AK23" s="30"/>
    </row>
    <row r="24" spans="3:37" x14ac:dyDescent="0.2">
      <c r="C24" s="69" t="str">
        <f>'勤務表（参照用）'!C24</f>
        <v>長迫 千寛</v>
      </c>
      <c r="D24" s="29" t="str">
        <f>'勤務表（参照用）'!D24</f>
        <v/>
      </c>
      <c r="E24" s="29" t="str">
        <f>'勤務表（参照用）'!E24</f>
        <v/>
      </c>
      <c r="F24" s="29" t="str">
        <f>'勤務表（参照用）'!F24</f>
        <v/>
      </c>
      <c r="G24" s="29" t="str">
        <f>'勤務表（参照用）'!G24</f>
        <v/>
      </c>
      <c r="H24" s="29" t="str">
        <f>'勤務表（参照用）'!H24</f>
        <v>○</v>
      </c>
      <c r="I24" s="29" t="str">
        <f>'勤務表（参照用）'!I24</f>
        <v>●</v>
      </c>
      <c r="J24" s="29" t="str">
        <f>'勤務表（参照用）'!J24</f>
        <v/>
      </c>
      <c r="K24" s="29" t="str">
        <f>'勤務表（参照用）'!K24</f>
        <v/>
      </c>
      <c r="L24" s="29" t="str">
        <f>'勤務表（参照用）'!L24</f>
        <v/>
      </c>
      <c r="M24" s="29" t="str">
        <f>'勤務表（参照用）'!M24</f>
        <v/>
      </c>
      <c r="N24" s="29" t="str">
        <f>'勤務表（参照用）'!N24</f>
        <v/>
      </c>
      <c r="O24" s="29" t="str">
        <f>'勤務表（参照用）'!O24</f>
        <v>○</v>
      </c>
      <c r="P24" s="29" t="str">
        <f>'勤務表（参照用）'!P24</f>
        <v>●</v>
      </c>
      <c r="Q24" s="29" t="str">
        <f>'勤務表（参照用）'!Q24</f>
        <v/>
      </c>
      <c r="R24" s="29" t="str">
        <f>'勤務表（参照用）'!R24</f>
        <v/>
      </c>
      <c r="S24" s="29" t="str">
        <f>'勤務表（参照用）'!S24</f>
        <v/>
      </c>
      <c r="T24" s="29" t="str">
        <f>'勤務表（参照用）'!T24</f>
        <v/>
      </c>
      <c r="U24" s="29" t="str">
        <f>'勤務表（参照用）'!U24</f>
        <v/>
      </c>
      <c r="V24" s="29" t="str">
        <f>'勤務表（参照用）'!V24</f>
        <v>○</v>
      </c>
      <c r="W24" s="29" t="str">
        <f>'勤務表（参照用）'!W24</f>
        <v>●</v>
      </c>
      <c r="X24" s="29" t="str">
        <f>'勤務表（参照用）'!X24</f>
        <v/>
      </c>
      <c r="Y24" s="29" t="str">
        <f>'勤務表（参照用）'!Y24</f>
        <v/>
      </c>
      <c r="Z24" s="29" t="str">
        <f>'勤務表（参照用）'!Z24</f>
        <v/>
      </c>
      <c r="AA24" s="29" t="str">
        <f>'勤務表（参照用）'!AA24</f>
        <v/>
      </c>
      <c r="AB24" s="29" t="str">
        <f>'勤務表（参照用）'!AB24</f>
        <v/>
      </c>
      <c r="AC24" s="29" t="str">
        <f>'勤務表（参照用）'!AC24</f>
        <v>○</v>
      </c>
      <c r="AD24" s="29" t="str">
        <f>'勤務表（参照用）'!AD24</f>
        <v>●</v>
      </c>
      <c r="AE24" s="29" t="str">
        <f>'勤務表（参照用）'!AE24</f>
        <v/>
      </c>
      <c r="AF24" s="29" t="str">
        <f>'勤務表（参照用）'!AF24</f>
        <v/>
      </c>
      <c r="AG24" s="29" t="str">
        <f>'勤務表（参照用）'!AG24</f>
        <v/>
      </c>
      <c r="AH24" s="29" t="str">
        <f>'勤務表（参照用）'!AH24</f>
        <v/>
      </c>
      <c r="AJ24" s="30"/>
    </row>
    <row r="25" spans="3:37" x14ac:dyDescent="0.2">
      <c r="C25" s="69" t="str">
        <f>'勤務表（参照用）'!C25</f>
        <v>吉田 汐里</v>
      </c>
      <c r="D25" s="29" t="str">
        <f>'勤務表（参照用）'!D25</f>
        <v/>
      </c>
      <c r="E25" s="29" t="str">
        <f>'勤務表（参照用）'!E25</f>
        <v/>
      </c>
      <c r="F25" s="29" t="str">
        <f>'勤務表（参照用）'!F25</f>
        <v/>
      </c>
      <c r="G25" s="29" t="str">
        <f>'勤務表（参照用）'!G25</f>
        <v/>
      </c>
      <c r="H25" s="29" t="str">
        <f>'勤務表（参照用）'!H25</f>
        <v>○</v>
      </c>
      <c r="I25" s="29" t="str">
        <f>'勤務表（参照用）'!I25</f>
        <v>●</v>
      </c>
      <c r="J25" s="29" t="str">
        <f>'勤務表（参照用）'!J25</f>
        <v/>
      </c>
      <c r="K25" s="29" t="str">
        <f>'勤務表（参照用）'!K25</f>
        <v/>
      </c>
      <c r="L25" s="29" t="str">
        <f>'勤務表（参照用）'!L25</f>
        <v/>
      </c>
      <c r="M25" s="29" t="str">
        <f>'勤務表（参照用）'!M25</f>
        <v/>
      </c>
      <c r="N25" s="29" t="str">
        <f>'勤務表（参照用）'!N25</f>
        <v/>
      </c>
      <c r="O25" s="29" t="str">
        <f>'勤務表（参照用）'!O25</f>
        <v>○</v>
      </c>
      <c r="P25" s="29" t="str">
        <f>'勤務表（参照用）'!P25</f>
        <v>●</v>
      </c>
      <c r="Q25" s="29" t="str">
        <f>'勤務表（参照用）'!Q25</f>
        <v/>
      </c>
      <c r="R25" s="29" t="str">
        <f>'勤務表（参照用）'!R25</f>
        <v/>
      </c>
      <c r="S25" s="29" t="str">
        <f>'勤務表（参照用）'!S25</f>
        <v/>
      </c>
      <c r="T25" s="29" t="str">
        <f>'勤務表（参照用）'!T25</f>
        <v/>
      </c>
      <c r="U25" s="29" t="str">
        <f>'勤務表（参照用）'!U25</f>
        <v/>
      </c>
      <c r="V25" s="29" t="str">
        <f>'勤務表（参照用）'!V25</f>
        <v>○</v>
      </c>
      <c r="W25" s="29" t="str">
        <f>'勤務表（参照用）'!W25</f>
        <v>●</v>
      </c>
      <c r="X25" s="29" t="str">
        <f>'勤務表（参照用）'!X25</f>
        <v/>
      </c>
      <c r="Y25" s="29" t="str">
        <f>'勤務表（参照用）'!Y25</f>
        <v/>
      </c>
      <c r="Z25" s="29" t="str">
        <f>'勤務表（参照用）'!Z25</f>
        <v/>
      </c>
      <c r="AA25" s="29" t="str">
        <f>'勤務表（参照用）'!AA25</f>
        <v/>
      </c>
      <c r="AB25" s="29" t="str">
        <f>'勤務表（参照用）'!AB25</f>
        <v/>
      </c>
      <c r="AC25" s="29" t="str">
        <f>'勤務表（参照用）'!AC25</f>
        <v>○</v>
      </c>
      <c r="AD25" s="29" t="str">
        <f>'勤務表（参照用）'!AD25</f>
        <v>●</v>
      </c>
      <c r="AE25" s="29" t="str">
        <f>'勤務表（参照用）'!AE25</f>
        <v/>
      </c>
      <c r="AF25" s="29" t="str">
        <f>'勤務表（参照用）'!AF25</f>
        <v/>
      </c>
      <c r="AG25" s="29" t="str">
        <f>'勤務表（参照用）'!AG25</f>
        <v/>
      </c>
      <c r="AH25" s="29" t="str">
        <f>'勤務表（参照用）'!AH25</f>
        <v/>
      </c>
      <c r="AJ25" s="28"/>
      <c r="AK25" s="30"/>
    </row>
    <row r="26" spans="3:37" x14ac:dyDescent="0.2">
      <c r="C26" s="69" t="str">
        <f>'勤務表（参照用）'!C26</f>
        <v>齊藤 久紘</v>
      </c>
      <c r="D26" s="29" t="str">
        <f>'勤務表（参照用）'!D26</f>
        <v/>
      </c>
      <c r="E26" s="29" t="str">
        <f>'勤務表（参照用）'!E26</f>
        <v/>
      </c>
      <c r="F26" s="29" t="str">
        <f>'勤務表（参照用）'!F26</f>
        <v/>
      </c>
      <c r="G26" s="29" t="str">
        <f>'勤務表（参照用）'!G26</f>
        <v/>
      </c>
      <c r="H26" s="29" t="str">
        <f>'勤務表（参照用）'!H26</f>
        <v>○</v>
      </c>
      <c r="I26" s="29" t="str">
        <f>'勤務表（参照用）'!I26</f>
        <v>●</v>
      </c>
      <c r="J26" s="29" t="str">
        <f>'勤務表（参照用）'!J26</f>
        <v/>
      </c>
      <c r="K26" s="29" t="str">
        <f>'勤務表（参照用）'!K26</f>
        <v/>
      </c>
      <c r="L26" s="29" t="str">
        <f>'勤務表（参照用）'!L26</f>
        <v/>
      </c>
      <c r="M26" s="29" t="str">
        <f>'勤務表（参照用）'!M26</f>
        <v/>
      </c>
      <c r="N26" s="29" t="str">
        <f>'勤務表（参照用）'!N26</f>
        <v/>
      </c>
      <c r="O26" s="29" t="str">
        <f>'勤務表（参照用）'!O26</f>
        <v>○</v>
      </c>
      <c r="P26" s="29" t="str">
        <f>'勤務表（参照用）'!P26</f>
        <v>●</v>
      </c>
      <c r="Q26" s="29" t="str">
        <f>'勤務表（参照用）'!Q26</f>
        <v/>
      </c>
      <c r="R26" s="29" t="str">
        <f>'勤務表（参照用）'!R26</f>
        <v/>
      </c>
      <c r="S26" s="29" t="str">
        <f>'勤務表（参照用）'!S26</f>
        <v/>
      </c>
      <c r="T26" s="29" t="str">
        <f>'勤務表（参照用）'!T26</f>
        <v/>
      </c>
      <c r="U26" s="29" t="str">
        <f>'勤務表（参照用）'!U26</f>
        <v/>
      </c>
      <c r="V26" s="29" t="str">
        <f>'勤務表（参照用）'!V26</f>
        <v>○</v>
      </c>
      <c r="W26" s="29" t="str">
        <f>'勤務表（参照用）'!W26</f>
        <v>●</v>
      </c>
      <c r="X26" s="29" t="str">
        <f>'勤務表（参照用）'!X26</f>
        <v/>
      </c>
      <c r="Y26" s="29" t="str">
        <f>'勤務表（参照用）'!Y26</f>
        <v/>
      </c>
      <c r="Z26" s="29" t="str">
        <f>'勤務表（参照用）'!Z26</f>
        <v/>
      </c>
      <c r="AA26" s="29" t="str">
        <f>'勤務表（参照用）'!AA26</f>
        <v/>
      </c>
      <c r="AB26" s="29" t="str">
        <f>'勤務表（参照用）'!AB26</f>
        <v/>
      </c>
      <c r="AC26" s="29" t="str">
        <f>'勤務表（参照用）'!AC26</f>
        <v>○</v>
      </c>
      <c r="AD26" s="29" t="str">
        <f>'勤務表（参照用）'!AD26</f>
        <v>●</v>
      </c>
      <c r="AE26" s="29" t="str">
        <f>'勤務表（参照用）'!AE26</f>
        <v/>
      </c>
      <c r="AF26" s="29" t="str">
        <f>'勤務表（参照用）'!AF26</f>
        <v/>
      </c>
      <c r="AG26" s="29" t="str">
        <f>'勤務表（参照用）'!AG26</f>
        <v/>
      </c>
      <c r="AH26" s="29" t="str">
        <f>'勤務表（参照用）'!AH26</f>
        <v/>
      </c>
      <c r="AJ26" s="30"/>
    </row>
    <row r="27" spans="3:37" x14ac:dyDescent="0.2">
      <c r="C27" s="69" t="str">
        <f>'勤務表（参照用）'!C27</f>
        <v>佐藤 恵梨子</v>
      </c>
      <c r="D27" s="29" t="str">
        <f>'勤務表（参照用）'!D27</f>
        <v/>
      </c>
      <c r="E27" s="29" t="str">
        <f>'勤務表（参照用）'!E27</f>
        <v/>
      </c>
      <c r="F27" s="29" t="str">
        <f>'勤務表（参照用）'!F27</f>
        <v/>
      </c>
      <c r="G27" s="29" t="str">
        <f>'勤務表（参照用）'!G27</f>
        <v/>
      </c>
      <c r="H27" s="29" t="str">
        <f>'勤務表（参照用）'!H27</f>
        <v>／</v>
      </c>
      <c r="I27" s="29" t="str">
        <f>'勤務表（参照用）'!I27</f>
        <v>●</v>
      </c>
      <c r="J27" s="29" t="str">
        <f>'勤務表（参照用）'!J27</f>
        <v/>
      </c>
      <c r="K27" s="29" t="str">
        <f>'勤務表（参照用）'!K27</f>
        <v/>
      </c>
      <c r="L27" s="29" t="str">
        <f>'勤務表（参照用）'!L27</f>
        <v>当</v>
      </c>
      <c r="M27" s="29" t="str">
        <f>'勤務表（参照用）'!M27</f>
        <v>明</v>
      </c>
      <c r="N27" s="29" t="str">
        <f>'勤務表（参照用）'!N27</f>
        <v/>
      </c>
      <c r="O27" s="29" t="str">
        <f>'勤務表（参照用）'!O27</f>
        <v>○</v>
      </c>
      <c r="P27" s="29" t="str">
        <f>'勤務表（参照用）'!P27</f>
        <v>●</v>
      </c>
      <c r="Q27" s="29" t="str">
        <f>'勤務表（参照用）'!Q27</f>
        <v/>
      </c>
      <c r="R27" s="29" t="str">
        <f>'勤務表（参照用）'!R27</f>
        <v/>
      </c>
      <c r="S27" s="29" t="str">
        <f>'勤務表（参照用）'!S27</f>
        <v>当</v>
      </c>
      <c r="T27" s="29" t="str">
        <f>'勤務表（参照用）'!T27</f>
        <v>明</v>
      </c>
      <c r="U27" s="29" t="str">
        <f>'勤務表（参照用）'!U27</f>
        <v/>
      </c>
      <c r="V27" s="29" t="str">
        <f>'勤務表（参照用）'!V27</f>
        <v>／</v>
      </c>
      <c r="W27" s="29" t="str">
        <f>'勤務表（参照用）'!W27</f>
        <v>●</v>
      </c>
      <c r="X27" s="29" t="str">
        <f>'勤務表（参照用）'!X27</f>
        <v/>
      </c>
      <c r="Y27" s="29" t="str">
        <f>'勤務表（参照用）'!Y27</f>
        <v/>
      </c>
      <c r="Z27" s="29" t="str">
        <f>'勤務表（参照用）'!Z27</f>
        <v/>
      </c>
      <c r="AA27" s="29" t="str">
        <f>'勤務表（参照用）'!AA27</f>
        <v/>
      </c>
      <c r="AB27" s="29" t="str">
        <f>'勤務表（参照用）'!AB27</f>
        <v/>
      </c>
      <c r="AC27" s="29" t="str">
        <f>'勤務表（参照用）'!AC27</f>
        <v>○</v>
      </c>
      <c r="AD27" s="29" t="str">
        <f>'勤務表（参照用）'!AD27</f>
        <v>当</v>
      </c>
      <c r="AE27" s="29" t="str">
        <f>'勤務表（参照用）'!AE27</f>
        <v>明</v>
      </c>
      <c r="AF27" s="29" t="str">
        <f>'勤務表（参照用）'!AF27</f>
        <v>●</v>
      </c>
      <c r="AG27" s="29" t="str">
        <f>'勤務表（参照用）'!AG27</f>
        <v/>
      </c>
      <c r="AH27" s="29" t="str">
        <f>'勤務表（参照用）'!AH27</f>
        <v/>
      </c>
      <c r="AJ27" s="28"/>
      <c r="AK27" s="30"/>
    </row>
    <row r="28" spans="3:37" x14ac:dyDescent="0.2">
      <c r="C28" s="69" t="str">
        <f>'勤務表（参照用）'!C28</f>
        <v>加藤 靖博</v>
      </c>
      <c r="D28" s="29" t="str">
        <f>'勤務表（参照用）'!D28</f>
        <v/>
      </c>
      <c r="E28" s="29" t="str">
        <f>'勤務表（参照用）'!E28</f>
        <v>当</v>
      </c>
      <c r="F28" s="29" t="str">
        <f>'勤務表（参照用）'!F28</f>
        <v>明</v>
      </c>
      <c r="G28" s="29" t="str">
        <f>'勤務表（参照用）'!G28</f>
        <v/>
      </c>
      <c r="H28" s="29" t="str">
        <f>'勤務表（参照用）'!H28</f>
        <v>○</v>
      </c>
      <c r="I28" s="29" t="str">
        <f>'勤務表（参照用）'!I28</f>
        <v>●</v>
      </c>
      <c r="J28" s="29" t="str">
        <f>'勤務表（参照用）'!J28</f>
        <v/>
      </c>
      <c r="K28" s="29" t="str">
        <f>'勤務表（参照用）'!K28</f>
        <v/>
      </c>
      <c r="L28" s="29" t="str">
        <f>'勤務表（参照用）'!L28</f>
        <v/>
      </c>
      <c r="M28" s="29" t="str">
        <f>'勤務表（参照用）'!M28</f>
        <v/>
      </c>
      <c r="N28" s="29" t="str">
        <f>'勤務表（参照用）'!N28</f>
        <v/>
      </c>
      <c r="O28" s="29" t="str">
        <f>'勤務表（参照用）'!O28</f>
        <v>／</v>
      </c>
      <c r="P28" s="29" t="str">
        <f>'勤務表（参照用）'!P28</f>
        <v>●</v>
      </c>
      <c r="Q28" s="29" t="str">
        <f>'勤務表（参照用）'!Q28</f>
        <v>当</v>
      </c>
      <c r="R28" s="29" t="str">
        <f>'勤務表（参照用）'!R28</f>
        <v>明</v>
      </c>
      <c r="S28" s="29" t="str">
        <f>'勤務表（参照用）'!S28</f>
        <v/>
      </c>
      <c r="T28" s="29" t="str">
        <f>'勤務表（参照用）'!T28</f>
        <v/>
      </c>
      <c r="U28" s="29" t="str">
        <f>'勤務表（参照用）'!U28</f>
        <v/>
      </c>
      <c r="V28" s="29" t="str">
        <f>'勤務表（参照用）'!V28</f>
        <v>○</v>
      </c>
      <c r="W28" s="29" t="str">
        <f>'勤務表（参照用）'!W28</f>
        <v>●</v>
      </c>
      <c r="X28" s="29" t="str">
        <f>'勤務表（参照用）'!X28</f>
        <v/>
      </c>
      <c r="Y28" s="29" t="str">
        <f>'勤務表（参照用）'!Y28</f>
        <v/>
      </c>
      <c r="Z28" s="29" t="str">
        <f>'勤務表（参照用）'!Z28</f>
        <v/>
      </c>
      <c r="AA28" s="29" t="str">
        <f>'勤務表（参照用）'!AA28</f>
        <v>当</v>
      </c>
      <c r="AB28" s="29" t="str">
        <f>'勤務表（参照用）'!AB28</f>
        <v>明</v>
      </c>
      <c r="AC28" s="29" t="str">
        <f>'勤務表（参照用）'!AC28</f>
        <v>／</v>
      </c>
      <c r="AD28" s="29" t="str">
        <f>'勤務表（参照用）'!AD28</f>
        <v>●</v>
      </c>
      <c r="AE28" s="29" t="str">
        <f>'勤務表（参照用）'!AE28</f>
        <v/>
      </c>
      <c r="AF28" s="29" t="str">
        <f>'勤務表（参照用）'!AF28</f>
        <v/>
      </c>
      <c r="AG28" s="29" t="str">
        <f>'勤務表（参照用）'!AG28</f>
        <v/>
      </c>
      <c r="AH28" s="29" t="str">
        <f>'勤務表（参照用）'!AH28</f>
        <v/>
      </c>
      <c r="AJ28" s="30"/>
    </row>
    <row r="29" spans="3:37" x14ac:dyDescent="0.2">
      <c r="C29" s="69" t="str">
        <f>'勤務表（参照用）'!C29</f>
        <v>小川 穂波</v>
      </c>
      <c r="D29" s="29" t="str">
        <f>'勤務表（参照用）'!D29</f>
        <v/>
      </c>
      <c r="E29" s="29" t="str">
        <f>'勤務表（参照用）'!E29</f>
        <v/>
      </c>
      <c r="F29" s="29" t="str">
        <f>'勤務表（参照用）'!F29</f>
        <v/>
      </c>
      <c r="G29" s="29" t="str">
        <f>'勤務表（参照用）'!G29</f>
        <v/>
      </c>
      <c r="H29" s="29" t="str">
        <f>'勤務表（参照用）'!H29</f>
        <v>／</v>
      </c>
      <c r="I29" s="29" t="str">
        <f>'勤務表（参照用）'!I29</f>
        <v>●</v>
      </c>
      <c r="J29" s="29" t="str">
        <f>'勤務表（参照用）'!J29</f>
        <v/>
      </c>
      <c r="K29" s="29" t="str">
        <f>'勤務表（参照用）'!K29</f>
        <v/>
      </c>
      <c r="L29" s="29" t="str">
        <f>'勤務表（参照用）'!L29</f>
        <v/>
      </c>
      <c r="M29" s="29" t="str">
        <f>'勤務表（参照用）'!M29</f>
        <v/>
      </c>
      <c r="N29" s="29" t="str">
        <f>'勤務表（参照用）'!N29</f>
        <v/>
      </c>
      <c r="O29" s="29" t="str">
        <f>'勤務表（参照用）'!O29</f>
        <v>○</v>
      </c>
      <c r="P29" s="29" t="str">
        <f>'勤務表（参照用）'!P29</f>
        <v>●</v>
      </c>
      <c r="Q29" s="29" t="str">
        <f>'勤務表（参照用）'!Q29</f>
        <v/>
      </c>
      <c r="R29" s="29" t="str">
        <f>'勤務表（参照用）'!R29</f>
        <v>当</v>
      </c>
      <c r="S29" s="29" t="str">
        <f>'勤務表（参照用）'!S29</f>
        <v>明</v>
      </c>
      <c r="T29" s="29" t="str">
        <f>'勤務表（参照用）'!T29</f>
        <v/>
      </c>
      <c r="U29" s="29" t="str">
        <f>'勤務表（参照用）'!U29</f>
        <v/>
      </c>
      <c r="V29" s="29" t="str">
        <f>'勤務表（参照用）'!V29</f>
        <v>／</v>
      </c>
      <c r="W29" s="29" t="str">
        <f>'勤務表（参照用）'!W29</f>
        <v>●</v>
      </c>
      <c r="X29" s="29" t="str">
        <f>'勤務表（参照用）'!X29</f>
        <v/>
      </c>
      <c r="Y29" s="29" t="str">
        <f>'勤務表（参照用）'!Y29</f>
        <v/>
      </c>
      <c r="Z29" s="29" t="str">
        <f>'勤務表（参照用）'!Z29</f>
        <v/>
      </c>
      <c r="AA29" s="29" t="str">
        <f>'勤務表（参照用）'!AA29</f>
        <v/>
      </c>
      <c r="AB29" s="29" t="str">
        <f>'勤務表（参照用）'!AB29</f>
        <v/>
      </c>
      <c r="AC29" s="29" t="str">
        <f>'勤務表（参照用）'!AC29</f>
        <v>○</v>
      </c>
      <c r="AD29" s="29" t="str">
        <f>'勤務表（参照用）'!AD29</f>
        <v>●</v>
      </c>
      <c r="AE29" s="29" t="str">
        <f>'勤務表（参照用）'!AE29</f>
        <v>当</v>
      </c>
      <c r="AF29" s="29" t="str">
        <f>'勤務表（参照用）'!AF29</f>
        <v>明</v>
      </c>
      <c r="AG29" s="29" t="str">
        <f>'勤務表（参照用）'!AG29</f>
        <v/>
      </c>
      <c r="AH29" s="29" t="str">
        <f>'勤務表（参照用）'!AH29</f>
        <v/>
      </c>
      <c r="AJ29" s="28"/>
      <c r="AK29" s="30"/>
    </row>
    <row r="30" spans="3:37" x14ac:dyDescent="0.2">
      <c r="C30" s="69" t="str">
        <f>'勤務表（参照用）'!C30</f>
        <v>薬司 康平</v>
      </c>
      <c r="D30" s="29" t="str">
        <f>'勤務表（参照用）'!D30</f>
        <v/>
      </c>
      <c r="E30" s="29" t="str">
        <f>'勤務表（参照用）'!E30</f>
        <v>当</v>
      </c>
      <c r="F30" s="29" t="str">
        <f>'勤務表（参照用）'!F30</f>
        <v>明</v>
      </c>
      <c r="G30" s="29" t="str">
        <f>'勤務表（参照用）'!G30</f>
        <v/>
      </c>
      <c r="H30" s="29" t="str">
        <f>'勤務表（参照用）'!H30</f>
        <v>○</v>
      </c>
      <c r="I30" s="29" t="str">
        <f>'勤務表（参照用）'!I30</f>
        <v>●</v>
      </c>
      <c r="J30" s="29" t="str">
        <f>'勤務表（参照用）'!J30</f>
        <v/>
      </c>
      <c r="K30" s="29" t="str">
        <f>'勤務表（参照用）'!K30</f>
        <v/>
      </c>
      <c r="L30" s="29" t="str">
        <f>'勤務表（参照用）'!L30</f>
        <v/>
      </c>
      <c r="M30" s="29" t="str">
        <f>'勤務表（参照用）'!M30</f>
        <v/>
      </c>
      <c r="N30" s="29" t="str">
        <f>'勤務表（参照用）'!N30</f>
        <v/>
      </c>
      <c r="O30" s="29" t="str">
        <f>'勤務表（参照用）'!O30</f>
        <v>／</v>
      </c>
      <c r="P30" s="29" t="str">
        <f>'勤務表（参照用）'!P30</f>
        <v>●</v>
      </c>
      <c r="Q30" s="29" t="str">
        <f>'勤務表（参照用）'!Q30</f>
        <v/>
      </c>
      <c r="R30" s="29" t="str">
        <f>'勤務表（参照用）'!R30</f>
        <v/>
      </c>
      <c r="S30" s="29" t="str">
        <f>'勤務表（参照用）'!S30</f>
        <v>当</v>
      </c>
      <c r="T30" s="29" t="str">
        <f>'勤務表（参照用）'!T30</f>
        <v>明</v>
      </c>
      <c r="U30" s="29" t="str">
        <f>'勤務表（参照用）'!U30</f>
        <v/>
      </c>
      <c r="V30" s="29" t="str">
        <f>'勤務表（参照用）'!V30</f>
        <v>○</v>
      </c>
      <c r="W30" s="29" t="str">
        <f>'勤務表（参照用）'!W30</f>
        <v>●</v>
      </c>
      <c r="X30" s="29" t="str">
        <f>'勤務表（参照用）'!X30</f>
        <v/>
      </c>
      <c r="Y30" s="29" t="str">
        <f>'勤務表（参照用）'!Y30</f>
        <v/>
      </c>
      <c r="Z30" s="29" t="str">
        <f>'勤務表（参照用）'!Z30</f>
        <v/>
      </c>
      <c r="AA30" s="29" t="str">
        <f>'勤務表（参照用）'!AA30</f>
        <v/>
      </c>
      <c r="AB30" s="29" t="str">
        <f>'勤務表（参照用）'!AB30</f>
        <v/>
      </c>
      <c r="AC30" s="29" t="str">
        <f>'勤務表（参照用）'!AC30</f>
        <v>／</v>
      </c>
      <c r="AD30" s="29" t="str">
        <f>'勤務表（参照用）'!AD30</f>
        <v>●</v>
      </c>
      <c r="AE30" s="29" t="str">
        <f>'勤務表（参照用）'!AE30</f>
        <v/>
      </c>
      <c r="AF30" s="29" t="str">
        <f>'勤務表（参照用）'!AF30</f>
        <v/>
      </c>
      <c r="AG30" s="29" t="str">
        <f>'勤務表（参照用）'!AG30</f>
        <v/>
      </c>
      <c r="AH30" s="29" t="str">
        <f>'勤務表（参照用）'!AH30</f>
        <v/>
      </c>
      <c r="AJ30" s="30"/>
    </row>
    <row r="31" spans="3:37" x14ac:dyDescent="0.2">
      <c r="C31" s="69" t="str">
        <f>'勤務表（参照用）'!C31</f>
        <v>西郡 健太</v>
      </c>
      <c r="D31" s="29" t="str">
        <f>'勤務表（参照用）'!D31</f>
        <v>当</v>
      </c>
      <c r="E31" s="29" t="str">
        <f>'勤務表（参照用）'!E31</f>
        <v>明</v>
      </c>
      <c r="F31" s="29" t="str">
        <f>'勤務表（参照用）'!F31</f>
        <v/>
      </c>
      <c r="G31" s="29" t="str">
        <f>'勤務表（参照用）'!G31</f>
        <v/>
      </c>
      <c r="H31" s="29" t="str">
        <f>'勤務表（参照用）'!H31</f>
        <v>／</v>
      </c>
      <c r="I31" s="29" t="str">
        <f>'勤務表（参照用）'!I31</f>
        <v>●</v>
      </c>
      <c r="J31" s="29" t="str">
        <f>'勤務表（参照用）'!J31</f>
        <v/>
      </c>
      <c r="K31" s="29" t="str">
        <f>'勤務表（参照用）'!K31</f>
        <v/>
      </c>
      <c r="L31" s="29" t="str">
        <f>'勤務表（参照用）'!L31</f>
        <v/>
      </c>
      <c r="M31" s="29" t="str">
        <f>'勤務表（参照用）'!M31</f>
        <v/>
      </c>
      <c r="N31" s="29" t="str">
        <f>'勤務表（参照用）'!N31</f>
        <v/>
      </c>
      <c r="O31" s="29" t="str">
        <f>'勤務表（参照用）'!O31</f>
        <v>○</v>
      </c>
      <c r="P31" s="29" t="str">
        <f>'勤務表（参照用）'!P31</f>
        <v>●</v>
      </c>
      <c r="Q31" s="29" t="str">
        <f>'勤務表（参照用）'!Q31</f>
        <v/>
      </c>
      <c r="R31" s="29" t="str">
        <f>'勤務表（参照用）'!R31</f>
        <v>当</v>
      </c>
      <c r="S31" s="29" t="str">
        <f>'勤務表（参照用）'!S31</f>
        <v>明</v>
      </c>
      <c r="T31" s="29" t="str">
        <f>'勤務表（参照用）'!T31</f>
        <v/>
      </c>
      <c r="U31" s="29" t="str">
        <f>'勤務表（参照用）'!U31</f>
        <v/>
      </c>
      <c r="V31" s="29" t="str">
        <f>'勤務表（参照用）'!V31</f>
        <v>／</v>
      </c>
      <c r="W31" s="29" t="str">
        <f>'勤務表（参照用）'!W31</f>
        <v>●</v>
      </c>
      <c r="X31" s="29" t="str">
        <f>'勤務表（参照用）'!X31</f>
        <v/>
      </c>
      <c r="Y31" s="29" t="str">
        <f>'勤務表（参照用）'!Y31</f>
        <v/>
      </c>
      <c r="Z31" s="29" t="str">
        <f>'勤務表（参照用）'!Z31</f>
        <v>当</v>
      </c>
      <c r="AA31" s="29" t="str">
        <f>'勤務表（参照用）'!AA31</f>
        <v>明</v>
      </c>
      <c r="AB31" s="29" t="str">
        <f>'勤務表（参照用）'!AB31</f>
        <v/>
      </c>
      <c r="AC31" s="29" t="str">
        <f>'勤務表（参照用）'!AC31</f>
        <v>○</v>
      </c>
      <c r="AD31" s="29" t="str">
        <f>'勤務表（参照用）'!AD31</f>
        <v>●</v>
      </c>
      <c r="AE31" s="29" t="str">
        <f>'勤務表（参照用）'!AE31</f>
        <v/>
      </c>
      <c r="AF31" s="29" t="str">
        <f>'勤務表（参照用）'!AF31</f>
        <v/>
      </c>
      <c r="AG31" s="29" t="str">
        <f>'勤務表（参照用）'!AG31</f>
        <v>当</v>
      </c>
      <c r="AH31" s="29" t="str">
        <f>'勤務表（参照用）'!AH31</f>
        <v/>
      </c>
      <c r="AJ31" s="28"/>
      <c r="AK31" s="30"/>
    </row>
    <row r="32" spans="3:37" x14ac:dyDescent="0.2">
      <c r="C32" s="69" t="str">
        <f>'勤務表（参照用）'!C32</f>
        <v>松木 こころ</v>
      </c>
      <c r="D32" s="29" t="str">
        <f>'勤務表（参照用）'!D32</f>
        <v/>
      </c>
      <c r="E32" s="29" t="str">
        <f>'勤務表（参照用）'!E32</f>
        <v/>
      </c>
      <c r="F32" s="29" t="str">
        <f>'勤務表（参照用）'!F32</f>
        <v/>
      </c>
      <c r="G32" s="29" t="str">
        <f>'勤務表（参照用）'!G32</f>
        <v/>
      </c>
      <c r="H32" s="29" t="str">
        <f>'勤務表（参照用）'!H32</f>
        <v>○</v>
      </c>
      <c r="I32" s="29" t="str">
        <f>'勤務表（参照用）'!I32</f>
        <v>●</v>
      </c>
      <c r="J32" s="29" t="str">
        <f>'勤務表（参照用）'!J32</f>
        <v/>
      </c>
      <c r="K32" s="29" t="str">
        <f>'勤務表（参照用）'!K32</f>
        <v/>
      </c>
      <c r="L32" s="29" t="str">
        <f>'勤務表（参照用）'!L32</f>
        <v/>
      </c>
      <c r="M32" s="29" t="str">
        <f>'勤務表（参照用）'!M32</f>
        <v/>
      </c>
      <c r="N32" s="29" t="str">
        <f>'勤務表（参照用）'!N32</f>
        <v/>
      </c>
      <c r="O32" s="29" t="str">
        <f>'勤務表（参照用）'!O32</f>
        <v>○</v>
      </c>
      <c r="P32" s="29" t="str">
        <f>'勤務表（参照用）'!P32</f>
        <v>●</v>
      </c>
      <c r="Q32" s="29" t="str">
        <f>'勤務表（参照用）'!Q32</f>
        <v/>
      </c>
      <c r="R32" s="29" t="str">
        <f>'勤務表（参照用）'!R32</f>
        <v/>
      </c>
      <c r="S32" s="29" t="str">
        <f>'勤務表（参照用）'!S32</f>
        <v/>
      </c>
      <c r="T32" s="29" t="str">
        <f>'勤務表（参照用）'!T32</f>
        <v/>
      </c>
      <c r="U32" s="29" t="str">
        <f>'勤務表（参照用）'!U32</f>
        <v/>
      </c>
      <c r="V32" s="29" t="str">
        <f>'勤務表（参照用）'!V32</f>
        <v>○</v>
      </c>
      <c r="W32" s="29" t="str">
        <f>'勤務表（参照用）'!W32</f>
        <v>●</v>
      </c>
      <c r="X32" s="29" t="str">
        <f>'勤務表（参照用）'!X32</f>
        <v/>
      </c>
      <c r="Y32" s="29" t="str">
        <f>'勤務表（参照用）'!Y32</f>
        <v/>
      </c>
      <c r="Z32" s="29" t="str">
        <f>'勤務表（参照用）'!Z32</f>
        <v/>
      </c>
      <c r="AA32" s="29" t="str">
        <f>'勤務表（参照用）'!AA32</f>
        <v/>
      </c>
      <c r="AB32" s="29" t="str">
        <f>'勤務表（参照用）'!AB32</f>
        <v/>
      </c>
      <c r="AC32" s="29" t="str">
        <f>'勤務表（参照用）'!AC32</f>
        <v>○</v>
      </c>
      <c r="AD32" s="29" t="str">
        <f>'勤務表（参照用）'!AD32</f>
        <v>●</v>
      </c>
      <c r="AE32" s="29" t="str">
        <f>'勤務表（参照用）'!AE32</f>
        <v/>
      </c>
      <c r="AF32" s="29" t="str">
        <f>'勤務表（参照用）'!AF32</f>
        <v/>
      </c>
      <c r="AG32" s="29" t="str">
        <f>'勤務表（参照用）'!AG32</f>
        <v/>
      </c>
      <c r="AH32" s="29" t="str">
        <f>'勤務表（参照用）'!AH32</f>
        <v/>
      </c>
      <c r="AJ32" s="30"/>
    </row>
    <row r="33" spans="3:37" x14ac:dyDescent="0.2">
      <c r="C33" s="69" t="str">
        <f>'勤務表（参照用）'!C33</f>
        <v>諸田 悠也</v>
      </c>
      <c r="D33" s="29" t="str">
        <f>'勤務表（参照用）'!D33</f>
        <v>当</v>
      </c>
      <c r="E33" s="29" t="str">
        <f>'勤務表（参照用）'!E33</f>
        <v>明</v>
      </c>
      <c r="F33" s="29" t="str">
        <f>'勤務表（参照用）'!F33</f>
        <v/>
      </c>
      <c r="G33" s="29" t="str">
        <f>'勤務表（参照用）'!G33</f>
        <v/>
      </c>
      <c r="H33" s="29" t="str">
        <f>'勤務表（参照用）'!H33</f>
        <v>○</v>
      </c>
      <c r="I33" s="29" t="str">
        <f>'勤務表（参照用）'!I33</f>
        <v>●</v>
      </c>
      <c r="J33" s="29" t="str">
        <f>'勤務表（参照用）'!J33</f>
        <v/>
      </c>
      <c r="K33" s="29" t="str">
        <f>'勤務表（参照用）'!K33</f>
        <v/>
      </c>
      <c r="L33" s="29" t="str">
        <f>'勤務表（参照用）'!L33</f>
        <v/>
      </c>
      <c r="M33" s="29" t="str">
        <f>'勤務表（参照用）'!M33</f>
        <v/>
      </c>
      <c r="N33" s="29" t="str">
        <f>'勤務表（参照用）'!N33</f>
        <v/>
      </c>
      <c r="O33" s="29" t="str">
        <f>'勤務表（参照用）'!O33</f>
        <v>／</v>
      </c>
      <c r="P33" s="29" t="str">
        <f>'勤務表（参照用）'!P33</f>
        <v>●</v>
      </c>
      <c r="Q33" s="29" t="str">
        <f>'勤務表（参照用）'!Q33</f>
        <v/>
      </c>
      <c r="R33" s="29" t="str">
        <f>'勤務表（参照用）'!R33</f>
        <v/>
      </c>
      <c r="S33" s="29" t="str">
        <f>'勤務表（参照用）'!S33</f>
        <v/>
      </c>
      <c r="T33" s="29" t="str">
        <f>'勤務表（参照用）'!T33</f>
        <v/>
      </c>
      <c r="U33" s="29" t="str">
        <f>'勤務表（参照用）'!U33</f>
        <v/>
      </c>
      <c r="V33" s="29" t="str">
        <f>'勤務表（参照用）'!V33</f>
        <v>○</v>
      </c>
      <c r="W33" s="29" t="str">
        <f>'勤務表（参照用）'!W33</f>
        <v>当</v>
      </c>
      <c r="X33" s="29" t="str">
        <f>'勤務表（参照用）'!X33</f>
        <v>明</v>
      </c>
      <c r="Y33" s="29" t="str">
        <f>'勤務表（参照用）'!Y33</f>
        <v>●</v>
      </c>
      <c r="Z33" s="29" t="str">
        <f>'勤務表（参照用）'!Z33</f>
        <v/>
      </c>
      <c r="AA33" s="29" t="str">
        <f>'勤務表（参照用）'!AA33</f>
        <v/>
      </c>
      <c r="AB33" s="29" t="str">
        <f>'勤務表（参照用）'!AB33</f>
        <v/>
      </c>
      <c r="AC33" s="29" t="str">
        <f>'勤務表（参照用）'!AC33</f>
        <v>／</v>
      </c>
      <c r="AD33" s="29" t="str">
        <f>'勤務表（参照用）'!AD33</f>
        <v>●</v>
      </c>
      <c r="AE33" s="29" t="str">
        <f>'勤務表（参照用）'!AE33</f>
        <v/>
      </c>
      <c r="AF33" s="29" t="str">
        <f>'勤務表（参照用）'!AF33</f>
        <v/>
      </c>
      <c r="AG33" s="29" t="str">
        <f>'勤務表（参照用）'!AG33</f>
        <v/>
      </c>
      <c r="AH33" s="29" t="str">
        <f>'勤務表（参照用）'!AH33</f>
        <v/>
      </c>
      <c r="AJ33" s="28"/>
      <c r="AK33" s="30"/>
    </row>
    <row r="34" spans="3:37" x14ac:dyDescent="0.2">
      <c r="C34" s="69" t="str">
        <f>'勤務表（参照用）'!C34</f>
        <v>樫田 尚</v>
      </c>
      <c r="D34" s="29" t="str">
        <f>'勤務表（参照用）'!D34</f>
        <v/>
      </c>
      <c r="E34" s="29" t="str">
        <f>'勤務表（参照用）'!E34</f>
        <v/>
      </c>
      <c r="F34" s="29" t="str">
        <f>'勤務表（参照用）'!F34</f>
        <v/>
      </c>
      <c r="G34" s="29" t="str">
        <f>'勤務表（参照用）'!G34</f>
        <v/>
      </c>
      <c r="H34" s="29" t="str">
        <f>'勤務表（参照用）'!H34</f>
        <v>○</v>
      </c>
      <c r="I34" s="29" t="str">
        <f>'勤務表（参照用）'!I34</f>
        <v>●</v>
      </c>
      <c r="J34" s="29" t="str">
        <f>'勤務表（参照用）'!J34</f>
        <v/>
      </c>
      <c r="K34" s="29" t="str">
        <f>'勤務表（参照用）'!K34</f>
        <v/>
      </c>
      <c r="L34" s="29" t="str">
        <f>'勤務表（参照用）'!L34</f>
        <v/>
      </c>
      <c r="M34" s="29" t="str">
        <f>'勤務表（参照用）'!M34</f>
        <v/>
      </c>
      <c r="N34" s="29" t="str">
        <f>'勤務表（参照用）'!N34</f>
        <v>当</v>
      </c>
      <c r="O34" s="29" t="str">
        <f>'勤務表（参照用）'!O34</f>
        <v>明</v>
      </c>
      <c r="P34" s="29" t="str">
        <f>'勤務表（参照用）'!P34</f>
        <v>●</v>
      </c>
      <c r="Q34" s="29" t="str">
        <f>'勤務表（参照用）'!Q34</f>
        <v/>
      </c>
      <c r="R34" s="29" t="str">
        <f>'勤務表（参照用）'!R34</f>
        <v/>
      </c>
      <c r="S34" s="29" t="str">
        <f>'勤務表（参照用）'!S34</f>
        <v/>
      </c>
      <c r="T34" s="29" t="str">
        <f>'勤務表（参照用）'!T34</f>
        <v/>
      </c>
      <c r="U34" s="29" t="str">
        <f>'勤務表（参照用）'!U34</f>
        <v/>
      </c>
      <c r="V34" s="29" t="str">
        <f>'勤務表（参照用）'!V34</f>
        <v>○</v>
      </c>
      <c r="W34" s="29" t="str">
        <f>'勤務表（参照用）'!W34</f>
        <v/>
      </c>
      <c r="X34" s="29" t="str">
        <f>'勤務表（参照用）'!X34</f>
        <v/>
      </c>
      <c r="Y34" s="29" t="str">
        <f>'勤務表（参照用）'!Y34</f>
        <v/>
      </c>
      <c r="Z34" s="29" t="str">
        <f>'勤務表（参照用）'!Z34</f>
        <v/>
      </c>
      <c r="AA34" s="29" t="str">
        <f>'勤務表（参照用）'!AA34</f>
        <v/>
      </c>
      <c r="AB34" s="29" t="str">
        <f>'勤務表（参照用）'!AB34</f>
        <v/>
      </c>
      <c r="AC34" s="29" t="str">
        <f>'勤務表（参照用）'!AC34</f>
        <v>当</v>
      </c>
      <c r="AD34" s="29" t="str">
        <f>'勤務表（参照用）'!AD34</f>
        <v>明</v>
      </c>
      <c r="AE34" s="29" t="str">
        <f>'勤務表（参照用）'!AE34</f>
        <v>●</v>
      </c>
      <c r="AF34" s="29" t="str">
        <f>'勤務表（参照用）'!AF34</f>
        <v/>
      </c>
      <c r="AG34" s="29" t="str">
        <f>'勤務表（参照用）'!AG34</f>
        <v/>
      </c>
      <c r="AH34" s="29" t="str">
        <f>'勤務表（参照用）'!AH34</f>
        <v/>
      </c>
      <c r="AJ34" s="30"/>
    </row>
    <row r="35" spans="3:37" x14ac:dyDescent="0.2">
      <c r="C35" s="69" t="str">
        <f>'勤務表（参照用）'!C35</f>
        <v>中村 公亮</v>
      </c>
      <c r="D35" s="29" t="str">
        <f>'勤務表（参照用）'!D35</f>
        <v/>
      </c>
      <c r="E35" s="29" t="str">
        <f>'勤務表（参照用）'!E35</f>
        <v/>
      </c>
      <c r="F35" s="29" t="str">
        <f>'勤務表（参照用）'!F35</f>
        <v/>
      </c>
      <c r="G35" s="29" t="str">
        <f>'勤務表（参照用）'!G35</f>
        <v/>
      </c>
      <c r="H35" s="29" t="str">
        <f>'勤務表（参照用）'!H35</f>
        <v>○</v>
      </c>
      <c r="I35" s="29" t="str">
        <f>'勤務表（参照用）'!I35</f>
        <v>●</v>
      </c>
      <c r="J35" s="29" t="str">
        <f>'勤務表（参照用）'!J35</f>
        <v/>
      </c>
      <c r="K35" s="29" t="str">
        <f>'勤務表（参照用）'!K35</f>
        <v/>
      </c>
      <c r="L35" s="29" t="str">
        <f>'勤務表（参照用）'!L35</f>
        <v/>
      </c>
      <c r="M35" s="29" t="str">
        <f>'勤務表（参照用）'!M35</f>
        <v/>
      </c>
      <c r="N35" s="29" t="str">
        <f>'勤務表（参照用）'!N35</f>
        <v/>
      </c>
      <c r="O35" s="29" t="str">
        <f>'勤務表（参照用）'!O35</f>
        <v>○</v>
      </c>
      <c r="P35" s="29" t="str">
        <f>'勤務表（参照用）'!P35</f>
        <v>●</v>
      </c>
      <c r="Q35" s="29" t="str">
        <f>'勤務表（参照用）'!Q35</f>
        <v/>
      </c>
      <c r="R35" s="29" t="str">
        <f>'勤務表（参照用）'!R35</f>
        <v/>
      </c>
      <c r="S35" s="29" t="str">
        <f>'勤務表（参照用）'!S35</f>
        <v/>
      </c>
      <c r="T35" s="29" t="str">
        <f>'勤務表（参照用）'!T35</f>
        <v/>
      </c>
      <c r="U35" s="29" t="str">
        <f>'勤務表（参照用）'!U35</f>
        <v/>
      </c>
      <c r="V35" s="29" t="str">
        <f>'勤務表（参照用）'!V35</f>
        <v>○</v>
      </c>
      <c r="W35" s="29" t="str">
        <f>'勤務表（参照用）'!W35</f>
        <v>●</v>
      </c>
      <c r="X35" s="29" t="str">
        <f>'勤務表（参照用）'!X35</f>
        <v/>
      </c>
      <c r="Y35" s="29" t="str">
        <f>'勤務表（参照用）'!Y35</f>
        <v/>
      </c>
      <c r="Z35" s="29" t="str">
        <f>'勤務表（参照用）'!Z35</f>
        <v/>
      </c>
      <c r="AA35" s="29" t="str">
        <f>'勤務表（参照用）'!AA35</f>
        <v/>
      </c>
      <c r="AB35" s="29" t="str">
        <f>'勤務表（参照用）'!AB35</f>
        <v/>
      </c>
      <c r="AC35" s="29" t="str">
        <f>'勤務表（参照用）'!AC35</f>
        <v>○</v>
      </c>
      <c r="AD35" s="29" t="str">
        <f>'勤務表（参照用）'!AD35</f>
        <v>●</v>
      </c>
      <c r="AE35" s="29" t="str">
        <f>'勤務表（参照用）'!AE35</f>
        <v/>
      </c>
      <c r="AF35" s="29" t="str">
        <f>'勤務表（参照用）'!AF35</f>
        <v/>
      </c>
      <c r="AG35" s="29" t="str">
        <f>'勤務表（参照用）'!AG35</f>
        <v/>
      </c>
      <c r="AH35" s="29" t="str">
        <f>'勤務表（参照用）'!AH35</f>
        <v/>
      </c>
      <c r="AJ35" s="28"/>
      <c r="AK35" s="30"/>
    </row>
    <row r="36" spans="3:37" x14ac:dyDescent="0.2">
      <c r="C36" s="69" t="str">
        <f>'勤務表（参照用）'!C36</f>
        <v>福知 千佳</v>
      </c>
      <c r="D36" s="29" t="str">
        <f>'勤務表（参照用）'!D36</f>
        <v/>
      </c>
      <c r="E36" s="29" t="str">
        <f>'勤務表（参照用）'!E36</f>
        <v/>
      </c>
      <c r="F36" s="29" t="str">
        <f>'勤務表（参照用）'!F36</f>
        <v/>
      </c>
      <c r="G36" s="29" t="str">
        <f>'勤務表（参照用）'!G36</f>
        <v/>
      </c>
      <c r="H36" s="29" t="str">
        <f>'勤務表（参照用）'!H36</f>
        <v>○</v>
      </c>
      <c r="I36" s="29" t="str">
        <f>'勤務表（参照用）'!I36</f>
        <v>当</v>
      </c>
      <c r="J36" s="29" t="str">
        <f>'勤務表（参照用）'!J36</f>
        <v>明</v>
      </c>
      <c r="K36" s="29" t="str">
        <f>'勤務表（参照用）'!K36</f>
        <v>●</v>
      </c>
      <c r="L36" s="29" t="str">
        <f>'勤務表（参照用）'!L36</f>
        <v/>
      </c>
      <c r="M36" s="29" t="str">
        <f>'勤務表（参照用）'!M36</f>
        <v/>
      </c>
      <c r="N36" s="29" t="str">
        <f>'勤務表（参照用）'!N36</f>
        <v/>
      </c>
      <c r="O36" s="29" t="str">
        <f>'勤務表（参照用）'!O36</f>
        <v>／</v>
      </c>
      <c r="P36" s="29" t="str">
        <f>'勤務表（参照用）'!P36</f>
        <v>●</v>
      </c>
      <c r="Q36" s="29" t="str">
        <f>'勤務表（参照用）'!Q36</f>
        <v/>
      </c>
      <c r="R36" s="29" t="str">
        <f>'勤務表（参照用）'!R36</f>
        <v/>
      </c>
      <c r="S36" s="29" t="str">
        <f>'勤務表（参照用）'!S36</f>
        <v/>
      </c>
      <c r="T36" s="29" t="str">
        <f>'勤務表（参照用）'!T36</f>
        <v/>
      </c>
      <c r="U36" s="29" t="str">
        <f>'勤務表（参照用）'!U36</f>
        <v/>
      </c>
      <c r="V36" s="29" t="str">
        <f>'勤務表（参照用）'!V36</f>
        <v>○</v>
      </c>
      <c r="W36" s="29" t="str">
        <f>'勤務表（参照用）'!W36</f>
        <v>●</v>
      </c>
      <c r="X36" s="29" t="str">
        <f>'勤務表（参照用）'!X36</f>
        <v/>
      </c>
      <c r="Y36" s="29" t="str">
        <f>'勤務表（参照用）'!Y36</f>
        <v/>
      </c>
      <c r="Z36" s="29" t="str">
        <f>'勤務表（参照用）'!Z36</f>
        <v/>
      </c>
      <c r="AA36" s="29" t="str">
        <f>'勤務表（参照用）'!AA36</f>
        <v/>
      </c>
      <c r="AB36" s="29" t="str">
        <f>'勤務表（参照用）'!AB36</f>
        <v>当</v>
      </c>
      <c r="AC36" s="29" t="str">
        <f>'勤務表（参照用）'!AC36</f>
        <v>明</v>
      </c>
      <c r="AD36" s="29" t="str">
        <f>'勤務表（参照用）'!AD36</f>
        <v>●</v>
      </c>
      <c r="AE36" s="29" t="str">
        <f>'勤務表（参照用）'!AE36</f>
        <v/>
      </c>
      <c r="AF36" s="29" t="str">
        <f>'勤務表（参照用）'!AF36</f>
        <v/>
      </c>
      <c r="AG36" s="29" t="str">
        <f>'勤務表（参照用）'!AG36</f>
        <v/>
      </c>
      <c r="AH36" s="29" t="str">
        <f>'勤務表（参照用）'!AH36</f>
        <v/>
      </c>
      <c r="AJ36" s="30"/>
    </row>
    <row r="37" spans="3:37" ht="13.15" customHeight="1" x14ac:dyDescent="0.2">
      <c r="C37" s="69" t="str">
        <f>'勤務表（参照用）'!C37</f>
        <v>袋 隼哉</v>
      </c>
      <c r="D37" s="29" t="str">
        <f>'勤務表（参照用）'!D37</f>
        <v/>
      </c>
      <c r="E37" s="29" t="str">
        <f>'勤務表（参照用）'!E37</f>
        <v/>
      </c>
      <c r="F37" s="29" t="str">
        <f>'勤務表（参照用）'!F37</f>
        <v/>
      </c>
      <c r="G37" s="29" t="str">
        <f>'勤務表（参照用）'!G37</f>
        <v>当</v>
      </c>
      <c r="H37" s="29" t="str">
        <f>'勤務表（参照用）'!H37</f>
        <v>明</v>
      </c>
      <c r="I37" s="29" t="str">
        <f>'勤務表（参照用）'!I37</f>
        <v>●</v>
      </c>
      <c r="J37" s="29" t="str">
        <f>'勤務表（参照用）'!J37</f>
        <v/>
      </c>
      <c r="K37" s="29" t="str">
        <f>'勤務表（参照用）'!K37</f>
        <v/>
      </c>
      <c r="L37" s="29" t="str">
        <f>'勤務表（参照用）'!L37</f>
        <v/>
      </c>
      <c r="M37" s="29" t="str">
        <f>'勤務表（参照用）'!M37</f>
        <v/>
      </c>
      <c r="N37" s="29" t="str">
        <f>'勤務表（参照用）'!N37</f>
        <v/>
      </c>
      <c r="O37" s="29" t="str">
        <f>'勤務表（参照用）'!O37</f>
        <v>○</v>
      </c>
      <c r="P37" s="29" t="str">
        <f>'勤務表（参照用）'!P37</f>
        <v>●</v>
      </c>
      <c r="Q37" s="29" t="str">
        <f>'勤務表（参照用）'!Q37</f>
        <v/>
      </c>
      <c r="R37" s="29" t="str">
        <f>'勤務表（参照用）'!R37</f>
        <v/>
      </c>
      <c r="S37" s="29" t="str">
        <f>'勤務表（参照用）'!S37</f>
        <v/>
      </c>
      <c r="T37" s="29" t="str">
        <f>'勤務表（参照用）'!T37</f>
        <v>当</v>
      </c>
      <c r="U37" s="29" t="str">
        <f>'勤務表（参照用）'!U37</f>
        <v>明</v>
      </c>
      <c r="V37" s="29" t="str">
        <f>'勤務表（参照用）'!V37</f>
        <v>／</v>
      </c>
      <c r="W37" s="29" t="str">
        <f>'勤務表（参照用）'!W37</f>
        <v>●</v>
      </c>
      <c r="X37" s="29" t="str">
        <f>'勤務表（参照用）'!X37</f>
        <v/>
      </c>
      <c r="Y37" s="29" t="str">
        <f>'勤務表（参照用）'!Y37</f>
        <v>当</v>
      </c>
      <c r="Z37" s="29" t="str">
        <f>'勤務表（参照用）'!Z37</f>
        <v>明</v>
      </c>
      <c r="AA37" s="29" t="str">
        <f>'勤務表（参照用）'!AA37</f>
        <v/>
      </c>
      <c r="AB37" s="29" t="str">
        <f>'勤務表（参照用）'!AB37</f>
        <v/>
      </c>
      <c r="AC37" s="29" t="str">
        <f>'勤務表（参照用）'!AC37</f>
        <v>○</v>
      </c>
      <c r="AD37" s="29" t="str">
        <f>'勤務表（参照用）'!AD37</f>
        <v>●</v>
      </c>
      <c r="AE37" s="29" t="str">
        <f>'勤務表（参照用）'!AE37</f>
        <v/>
      </c>
      <c r="AF37" s="29" t="str">
        <f>'勤務表（参照用）'!AF37</f>
        <v/>
      </c>
      <c r="AG37" s="29" t="str">
        <f>'勤務表（参照用）'!AG37</f>
        <v/>
      </c>
      <c r="AH37" s="29" t="str">
        <f>'勤務表（参照用）'!AH37</f>
        <v/>
      </c>
      <c r="AJ37" s="28"/>
      <c r="AK37" s="30"/>
    </row>
    <row r="38" spans="3:37" ht="13.15" customHeight="1" x14ac:dyDescent="0.2">
      <c r="C38" s="69" t="str">
        <f>'勤務表（参照用）'!C38</f>
        <v>雨池 凌也</v>
      </c>
      <c r="D38" s="29" t="str">
        <f>'勤務表（参照用）'!D38</f>
        <v/>
      </c>
      <c r="E38" s="29" t="str">
        <f>'勤務表（参照用）'!E38</f>
        <v/>
      </c>
      <c r="F38" s="29" t="str">
        <f>'勤務表（参照用）'!F38</f>
        <v/>
      </c>
      <c r="G38" s="29" t="str">
        <f>'勤務表（参照用）'!G38</f>
        <v/>
      </c>
      <c r="H38" s="29" t="str">
        <f>'勤務表（参照用）'!H38</f>
        <v>○</v>
      </c>
      <c r="I38" s="29" t="str">
        <f>'勤務表（参照用）'!I38</f>
        <v>●</v>
      </c>
      <c r="J38" s="29" t="str">
        <f>'勤務表（参照用）'!J38</f>
        <v/>
      </c>
      <c r="K38" s="29" t="str">
        <f>'勤務表（参照用）'!K38</f>
        <v>当</v>
      </c>
      <c r="L38" s="29" t="str">
        <f>'勤務表（参照用）'!L38</f>
        <v>明</v>
      </c>
      <c r="M38" s="29" t="str">
        <f>'勤務表（参照用）'!M38</f>
        <v/>
      </c>
      <c r="N38" s="29" t="str">
        <f>'勤務表（参照用）'!N38</f>
        <v/>
      </c>
      <c r="O38" s="29" t="str">
        <f>'勤務表（参照用）'!O38</f>
        <v>／</v>
      </c>
      <c r="P38" s="29" t="str">
        <f>'勤務表（参照用）'!P38</f>
        <v>●</v>
      </c>
      <c r="Q38" s="29" t="str">
        <f>'勤務表（参照用）'!Q38</f>
        <v/>
      </c>
      <c r="R38" s="29" t="str">
        <f>'勤務表（参照用）'!R38</f>
        <v/>
      </c>
      <c r="S38" s="29" t="str">
        <f>'勤務表（参照用）'!S38</f>
        <v/>
      </c>
      <c r="T38" s="29" t="str">
        <f>'勤務表（参照用）'!T38</f>
        <v/>
      </c>
      <c r="U38" s="29" t="str">
        <f>'勤務表（参照用）'!U38</f>
        <v/>
      </c>
      <c r="V38" s="29" t="str">
        <f>'勤務表（参照用）'!V38</f>
        <v>○</v>
      </c>
      <c r="W38" s="29" t="str">
        <f>'勤務表（参照用）'!W38</f>
        <v>当</v>
      </c>
      <c r="X38" s="29" t="str">
        <f>'勤務表（参照用）'!X38</f>
        <v>明</v>
      </c>
      <c r="Y38" s="29" t="str">
        <f>'勤務表（参照用）'!Y38</f>
        <v>●</v>
      </c>
      <c r="Z38" s="29" t="str">
        <f>'勤務表（参照用）'!Z38</f>
        <v/>
      </c>
      <c r="AA38" s="29" t="str">
        <f>'勤務表（参照用）'!AA38</f>
        <v/>
      </c>
      <c r="AB38" s="29" t="str">
        <f>'勤務表（参照用）'!AB38</f>
        <v/>
      </c>
      <c r="AC38" s="29" t="str">
        <f>'勤務表（参照用）'!AC38</f>
        <v>当</v>
      </c>
      <c r="AD38" s="29" t="str">
        <f>'勤務表（参照用）'!AD38</f>
        <v>明</v>
      </c>
      <c r="AE38" s="29" t="str">
        <f>'勤務表（参照用）'!AE38</f>
        <v>●</v>
      </c>
      <c r="AF38" s="29" t="str">
        <f>'勤務表（参照用）'!AF38</f>
        <v/>
      </c>
      <c r="AG38" s="29" t="str">
        <f>'勤務表（参照用）'!AG38</f>
        <v/>
      </c>
      <c r="AH38" s="29" t="str">
        <f>'勤務表（参照用）'!AH38</f>
        <v/>
      </c>
      <c r="AJ38" s="30"/>
    </row>
    <row r="39" spans="3:37" ht="13.15" customHeight="1" x14ac:dyDescent="0.2">
      <c r="C39" s="69" t="str">
        <f>'勤務表（参照用）'!C39</f>
        <v>中川 大誠</v>
      </c>
      <c r="D39" s="29" t="str">
        <f>'勤務表（参照用）'!D39</f>
        <v/>
      </c>
      <c r="E39" s="29" t="str">
        <f>'勤務表（参照用）'!E39</f>
        <v/>
      </c>
      <c r="F39" s="29" t="str">
        <f>'勤務表（参照用）'!F39</f>
        <v/>
      </c>
      <c r="G39" s="29" t="str">
        <f>'勤務表（参照用）'!G39</f>
        <v/>
      </c>
      <c r="H39" s="29" t="str">
        <f>'勤務表（参照用）'!H39</f>
        <v>○</v>
      </c>
      <c r="I39" s="29" t="str">
        <f>'勤務表（参照用）'!I39</f>
        <v>●</v>
      </c>
      <c r="J39" s="29" t="str">
        <f>'勤務表（参照用）'!J39</f>
        <v/>
      </c>
      <c r="K39" s="29" t="str">
        <f>'勤務表（参照用）'!K39</f>
        <v/>
      </c>
      <c r="L39" s="29" t="str">
        <f>'勤務表（参照用）'!L39</f>
        <v/>
      </c>
      <c r="M39" s="29" t="str">
        <f>'勤務表（参照用）'!M39</f>
        <v/>
      </c>
      <c r="N39" s="29" t="str">
        <f>'勤務表（参照用）'!N39</f>
        <v/>
      </c>
      <c r="O39" s="29" t="str">
        <f>'勤務表（参照用）'!O39</f>
        <v>○</v>
      </c>
      <c r="P39" s="29" t="str">
        <f>'勤務表（参照用）'!P39</f>
        <v>●</v>
      </c>
      <c r="Q39" s="29" t="str">
        <f>'勤務表（参照用）'!Q39</f>
        <v/>
      </c>
      <c r="R39" s="29" t="str">
        <f>'勤務表（参照用）'!R39</f>
        <v/>
      </c>
      <c r="S39" s="29" t="str">
        <f>'勤務表（参照用）'!S39</f>
        <v/>
      </c>
      <c r="T39" s="29" t="str">
        <f>'勤務表（参照用）'!T39</f>
        <v/>
      </c>
      <c r="U39" s="29" t="str">
        <f>'勤務表（参照用）'!U39</f>
        <v/>
      </c>
      <c r="V39" s="29" t="str">
        <f>'勤務表（参照用）'!V39</f>
        <v>○</v>
      </c>
      <c r="W39" s="29" t="str">
        <f>'勤務表（参照用）'!W39</f>
        <v>●</v>
      </c>
      <c r="X39" s="29" t="str">
        <f>'勤務表（参照用）'!X39</f>
        <v/>
      </c>
      <c r="Y39" s="29" t="str">
        <f>'勤務表（参照用）'!Y39</f>
        <v/>
      </c>
      <c r="Z39" s="29" t="str">
        <f>'勤務表（参照用）'!Z39</f>
        <v/>
      </c>
      <c r="AA39" s="29" t="str">
        <f>'勤務表（参照用）'!AA39</f>
        <v/>
      </c>
      <c r="AB39" s="29" t="str">
        <f>'勤務表（参照用）'!AB39</f>
        <v/>
      </c>
      <c r="AC39" s="29" t="str">
        <f>'勤務表（参照用）'!AC39</f>
        <v>○</v>
      </c>
      <c r="AD39" s="29" t="str">
        <f>'勤務表（参照用）'!AD39</f>
        <v>●</v>
      </c>
      <c r="AE39" s="29" t="str">
        <f>'勤務表（参照用）'!AE39</f>
        <v/>
      </c>
      <c r="AF39" s="29" t="str">
        <f>'勤務表（参照用）'!AF39</f>
        <v/>
      </c>
      <c r="AG39" s="29" t="str">
        <f>'勤務表（参照用）'!AG39</f>
        <v/>
      </c>
      <c r="AH39" s="29" t="str">
        <f>'勤務表（参照用）'!AH39</f>
        <v/>
      </c>
      <c r="AJ39" s="28"/>
      <c r="AK39" s="30"/>
    </row>
    <row r="40" spans="3:37" ht="13.15" customHeight="1" x14ac:dyDescent="0.2">
      <c r="C40" s="69" t="str">
        <f>'勤務表（参照用）'!C40</f>
        <v>清水 正生</v>
      </c>
      <c r="D40" s="29" t="str">
        <f>'勤務表（参照用）'!D40</f>
        <v/>
      </c>
      <c r="E40" s="29" t="str">
        <f>'勤務表（参照用）'!E40</f>
        <v/>
      </c>
      <c r="F40" s="29" t="str">
        <f>'勤務表（参照用）'!F40</f>
        <v/>
      </c>
      <c r="G40" s="29" t="str">
        <f>'勤務表（参照用）'!G40</f>
        <v>当</v>
      </c>
      <c r="H40" s="29" t="str">
        <f>'勤務表（参照用）'!H40</f>
        <v>明</v>
      </c>
      <c r="I40" s="29" t="str">
        <f>'勤務表（参照用）'!I40</f>
        <v>●</v>
      </c>
      <c r="J40" s="29" t="str">
        <f>'勤務表（参照用）'!J40</f>
        <v/>
      </c>
      <c r="K40" s="29" t="str">
        <f>'勤務表（参照用）'!K40</f>
        <v/>
      </c>
      <c r="L40" s="29" t="str">
        <f>'勤務表（参照用）'!L40</f>
        <v/>
      </c>
      <c r="M40" s="29" t="str">
        <f>'勤務表（参照用）'!M40</f>
        <v/>
      </c>
      <c r="N40" s="29" t="str">
        <f>'勤務表（参照用）'!N40</f>
        <v/>
      </c>
      <c r="O40" s="29" t="str">
        <f>'勤務表（参照用）'!O40</f>
        <v>○</v>
      </c>
      <c r="P40" s="29" t="str">
        <f>'勤務表（参照用）'!P40</f>
        <v>●</v>
      </c>
      <c r="Q40" s="29" t="str">
        <f>'勤務表（参照用）'!Q40</f>
        <v/>
      </c>
      <c r="R40" s="29" t="str">
        <f>'勤務表（参照用）'!R40</f>
        <v/>
      </c>
      <c r="S40" s="29" t="str">
        <f>'勤務表（参照用）'!S40</f>
        <v/>
      </c>
      <c r="T40" s="29" t="str">
        <f>'勤務表（参照用）'!T40</f>
        <v/>
      </c>
      <c r="U40" s="29" t="str">
        <f>'勤務表（参照用）'!U40</f>
        <v/>
      </c>
      <c r="V40" s="29" t="str">
        <f>'勤務表（参照用）'!V40</f>
        <v>／</v>
      </c>
      <c r="W40" s="29" t="str">
        <f>'勤務表（参照用）'!W40</f>
        <v>●</v>
      </c>
      <c r="X40" s="29" t="str">
        <f>'勤務表（参照用）'!X40</f>
        <v/>
      </c>
      <c r="Y40" s="29" t="str">
        <f>'勤務表（参照用）'!Y40</f>
        <v/>
      </c>
      <c r="Z40" s="29" t="str">
        <f>'勤務表（参照用）'!Z40</f>
        <v/>
      </c>
      <c r="AA40" s="29" t="str">
        <f>'勤務表（参照用）'!AA40</f>
        <v>当</v>
      </c>
      <c r="AB40" s="29" t="str">
        <f>'勤務表（参照用）'!AB40</f>
        <v>明</v>
      </c>
      <c r="AC40" s="29" t="str">
        <f>'勤務表（参照用）'!AC40</f>
        <v>○</v>
      </c>
      <c r="AD40" s="29" t="str">
        <f>'勤務表（参照用）'!AD40</f>
        <v>●</v>
      </c>
      <c r="AE40" s="29" t="str">
        <f>'勤務表（参照用）'!AE40</f>
        <v/>
      </c>
      <c r="AF40" s="29" t="str">
        <f>'勤務表（参照用）'!AF40</f>
        <v/>
      </c>
      <c r="AG40" s="29" t="str">
        <f>'勤務表（参照用）'!AG40</f>
        <v/>
      </c>
      <c r="AH40" s="29" t="str">
        <f>'勤務表（参照用）'!AH40</f>
        <v/>
      </c>
    </row>
    <row r="41" spans="3:37" ht="13.15" customHeight="1" x14ac:dyDescent="0.2">
      <c r="C41" s="69" t="str">
        <f>'勤務表（参照用）'!C41</f>
        <v>菅野 祐萌</v>
      </c>
      <c r="D41" s="29" t="str">
        <f>'勤務表（参照用）'!D41</f>
        <v/>
      </c>
      <c r="E41" s="29" t="str">
        <f>'勤務表（参照用）'!E41</f>
        <v/>
      </c>
      <c r="F41" s="29" t="str">
        <f>'勤務表（参照用）'!F41</f>
        <v/>
      </c>
      <c r="G41" s="29" t="str">
        <f>'勤務表（参照用）'!G41</f>
        <v/>
      </c>
      <c r="H41" s="29" t="str">
        <f>'勤務表（参照用）'!H41</f>
        <v>○</v>
      </c>
      <c r="I41" s="29" t="str">
        <f>'勤務表（参照用）'!I41</f>
        <v/>
      </c>
      <c r="J41" s="29" t="str">
        <f>'勤務表（参照用）'!J41</f>
        <v/>
      </c>
      <c r="K41" s="29" t="str">
        <f>'勤務表（参照用）'!K41</f>
        <v/>
      </c>
      <c r="L41" s="29" t="str">
        <f>'勤務表（参照用）'!L41</f>
        <v/>
      </c>
      <c r="M41" s="29" t="str">
        <f>'勤務表（参照用）'!M41</f>
        <v/>
      </c>
      <c r="N41" s="29" t="str">
        <f>'勤務表（参照用）'!N41</f>
        <v/>
      </c>
      <c r="O41" s="29" t="str">
        <f>'勤務表（参照用）'!O41</f>
        <v>当</v>
      </c>
      <c r="P41" s="29" t="str">
        <f>'勤務表（参照用）'!P41</f>
        <v>明</v>
      </c>
      <c r="Q41" s="29" t="str">
        <f>'勤務表（参照用）'!Q41</f>
        <v>●</v>
      </c>
      <c r="R41" s="29" t="str">
        <f>'勤務表（参照用）'!R41</f>
        <v/>
      </c>
      <c r="S41" s="29" t="str">
        <f>'勤務表（参照用）'!S41</f>
        <v/>
      </c>
      <c r="T41" s="29" t="str">
        <f>'勤務表（参照用）'!T41</f>
        <v>当</v>
      </c>
      <c r="U41" s="29" t="str">
        <f>'勤務表（参照用）'!U41</f>
        <v>明</v>
      </c>
      <c r="V41" s="29" t="str">
        <f>'勤務表（参照用）'!V41</f>
        <v>○</v>
      </c>
      <c r="W41" s="29" t="str">
        <f>'勤務表（参照用）'!W41</f>
        <v>●</v>
      </c>
      <c r="X41" s="29" t="str">
        <f>'勤務表（参照用）'!X41</f>
        <v/>
      </c>
      <c r="Y41" s="29" t="str">
        <f>'勤務表（参照用）'!Y41</f>
        <v/>
      </c>
      <c r="Z41" s="29" t="str">
        <f>'勤務表（参照用）'!Z41</f>
        <v/>
      </c>
      <c r="AA41" s="29" t="str">
        <f>'勤務表（参照用）'!AA41</f>
        <v/>
      </c>
      <c r="AB41" s="29" t="str">
        <f>'勤務表（参照用）'!AB41</f>
        <v/>
      </c>
      <c r="AC41" s="29" t="str">
        <f>'勤務表（参照用）'!AC41</f>
        <v>／</v>
      </c>
      <c r="AD41" s="29" t="str">
        <f>'勤務表（参照用）'!AD41</f>
        <v>●</v>
      </c>
      <c r="AE41" s="29" t="str">
        <f>'勤務表（参照用）'!AE41</f>
        <v/>
      </c>
      <c r="AF41" s="29" t="str">
        <f>'勤務表（参照用）'!AF41</f>
        <v/>
      </c>
      <c r="AG41" s="29" t="str">
        <f>'勤務表（参照用）'!AG41</f>
        <v/>
      </c>
      <c r="AH41" s="29" t="str">
        <f>'勤務表（参照用）'!AH41</f>
        <v/>
      </c>
    </row>
    <row r="42" spans="3:37" ht="13.15" customHeight="1" x14ac:dyDescent="0.2">
      <c r="C42" s="69" t="str">
        <f>'勤務表（参照用）'!C42</f>
        <v>別所 貴仁</v>
      </c>
      <c r="D42" s="29" t="str">
        <f>'勤務表（参照用）'!D42</f>
        <v/>
      </c>
      <c r="E42" s="29" t="str">
        <f>'勤務表（参照用）'!E42</f>
        <v/>
      </c>
      <c r="F42" s="29" t="str">
        <f>'勤務表（参照用）'!F42</f>
        <v>当</v>
      </c>
      <c r="G42" s="29" t="str">
        <f>'勤務表（参照用）'!G42</f>
        <v>明</v>
      </c>
      <c r="H42" s="29" t="str">
        <f>'勤務表（参照用）'!H42</f>
        <v>／</v>
      </c>
      <c r="I42" s="29" t="str">
        <f>'勤務表（参照用）'!I42</f>
        <v>●</v>
      </c>
      <c r="J42" s="29" t="str">
        <f>'勤務表（参照用）'!J42</f>
        <v/>
      </c>
      <c r="K42" s="29" t="str">
        <f>'勤務表（参照用）'!K42</f>
        <v/>
      </c>
      <c r="L42" s="29" t="str">
        <f>'勤務表（参照用）'!L42</f>
        <v/>
      </c>
      <c r="M42" s="29" t="str">
        <f>'勤務表（参照用）'!M42</f>
        <v/>
      </c>
      <c r="N42" s="29" t="str">
        <f>'勤務表（参照用）'!N42</f>
        <v/>
      </c>
      <c r="O42" s="29" t="str">
        <f>'勤務表（参照用）'!O42</f>
        <v>○</v>
      </c>
      <c r="P42" s="29" t="str">
        <f>'勤務表（参照用）'!P42</f>
        <v>当</v>
      </c>
      <c r="Q42" s="29" t="str">
        <f>'勤務表（参照用）'!Q42</f>
        <v>明</v>
      </c>
      <c r="R42" s="29" t="str">
        <f>'勤務表（参照用）'!R42</f>
        <v>●</v>
      </c>
      <c r="S42" s="29" t="str">
        <f>'勤務表（参照用）'!S42</f>
        <v/>
      </c>
      <c r="T42" s="29" t="str">
        <f>'勤務表（参照用）'!T42</f>
        <v/>
      </c>
      <c r="U42" s="29" t="str">
        <f>'勤務表（参照用）'!U42</f>
        <v/>
      </c>
      <c r="V42" s="29" t="str">
        <f>'勤務表（参照用）'!V42</f>
        <v>当</v>
      </c>
      <c r="W42" s="29" t="str">
        <f>'勤務表（参照用）'!W42</f>
        <v>明</v>
      </c>
      <c r="X42" s="29" t="str">
        <f>'勤務表（参照用）'!X42</f>
        <v>●</v>
      </c>
      <c r="Y42" s="29" t="str">
        <f>'勤務表（参照用）'!Y42</f>
        <v/>
      </c>
      <c r="Z42" s="29" t="str">
        <f>'勤務表（参照用）'!Z42</f>
        <v/>
      </c>
      <c r="AA42" s="29" t="str">
        <f>'勤務表（参照用）'!AA42</f>
        <v/>
      </c>
      <c r="AB42" s="29" t="str">
        <f>'勤務表（参照用）'!AB42</f>
        <v/>
      </c>
      <c r="AC42" s="29" t="str">
        <f>'勤務表（参照用）'!AC42</f>
        <v>○</v>
      </c>
      <c r="AD42" s="29" t="str">
        <f>'勤務表（参照用）'!AD42</f>
        <v>●</v>
      </c>
      <c r="AE42" s="29" t="str">
        <f>'勤務表（参照用）'!AE42</f>
        <v>当</v>
      </c>
      <c r="AF42" s="29" t="str">
        <f>'勤務表（参照用）'!AF42</f>
        <v>明</v>
      </c>
      <c r="AG42" s="29" t="str">
        <f>'勤務表（参照用）'!AG42</f>
        <v/>
      </c>
      <c r="AH42" s="29" t="str">
        <f>'勤務表（参照用）'!AH42</f>
        <v/>
      </c>
    </row>
    <row r="43" spans="3:37" ht="13.15" customHeight="1" x14ac:dyDescent="0.2">
      <c r="C43" s="69" t="str">
        <f>'勤務表（参照用）'!C43</f>
        <v>坂下 大知</v>
      </c>
      <c r="D43" s="29" t="str">
        <f>'勤務表（参照用）'!D43</f>
        <v/>
      </c>
      <c r="E43" s="29" t="str">
        <f>'勤務表（参照用）'!E43</f>
        <v/>
      </c>
      <c r="F43" s="29" t="str">
        <f>'勤務表（参照用）'!F43</f>
        <v/>
      </c>
      <c r="G43" s="29" t="str">
        <f>'勤務表（参照用）'!G43</f>
        <v/>
      </c>
      <c r="H43" s="29" t="str">
        <f>'勤務表（参照用）'!H43</f>
        <v>／</v>
      </c>
      <c r="I43" s="29" t="str">
        <f>'勤務表（参照用）'!I43</f>
        <v>●</v>
      </c>
      <c r="J43" s="29" t="str">
        <f>'勤務表（参照用）'!J43</f>
        <v>当</v>
      </c>
      <c r="K43" s="29" t="str">
        <f>'勤務表（参照用）'!K43</f>
        <v>明</v>
      </c>
      <c r="L43" s="29" t="str">
        <f>'勤務表（参照用）'!L43</f>
        <v/>
      </c>
      <c r="M43" s="29" t="str">
        <f>'勤務表（参照用）'!M43</f>
        <v/>
      </c>
      <c r="N43" s="29">
        <f>'勤務表（参照用）'!N43</f>
        <v>0</v>
      </c>
      <c r="O43" s="29" t="str">
        <f>'勤務表（参照用）'!O43</f>
        <v>○</v>
      </c>
      <c r="P43" s="29" t="str">
        <f>'勤務表（参照用）'!P43</f>
        <v>●</v>
      </c>
      <c r="Q43" s="29" t="str">
        <f>'勤務表（参照用）'!Q43</f>
        <v/>
      </c>
      <c r="R43" s="29" t="str">
        <f>'勤務表（参照用）'!R43</f>
        <v/>
      </c>
      <c r="S43" s="29" t="str">
        <f>'勤務表（参照用）'!S43</f>
        <v/>
      </c>
      <c r="T43" s="29" t="str">
        <f>'勤務表（参照用）'!T43</f>
        <v/>
      </c>
      <c r="U43" s="29" t="str">
        <f>'勤務表（参照用）'!U43</f>
        <v>当</v>
      </c>
      <c r="V43" s="29" t="str">
        <f>'勤務表（参照用）'!V43</f>
        <v>明</v>
      </c>
      <c r="W43" s="29" t="str">
        <f>'勤務表（参照用）'!W43</f>
        <v>●</v>
      </c>
      <c r="X43" s="29" t="str">
        <f>'勤務表（参照用）'!X43</f>
        <v/>
      </c>
      <c r="Y43" s="29" t="str">
        <f>'勤務表（参照用）'!Y43</f>
        <v/>
      </c>
      <c r="Z43" s="29" t="str">
        <f>'勤務表（参照用）'!Z43</f>
        <v/>
      </c>
      <c r="AA43" s="29" t="str">
        <f>'勤務表（参照用）'!AA43</f>
        <v/>
      </c>
      <c r="AB43" s="29" t="str">
        <f>'勤務表（参照用）'!AB43</f>
        <v/>
      </c>
      <c r="AC43" s="29" t="str">
        <f>'勤務表（参照用）'!AC43</f>
        <v>○</v>
      </c>
      <c r="AD43" s="29" t="str">
        <f>'勤務表（参照用）'!AD43</f>
        <v>●</v>
      </c>
      <c r="AE43" s="29" t="str">
        <f>'勤務表（参照用）'!AE43</f>
        <v/>
      </c>
      <c r="AF43" s="29" t="str">
        <f>'勤務表（参照用）'!AF43</f>
        <v/>
      </c>
      <c r="AG43" s="29" t="str">
        <f>'勤務表（参照用）'!AG43</f>
        <v/>
      </c>
      <c r="AH43" s="29" t="str">
        <f>'勤務表（参照用）'!AH43</f>
        <v/>
      </c>
    </row>
    <row r="44" spans="3:37" ht="13.15" customHeight="1" x14ac:dyDescent="0.2">
      <c r="C44" s="69">
        <f>'勤務表（参照用）'!C44</f>
        <v>0</v>
      </c>
      <c r="D44" s="29" t="str">
        <f>'勤務表（参照用）'!D44</f>
        <v/>
      </c>
      <c r="E44" s="29" t="str">
        <f>'勤務表（参照用）'!E44</f>
        <v/>
      </c>
      <c r="F44" s="29" t="str">
        <f>'勤務表（参照用）'!F44</f>
        <v/>
      </c>
      <c r="G44" s="29" t="str">
        <f>'勤務表（参照用）'!G44</f>
        <v/>
      </c>
      <c r="H44" s="29" t="str">
        <f>'勤務表（参照用）'!H44</f>
        <v/>
      </c>
      <c r="I44" s="29" t="str">
        <f>'勤務表（参照用）'!I44</f>
        <v/>
      </c>
      <c r="J44" s="29" t="str">
        <f>'勤務表（参照用）'!J44</f>
        <v/>
      </c>
      <c r="K44" s="29" t="str">
        <f>'勤務表（参照用）'!K44</f>
        <v/>
      </c>
      <c r="L44" s="29" t="str">
        <f>'勤務表（参照用）'!L44</f>
        <v/>
      </c>
      <c r="M44" s="29" t="str">
        <f>'勤務表（参照用）'!M44</f>
        <v/>
      </c>
      <c r="N44" s="29">
        <f>'勤務表（参照用）'!N44</f>
        <v>0</v>
      </c>
      <c r="O44" s="29" t="str">
        <f>'勤務表（参照用）'!O44</f>
        <v/>
      </c>
      <c r="P44" s="29" t="str">
        <f>'勤務表（参照用）'!P44</f>
        <v/>
      </c>
      <c r="Q44" s="29" t="str">
        <f>'勤務表（参照用）'!Q44</f>
        <v/>
      </c>
      <c r="R44" s="29" t="str">
        <f>'勤務表（参照用）'!R44</f>
        <v/>
      </c>
      <c r="S44" s="29" t="str">
        <f>'勤務表（参照用）'!S44</f>
        <v/>
      </c>
      <c r="T44" s="29" t="str">
        <f>'勤務表（参照用）'!T44</f>
        <v/>
      </c>
      <c r="U44" s="29" t="str">
        <f>'勤務表（参照用）'!U44</f>
        <v/>
      </c>
      <c r="V44" s="29" t="str">
        <f>'勤務表（参照用）'!V44</f>
        <v/>
      </c>
      <c r="W44" s="29" t="str">
        <f>'勤務表（参照用）'!W44</f>
        <v/>
      </c>
      <c r="X44" s="29" t="str">
        <f>'勤務表（参照用）'!X44</f>
        <v/>
      </c>
      <c r="Y44" s="29" t="str">
        <f>'勤務表（参照用）'!Y44</f>
        <v/>
      </c>
      <c r="Z44" s="29" t="str">
        <f>'勤務表（参照用）'!Z44</f>
        <v/>
      </c>
      <c r="AA44" s="29" t="str">
        <f>'勤務表（参照用）'!AA44</f>
        <v/>
      </c>
      <c r="AB44" s="29" t="str">
        <f>'勤務表（参照用）'!AB44</f>
        <v/>
      </c>
      <c r="AC44" s="29" t="str">
        <f>'勤務表（参照用）'!AC44</f>
        <v/>
      </c>
      <c r="AD44" s="29" t="str">
        <f>'勤務表（参照用）'!AD44</f>
        <v/>
      </c>
      <c r="AE44" s="29" t="str">
        <f>'勤務表（参照用）'!AE44</f>
        <v/>
      </c>
      <c r="AF44" s="29" t="str">
        <f>'勤務表（参照用）'!AF44</f>
        <v/>
      </c>
      <c r="AG44" s="29" t="str">
        <f>'勤務表（参照用）'!AG44</f>
        <v/>
      </c>
      <c r="AH44" s="29" t="str">
        <f>'勤務表（参照用）'!AH44</f>
        <v/>
      </c>
    </row>
    <row r="45" spans="3:37" ht="13.15" customHeight="1" x14ac:dyDescent="0.2">
      <c r="C45" s="69">
        <f>'勤務表（参照用）'!C45</f>
        <v>0</v>
      </c>
      <c r="D45" s="29" t="str">
        <f>'勤務表（参照用）'!D45</f>
        <v/>
      </c>
      <c r="E45" s="29" t="str">
        <f>'勤務表（参照用）'!E45</f>
        <v/>
      </c>
      <c r="F45" s="29" t="str">
        <f>'勤務表（参照用）'!F45</f>
        <v/>
      </c>
      <c r="G45" s="29" t="str">
        <f>'勤務表（参照用）'!G45</f>
        <v/>
      </c>
      <c r="H45" s="29" t="str">
        <f>'勤務表（参照用）'!H45</f>
        <v/>
      </c>
      <c r="I45" s="29" t="str">
        <f>'勤務表（参照用）'!I45</f>
        <v/>
      </c>
      <c r="J45" s="29" t="str">
        <f>'勤務表（参照用）'!J45</f>
        <v/>
      </c>
      <c r="K45" s="29" t="str">
        <f>'勤務表（参照用）'!K45</f>
        <v/>
      </c>
      <c r="L45" s="29" t="str">
        <f>'勤務表（参照用）'!L45</f>
        <v/>
      </c>
      <c r="M45" s="29" t="str">
        <f>'勤務表（参照用）'!M45</f>
        <v/>
      </c>
      <c r="N45" s="29">
        <f>'勤務表（参照用）'!N45</f>
        <v>0</v>
      </c>
      <c r="O45" s="29" t="str">
        <f>'勤務表（参照用）'!O45</f>
        <v/>
      </c>
      <c r="P45" s="29" t="str">
        <f>'勤務表（参照用）'!P45</f>
        <v/>
      </c>
      <c r="Q45" s="29" t="str">
        <f>'勤務表（参照用）'!Q45</f>
        <v/>
      </c>
      <c r="R45" s="29" t="str">
        <f>'勤務表（参照用）'!R45</f>
        <v/>
      </c>
      <c r="S45" s="29" t="str">
        <f>'勤務表（参照用）'!S45</f>
        <v/>
      </c>
      <c r="T45" s="29" t="str">
        <f>'勤務表（参照用）'!T45</f>
        <v/>
      </c>
      <c r="U45" s="29" t="str">
        <f>'勤務表（参照用）'!U45</f>
        <v/>
      </c>
      <c r="V45" s="29" t="str">
        <f>'勤務表（参照用）'!V45</f>
        <v/>
      </c>
      <c r="W45" s="29" t="str">
        <f>'勤務表（参照用）'!W45</f>
        <v/>
      </c>
      <c r="X45" s="29" t="str">
        <f>'勤務表（参照用）'!X45</f>
        <v/>
      </c>
      <c r="Y45" s="29" t="str">
        <f>'勤務表（参照用）'!Y45</f>
        <v/>
      </c>
      <c r="Z45" s="29" t="str">
        <f>'勤務表（参照用）'!Z45</f>
        <v/>
      </c>
      <c r="AA45" s="29" t="str">
        <f>'勤務表（参照用）'!AA45</f>
        <v/>
      </c>
      <c r="AB45" s="29" t="str">
        <f>'勤務表（参照用）'!AB45</f>
        <v/>
      </c>
      <c r="AC45" s="29" t="str">
        <f>'勤務表（参照用）'!AC45</f>
        <v/>
      </c>
      <c r="AD45" s="29" t="str">
        <f>'勤務表（参照用）'!AD45</f>
        <v/>
      </c>
      <c r="AE45" s="29" t="str">
        <f>'勤務表（参照用）'!AE45</f>
        <v/>
      </c>
      <c r="AF45" s="29" t="str">
        <f>'勤務表（参照用）'!AF45</f>
        <v/>
      </c>
      <c r="AG45" s="29" t="str">
        <f>'勤務表（参照用）'!AG45</f>
        <v/>
      </c>
      <c r="AH45" s="29" t="str">
        <f>'勤務表（参照用）'!AH45</f>
        <v/>
      </c>
    </row>
    <row r="46" spans="3:37" ht="13.15" customHeight="1" x14ac:dyDescent="0.2">
      <c r="C46" s="70">
        <f>'勤務表（参照用）'!C46</f>
        <v>0</v>
      </c>
      <c r="D46" s="65" t="str">
        <f>'勤務表（参照用）'!D46</f>
        <v/>
      </c>
      <c r="E46" s="66" t="str">
        <f>'勤務表（参照用）'!E46</f>
        <v/>
      </c>
      <c r="F46" s="66" t="str">
        <f>'勤務表（参照用）'!F46</f>
        <v/>
      </c>
      <c r="G46" s="66" t="str">
        <f>'勤務表（参照用）'!G46</f>
        <v/>
      </c>
      <c r="H46" s="66" t="str">
        <f>'勤務表（参照用）'!H46</f>
        <v/>
      </c>
      <c r="I46" s="66" t="str">
        <f>'勤務表（参照用）'!I46</f>
        <v/>
      </c>
      <c r="J46" s="66" t="str">
        <f>'勤務表（参照用）'!J46</f>
        <v/>
      </c>
      <c r="K46" s="66" t="str">
        <f>'勤務表（参照用）'!K46</f>
        <v/>
      </c>
      <c r="L46" s="66" t="str">
        <f>'勤務表（参照用）'!L46</f>
        <v/>
      </c>
      <c r="M46" s="66" t="str">
        <f>'勤務表（参照用）'!M46</f>
        <v/>
      </c>
      <c r="N46" s="66">
        <f>'勤務表（参照用）'!N46</f>
        <v>0</v>
      </c>
      <c r="O46" s="66" t="str">
        <f>'勤務表（参照用）'!O46</f>
        <v/>
      </c>
      <c r="P46" s="66" t="str">
        <f>'勤務表（参照用）'!P46</f>
        <v/>
      </c>
      <c r="Q46" s="66" t="str">
        <f>'勤務表（参照用）'!Q46</f>
        <v/>
      </c>
      <c r="R46" s="66" t="str">
        <f>'勤務表（参照用）'!R46</f>
        <v/>
      </c>
      <c r="S46" s="66" t="str">
        <f>'勤務表（参照用）'!S46</f>
        <v/>
      </c>
      <c r="T46" s="66" t="str">
        <f>'勤務表（参照用）'!T46</f>
        <v/>
      </c>
      <c r="U46" s="66" t="str">
        <f>'勤務表（参照用）'!U46</f>
        <v/>
      </c>
      <c r="V46" s="66" t="str">
        <f>'勤務表（参照用）'!V46</f>
        <v/>
      </c>
      <c r="W46" s="66" t="str">
        <f>'勤務表（参照用）'!W46</f>
        <v/>
      </c>
      <c r="X46" s="66" t="str">
        <f>'勤務表（参照用）'!X46</f>
        <v/>
      </c>
      <c r="Y46" s="66" t="str">
        <f>'勤務表（参照用）'!Y46</f>
        <v/>
      </c>
      <c r="Z46" s="66" t="str">
        <f>'勤務表（参照用）'!Z46</f>
        <v/>
      </c>
      <c r="AA46" s="66" t="str">
        <f>'勤務表（参照用）'!AA46</f>
        <v/>
      </c>
      <c r="AB46" s="66" t="str">
        <f>'勤務表（参照用）'!AB46</f>
        <v/>
      </c>
      <c r="AC46" s="66" t="str">
        <f>'勤務表（参照用）'!AC46</f>
        <v/>
      </c>
      <c r="AD46" s="66" t="str">
        <f>'勤務表（参照用）'!AD46</f>
        <v/>
      </c>
      <c r="AE46" s="66" t="str">
        <f>'勤務表（参照用）'!AE46</f>
        <v/>
      </c>
      <c r="AF46" s="66" t="str">
        <f>'勤務表（参照用）'!AF46</f>
        <v/>
      </c>
      <c r="AG46" s="66" t="str">
        <f>'勤務表（参照用）'!AG46</f>
        <v/>
      </c>
      <c r="AH46" s="67" t="str">
        <f>'勤務表（参照用）'!AH46</f>
        <v/>
      </c>
    </row>
    <row r="47" spans="3:37" ht="13.15" hidden="1" customHeight="1" x14ac:dyDescent="0.2">
      <c r="C47" s="10" t="str">
        <f>'勤務表（参照用）'!C47</f>
        <v/>
      </c>
      <c r="D47" s="20" t="str">
        <f>'勤務表（参照用）'!D47</f>
        <v/>
      </c>
      <c r="E47" s="11" t="str">
        <f>'勤務表（参照用）'!E47</f>
        <v/>
      </c>
      <c r="F47" s="11" t="str">
        <f>'勤務表（参照用）'!F47</f>
        <v/>
      </c>
      <c r="G47" s="11" t="str">
        <f>'勤務表（参照用）'!G47</f>
        <v/>
      </c>
      <c r="H47" s="11" t="str">
        <f>'勤務表（参照用）'!H47</f>
        <v/>
      </c>
      <c r="I47" s="11" t="str">
        <f>'勤務表（参照用）'!I47</f>
        <v/>
      </c>
      <c r="J47" s="11" t="str">
        <f>'勤務表（参照用）'!J47</f>
        <v/>
      </c>
      <c r="K47" s="11" t="str">
        <f>'勤務表（参照用）'!K47</f>
        <v/>
      </c>
      <c r="L47" s="11" t="str">
        <f>'勤務表（参照用）'!L47</f>
        <v/>
      </c>
      <c r="M47" s="11" t="str">
        <f>'勤務表（参照用）'!M47</f>
        <v/>
      </c>
      <c r="N47" s="11" t="str">
        <f>'勤務表（参照用）'!N47</f>
        <v/>
      </c>
      <c r="O47" s="11" t="str">
        <f>'勤務表（参照用）'!O47</f>
        <v/>
      </c>
      <c r="P47" s="11" t="str">
        <f>'勤務表（参照用）'!P47</f>
        <v/>
      </c>
      <c r="Q47" s="11" t="str">
        <f>'勤務表（参照用）'!Q47</f>
        <v/>
      </c>
      <c r="R47" s="11" t="str">
        <f>'勤務表（参照用）'!R47</f>
        <v/>
      </c>
      <c r="S47" s="11" t="str">
        <f>'勤務表（参照用）'!S47</f>
        <v/>
      </c>
      <c r="T47" s="11" t="str">
        <f>'勤務表（参照用）'!T47</f>
        <v/>
      </c>
      <c r="U47" s="11" t="str">
        <f>'勤務表（参照用）'!U47</f>
        <v/>
      </c>
      <c r="V47" s="11" t="str">
        <f>'勤務表（参照用）'!V47</f>
        <v/>
      </c>
      <c r="W47" s="11" t="str">
        <f>'勤務表（参照用）'!W47</f>
        <v/>
      </c>
      <c r="X47" s="11" t="str">
        <f>'勤務表（参照用）'!X47</f>
        <v/>
      </c>
      <c r="Y47" s="11" t="str">
        <f>'勤務表（参照用）'!Y47</f>
        <v/>
      </c>
      <c r="Z47" s="11" t="str">
        <f>'勤務表（参照用）'!Z47</f>
        <v/>
      </c>
      <c r="AA47" s="11" t="str">
        <f>'勤務表（参照用）'!AA47</f>
        <v/>
      </c>
      <c r="AB47" s="11" t="str">
        <f>'勤務表（参照用）'!AB47</f>
        <v/>
      </c>
      <c r="AC47" s="11" t="str">
        <f>'勤務表（参照用）'!AC47</f>
        <v/>
      </c>
      <c r="AD47" s="11" t="str">
        <f>'勤務表（参照用）'!AD47</f>
        <v/>
      </c>
      <c r="AE47" s="11" t="str">
        <f>'勤務表（参照用）'!AE47</f>
        <v/>
      </c>
      <c r="AF47" s="11" t="str">
        <f>'勤務表（参照用）'!AF47</f>
        <v/>
      </c>
      <c r="AG47" s="11" t="str">
        <f>'勤務表（参照用）'!AG47</f>
        <v/>
      </c>
      <c r="AH47" s="10" t="str">
        <f>'勤務表（参照用）'!AH47</f>
        <v/>
      </c>
    </row>
    <row r="48" spans="3:37" ht="13.15" hidden="1" customHeight="1" x14ac:dyDescent="0.2">
      <c r="C48" s="14" t="str">
        <f>'勤務表（参照用）'!C48</f>
        <v/>
      </c>
      <c r="D48" s="22" t="str">
        <f>'勤務表（参照用）'!D48</f>
        <v/>
      </c>
      <c r="E48" s="15" t="str">
        <f>'勤務表（参照用）'!E48</f>
        <v/>
      </c>
      <c r="F48" s="15" t="str">
        <f>'勤務表（参照用）'!F48</f>
        <v/>
      </c>
      <c r="G48" s="15" t="str">
        <f>'勤務表（参照用）'!G48</f>
        <v/>
      </c>
      <c r="H48" s="15" t="str">
        <f>'勤務表（参照用）'!H48</f>
        <v/>
      </c>
      <c r="I48" s="15" t="str">
        <f>'勤務表（参照用）'!I48</f>
        <v/>
      </c>
      <c r="J48" s="15" t="str">
        <f>'勤務表（参照用）'!J48</f>
        <v/>
      </c>
      <c r="K48" s="15" t="str">
        <f>'勤務表（参照用）'!K48</f>
        <v/>
      </c>
      <c r="L48" s="15" t="str">
        <f>'勤務表（参照用）'!L48</f>
        <v/>
      </c>
      <c r="M48" s="15" t="str">
        <f>'勤務表（参照用）'!M48</f>
        <v/>
      </c>
      <c r="N48" s="15" t="str">
        <f>'勤務表（参照用）'!N48</f>
        <v/>
      </c>
      <c r="O48" s="15" t="str">
        <f>'勤務表（参照用）'!O48</f>
        <v/>
      </c>
      <c r="P48" s="15" t="str">
        <f>'勤務表（参照用）'!P48</f>
        <v/>
      </c>
      <c r="Q48" s="15" t="str">
        <f>'勤務表（参照用）'!Q48</f>
        <v/>
      </c>
      <c r="R48" s="15" t="str">
        <f>'勤務表（参照用）'!R48</f>
        <v/>
      </c>
      <c r="S48" s="15" t="str">
        <f>'勤務表（参照用）'!S48</f>
        <v/>
      </c>
      <c r="T48" s="15" t="str">
        <f>'勤務表（参照用）'!T48</f>
        <v/>
      </c>
      <c r="U48" s="15" t="str">
        <f>'勤務表（参照用）'!U48</f>
        <v/>
      </c>
      <c r="V48" s="15" t="str">
        <f>'勤務表（参照用）'!V48</f>
        <v/>
      </c>
      <c r="W48" s="15" t="str">
        <f>'勤務表（参照用）'!W48</f>
        <v/>
      </c>
      <c r="X48" s="15" t="str">
        <f>'勤務表（参照用）'!X48</f>
        <v/>
      </c>
      <c r="Y48" s="15" t="str">
        <f>'勤務表（参照用）'!Y48</f>
        <v/>
      </c>
      <c r="Z48" s="15" t="str">
        <f>'勤務表（参照用）'!Z48</f>
        <v/>
      </c>
      <c r="AA48" s="15" t="str">
        <f>'勤務表（参照用）'!AA48</f>
        <v/>
      </c>
      <c r="AB48" s="15" t="str">
        <f>'勤務表（参照用）'!AB48</f>
        <v/>
      </c>
      <c r="AC48" s="15" t="str">
        <f>'勤務表（参照用）'!AC48</f>
        <v/>
      </c>
      <c r="AD48" s="15" t="str">
        <f>'勤務表（参照用）'!AD48</f>
        <v/>
      </c>
      <c r="AE48" s="15" t="str">
        <f>'勤務表（参照用）'!AE48</f>
        <v/>
      </c>
      <c r="AF48" s="15" t="str">
        <f>'勤務表（参照用）'!AF48</f>
        <v/>
      </c>
      <c r="AG48" s="15" t="str">
        <f>'勤務表（参照用）'!AG48</f>
        <v/>
      </c>
      <c r="AH48" s="14" t="str">
        <f>'勤務表（参照用）'!AH48</f>
        <v/>
      </c>
    </row>
    <row r="49" spans="3:36" ht="13.15" hidden="1" customHeight="1" x14ac:dyDescent="0.2">
      <c r="C49" s="14" t="str">
        <f>'勤務表（参照用）'!C49</f>
        <v/>
      </c>
      <c r="D49" s="22" t="str">
        <f>'勤務表（参照用）'!D49</f>
        <v/>
      </c>
      <c r="E49" s="15" t="str">
        <f>'勤務表（参照用）'!E49</f>
        <v/>
      </c>
      <c r="F49" s="15" t="str">
        <f>'勤務表（参照用）'!F49</f>
        <v/>
      </c>
      <c r="G49" s="15" t="str">
        <f>'勤務表（参照用）'!G49</f>
        <v/>
      </c>
      <c r="H49" s="15" t="str">
        <f>'勤務表（参照用）'!H49</f>
        <v/>
      </c>
      <c r="I49" s="15" t="str">
        <f>'勤務表（参照用）'!I49</f>
        <v/>
      </c>
      <c r="J49" s="15" t="str">
        <f>'勤務表（参照用）'!J49</f>
        <v/>
      </c>
      <c r="K49" s="15" t="str">
        <f>'勤務表（参照用）'!K49</f>
        <v/>
      </c>
      <c r="L49" s="15" t="str">
        <f>'勤務表（参照用）'!L49</f>
        <v/>
      </c>
      <c r="M49" s="15" t="str">
        <f>'勤務表（参照用）'!M49</f>
        <v/>
      </c>
      <c r="N49" s="15" t="str">
        <f>'勤務表（参照用）'!N49</f>
        <v/>
      </c>
      <c r="O49" s="15" t="str">
        <f>'勤務表（参照用）'!O49</f>
        <v/>
      </c>
      <c r="P49" s="15" t="str">
        <f>'勤務表（参照用）'!P49</f>
        <v/>
      </c>
      <c r="Q49" s="15" t="str">
        <f>'勤務表（参照用）'!Q49</f>
        <v/>
      </c>
      <c r="R49" s="15" t="str">
        <f>'勤務表（参照用）'!R49</f>
        <v/>
      </c>
      <c r="S49" s="15" t="str">
        <f>'勤務表（参照用）'!S49</f>
        <v/>
      </c>
      <c r="T49" s="15" t="str">
        <f>'勤務表（参照用）'!T49</f>
        <v/>
      </c>
      <c r="U49" s="15" t="str">
        <f>'勤務表（参照用）'!U49</f>
        <v/>
      </c>
      <c r="V49" s="15" t="str">
        <f>'勤務表（参照用）'!V49</f>
        <v/>
      </c>
      <c r="W49" s="15" t="str">
        <f>'勤務表（参照用）'!W49</f>
        <v/>
      </c>
      <c r="X49" s="15" t="str">
        <f>'勤務表（参照用）'!X49</f>
        <v/>
      </c>
      <c r="Y49" s="15" t="str">
        <f>'勤務表（参照用）'!Y49</f>
        <v/>
      </c>
      <c r="Z49" s="15" t="str">
        <f>'勤務表（参照用）'!Z49</f>
        <v/>
      </c>
      <c r="AA49" s="15" t="str">
        <f>'勤務表（参照用）'!AA49</f>
        <v/>
      </c>
      <c r="AB49" s="15" t="str">
        <f>'勤務表（参照用）'!AB49</f>
        <v/>
      </c>
      <c r="AC49" s="15" t="str">
        <f>'勤務表（参照用）'!AC49</f>
        <v/>
      </c>
      <c r="AD49" s="15" t="str">
        <f>'勤務表（参照用）'!AD49</f>
        <v/>
      </c>
      <c r="AE49" s="15" t="str">
        <f>'勤務表（参照用）'!AE49</f>
        <v/>
      </c>
      <c r="AF49" s="15" t="str">
        <f>'勤務表（参照用）'!AF49</f>
        <v/>
      </c>
      <c r="AG49" s="15" t="str">
        <f>'勤務表（参照用）'!AG49</f>
        <v/>
      </c>
      <c r="AH49" s="14" t="str">
        <f>'勤務表（参照用）'!AH49</f>
        <v/>
      </c>
    </row>
    <row r="50" spans="3:36" ht="13.15" hidden="1" customHeight="1" x14ac:dyDescent="0.2">
      <c r="C50" s="14" t="str">
        <f>'勤務表（参照用）'!C50</f>
        <v/>
      </c>
      <c r="D50" s="22" t="str">
        <f>'勤務表（参照用）'!D50</f>
        <v/>
      </c>
      <c r="E50" s="15" t="str">
        <f>'勤務表（参照用）'!E50</f>
        <v/>
      </c>
      <c r="F50" s="15" t="str">
        <f>'勤務表（参照用）'!F50</f>
        <v/>
      </c>
      <c r="G50" s="15" t="str">
        <f>'勤務表（参照用）'!G50</f>
        <v/>
      </c>
      <c r="H50" s="15" t="str">
        <f>'勤務表（参照用）'!H50</f>
        <v/>
      </c>
      <c r="I50" s="15" t="str">
        <f>'勤務表（参照用）'!I50</f>
        <v/>
      </c>
      <c r="J50" s="15" t="str">
        <f>'勤務表（参照用）'!J50</f>
        <v/>
      </c>
      <c r="K50" s="15" t="str">
        <f>'勤務表（参照用）'!K50</f>
        <v/>
      </c>
      <c r="L50" s="15" t="str">
        <f>'勤務表（参照用）'!L50</f>
        <v/>
      </c>
      <c r="M50" s="15" t="str">
        <f>'勤務表（参照用）'!M50</f>
        <v/>
      </c>
      <c r="N50" s="15" t="str">
        <f>'勤務表（参照用）'!N50</f>
        <v/>
      </c>
      <c r="O50" s="15" t="str">
        <f>'勤務表（参照用）'!O50</f>
        <v/>
      </c>
      <c r="P50" s="15" t="str">
        <f>'勤務表（参照用）'!P50</f>
        <v/>
      </c>
      <c r="Q50" s="15" t="str">
        <f>'勤務表（参照用）'!Q50</f>
        <v/>
      </c>
      <c r="R50" s="15" t="str">
        <f>'勤務表（参照用）'!R50</f>
        <v/>
      </c>
      <c r="S50" s="15" t="str">
        <f>'勤務表（参照用）'!S50</f>
        <v/>
      </c>
      <c r="T50" s="15" t="str">
        <f>'勤務表（参照用）'!T50</f>
        <v/>
      </c>
      <c r="U50" s="15" t="str">
        <f>'勤務表（参照用）'!U50</f>
        <v/>
      </c>
      <c r="V50" s="15" t="str">
        <f>'勤務表（参照用）'!V50</f>
        <v/>
      </c>
      <c r="W50" s="15" t="str">
        <f>'勤務表（参照用）'!W50</f>
        <v/>
      </c>
      <c r="X50" s="15" t="str">
        <f>'勤務表（参照用）'!X50</f>
        <v/>
      </c>
      <c r="Y50" s="15" t="str">
        <f>'勤務表（参照用）'!Y50</f>
        <v/>
      </c>
      <c r="Z50" s="15" t="str">
        <f>'勤務表（参照用）'!Z50</f>
        <v/>
      </c>
      <c r="AA50" s="15" t="str">
        <f>'勤務表（参照用）'!AA50</f>
        <v/>
      </c>
      <c r="AB50" s="15" t="str">
        <f>'勤務表（参照用）'!AB50</f>
        <v/>
      </c>
      <c r="AC50" s="15" t="str">
        <f>'勤務表（参照用）'!AC50</f>
        <v/>
      </c>
      <c r="AD50" s="15" t="str">
        <f>'勤務表（参照用）'!AD50</f>
        <v/>
      </c>
      <c r="AE50" s="15" t="str">
        <f>'勤務表（参照用）'!AE50</f>
        <v/>
      </c>
      <c r="AF50" s="15" t="str">
        <f>'勤務表（参照用）'!AF50</f>
        <v/>
      </c>
      <c r="AG50" s="15" t="str">
        <f>'勤務表（参照用）'!AG50</f>
        <v/>
      </c>
      <c r="AH50" s="14" t="str">
        <f>'勤務表（参照用）'!AH50</f>
        <v/>
      </c>
    </row>
    <row r="51" spans="3:36" ht="13.15" hidden="1" customHeight="1" x14ac:dyDescent="0.2">
      <c r="C51" s="17" t="str">
        <f>'勤務表（参照用）'!C51</f>
        <v/>
      </c>
      <c r="D51" s="24" t="str">
        <f>'勤務表（参照用）'!D51</f>
        <v/>
      </c>
      <c r="E51" s="18" t="str">
        <f>'勤務表（参照用）'!E51</f>
        <v/>
      </c>
      <c r="F51" s="18" t="str">
        <f>'勤務表（参照用）'!F51</f>
        <v/>
      </c>
      <c r="G51" s="18" t="str">
        <f>'勤務表（参照用）'!G51</f>
        <v/>
      </c>
      <c r="H51" s="18" t="str">
        <f>'勤務表（参照用）'!H51</f>
        <v/>
      </c>
      <c r="I51" s="18" t="str">
        <f>'勤務表（参照用）'!I51</f>
        <v/>
      </c>
      <c r="J51" s="18" t="str">
        <f>'勤務表（参照用）'!J51</f>
        <v/>
      </c>
      <c r="K51" s="18" t="str">
        <f>'勤務表（参照用）'!K51</f>
        <v/>
      </c>
      <c r="L51" s="18" t="str">
        <f>'勤務表（参照用）'!L51</f>
        <v/>
      </c>
      <c r="M51" s="18" t="str">
        <f>'勤務表（参照用）'!M51</f>
        <v/>
      </c>
      <c r="N51" s="18" t="str">
        <f>'勤務表（参照用）'!N51</f>
        <v/>
      </c>
      <c r="O51" s="18" t="str">
        <f>'勤務表（参照用）'!O51</f>
        <v/>
      </c>
      <c r="P51" s="18" t="str">
        <f>'勤務表（参照用）'!P51</f>
        <v/>
      </c>
      <c r="Q51" s="18" t="str">
        <f>'勤務表（参照用）'!Q51</f>
        <v/>
      </c>
      <c r="R51" s="18" t="str">
        <f>'勤務表（参照用）'!R51</f>
        <v/>
      </c>
      <c r="S51" s="18" t="str">
        <f>'勤務表（参照用）'!S51</f>
        <v/>
      </c>
      <c r="T51" s="18" t="str">
        <f>'勤務表（参照用）'!T51</f>
        <v/>
      </c>
      <c r="U51" s="18" t="str">
        <f>'勤務表（参照用）'!U51</f>
        <v/>
      </c>
      <c r="V51" s="18" t="str">
        <f>'勤務表（参照用）'!V51</f>
        <v/>
      </c>
      <c r="W51" s="18" t="str">
        <f>'勤務表（参照用）'!W51</f>
        <v/>
      </c>
      <c r="X51" s="18" t="str">
        <f>'勤務表（参照用）'!X51</f>
        <v/>
      </c>
      <c r="Y51" s="18" t="str">
        <f>'勤務表（参照用）'!Y51</f>
        <v/>
      </c>
      <c r="Z51" s="18" t="str">
        <f>'勤務表（参照用）'!Z51</f>
        <v/>
      </c>
      <c r="AA51" s="18" t="str">
        <f>'勤務表（参照用）'!AA51</f>
        <v/>
      </c>
      <c r="AB51" s="18" t="str">
        <f>'勤務表（参照用）'!AB51</f>
        <v/>
      </c>
      <c r="AC51" s="18" t="str">
        <f>'勤務表（参照用）'!AC51</f>
        <v/>
      </c>
      <c r="AD51" s="18" t="str">
        <f>'勤務表（参照用）'!AD51</f>
        <v/>
      </c>
      <c r="AE51" s="18" t="str">
        <f>'勤務表（参照用）'!AE51</f>
        <v/>
      </c>
      <c r="AF51" s="18" t="str">
        <f>'勤務表（参照用）'!AF51</f>
        <v/>
      </c>
      <c r="AG51" s="18" t="str">
        <f>'勤務表（参照用）'!AG51</f>
        <v/>
      </c>
      <c r="AH51" s="17" t="str">
        <f>'勤務表（参照用）'!AH51</f>
        <v/>
      </c>
    </row>
    <row r="52" spans="3:36" ht="13.15" customHeight="1" x14ac:dyDescent="0.2"/>
    <row r="53" spans="3:36" ht="19.149999999999999" hidden="1" customHeight="1" x14ac:dyDescent="0.2"/>
    <row r="54" spans="3:36" ht="19.149999999999999" customHeight="1" x14ac:dyDescent="0.2">
      <c r="C54" s="26" t="s">
        <v>0</v>
      </c>
      <c r="D54" s="27">
        <f t="shared" ref="D54:AG56" si="1">COUNTIF(D$4:D$46,$C54)</f>
        <v>2</v>
      </c>
      <c r="E54" s="27">
        <f t="shared" si="1"/>
        <v>2</v>
      </c>
      <c r="F54" s="27">
        <f t="shared" si="1"/>
        <v>2</v>
      </c>
      <c r="G54" s="27">
        <f t="shared" si="1"/>
        <v>2</v>
      </c>
      <c r="H54" s="27">
        <f t="shared" si="1"/>
        <v>2</v>
      </c>
      <c r="I54" s="27">
        <f t="shared" si="1"/>
        <v>2</v>
      </c>
      <c r="J54" s="27">
        <f t="shared" si="1"/>
        <v>2</v>
      </c>
      <c r="K54" s="27">
        <f t="shared" si="1"/>
        <v>2</v>
      </c>
      <c r="L54" s="27">
        <f t="shared" si="1"/>
        <v>2</v>
      </c>
      <c r="M54" s="27">
        <f t="shared" si="1"/>
        <v>2</v>
      </c>
      <c r="N54" s="27">
        <f t="shared" si="1"/>
        <v>2</v>
      </c>
      <c r="O54" s="27">
        <f t="shared" si="1"/>
        <v>2</v>
      </c>
      <c r="P54" s="27">
        <f t="shared" si="1"/>
        <v>2</v>
      </c>
      <c r="Q54" s="27">
        <f t="shared" si="1"/>
        <v>2</v>
      </c>
      <c r="R54" s="27">
        <f t="shared" si="1"/>
        <v>2</v>
      </c>
      <c r="S54" s="27">
        <f t="shared" si="1"/>
        <v>2</v>
      </c>
      <c r="T54" s="27">
        <f t="shared" si="1"/>
        <v>2</v>
      </c>
      <c r="U54" s="27">
        <f t="shared" si="1"/>
        <v>2</v>
      </c>
      <c r="V54" s="27">
        <f t="shared" si="1"/>
        <v>2</v>
      </c>
      <c r="W54" s="27">
        <f t="shared" si="1"/>
        <v>2</v>
      </c>
      <c r="X54" s="27">
        <f t="shared" si="1"/>
        <v>2</v>
      </c>
      <c r="Y54" s="27">
        <f t="shared" si="1"/>
        <v>2</v>
      </c>
      <c r="Z54" s="27">
        <f t="shared" si="1"/>
        <v>2</v>
      </c>
      <c r="AA54" s="27">
        <f t="shared" si="1"/>
        <v>2</v>
      </c>
      <c r="AB54" s="27">
        <f t="shared" si="1"/>
        <v>2</v>
      </c>
      <c r="AC54" s="27">
        <f t="shared" si="1"/>
        <v>2</v>
      </c>
      <c r="AD54" s="27">
        <f t="shared" si="1"/>
        <v>2</v>
      </c>
      <c r="AE54" s="27">
        <f t="shared" si="1"/>
        <v>2</v>
      </c>
      <c r="AF54" s="27">
        <f t="shared" si="1"/>
        <v>2</v>
      </c>
      <c r="AG54" s="27">
        <f t="shared" si="1"/>
        <v>2</v>
      </c>
      <c r="AH54" s="27">
        <f t="shared" ref="AH54" si="2">COUNTIF(AH$4:AH$46,$C54)</f>
        <v>0</v>
      </c>
    </row>
    <row r="55" spans="3:36" x14ac:dyDescent="0.2">
      <c r="C55" s="22" t="s">
        <v>1</v>
      </c>
      <c r="D55" s="15">
        <f>COUNTIF(D$4:D$46,$C55)</f>
        <v>2</v>
      </c>
      <c r="E55" s="15">
        <f t="shared" si="1"/>
        <v>2</v>
      </c>
      <c r="F55" s="15">
        <f t="shared" si="1"/>
        <v>2</v>
      </c>
      <c r="G55" s="15">
        <f t="shared" si="1"/>
        <v>2</v>
      </c>
      <c r="H55" s="15">
        <f t="shared" si="1"/>
        <v>2</v>
      </c>
      <c r="I55" s="15">
        <f t="shared" si="1"/>
        <v>2</v>
      </c>
      <c r="J55" s="15">
        <f t="shared" si="1"/>
        <v>2</v>
      </c>
      <c r="K55" s="15">
        <f t="shared" si="1"/>
        <v>2</v>
      </c>
      <c r="L55" s="15">
        <f t="shared" si="1"/>
        <v>2</v>
      </c>
      <c r="M55" s="15">
        <f t="shared" si="1"/>
        <v>2</v>
      </c>
      <c r="N55" s="15">
        <f t="shared" si="1"/>
        <v>2</v>
      </c>
      <c r="O55" s="15">
        <f t="shared" si="1"/>
        <v>2</v>
      </c>
      <c r="P55" s="15">
        <f t="shared" si="1"/>
        <v>2</v>
      </c>
      <c r="Q55" s="15">
        <f t="shared" si="1"/>
        <v>2</v>
      </c>
      <c r="R55" s="15">
        <f t="shared" si="1"/>
        <v>2</v>
      </c>
      <c r="S55" s="15">
        <f t="shared" si="1"/>
        <v>2</v>
      </c>
      <c r="T55" s="15">
        <f t="shared" si="1"/>
        <v>2</v>
      </c>
      <c r="U55" s="15">
        <f t="shared" si="1"/>
        <v>2</v>
      </c>
      <c r="V55" s="15">
        <f t="shared" si="1"/>
        <v>2</v>
      </c>
      <c r="W55" s="15">
        <f t="shared" si="1"/>
        <v>2</v>
      </c>
      <c r="X55" s="15">
        <f t="shared" si="1"/>
        <v>2</v>
      </c>
      <c r="Y55" s="15">
        <f t="shared" si="1"/>
        <v>2</v>
      </c>
      <c r="Z55" s="15">
        <f t="shared" si="1"/>
        <v>2</v>
      </c>
      <c r="AA55" s="15">
        <f t="shared" si="1"/>
        <v>2</v>
      </c>
      <c r="AB55" s="15">
        <f t="shared" si="1"/>
        <v>2</v>
      </c>
      <c r="AC55" s="15">
        <f t="shared" si="1"/>
        <v>2</v>
      </c>
      <c r="AD55" s="15">
        <f t="shared" si="1"/>
        <v>2</v>
      </c>
      <c r="AE55" s="15">
        <f t="shared" si="1"/>
        <v>2</v>
      </c>
      <c r="AF55" s="15">
        <f t="shared" si="1"/>
        <v>2</v>
      </c>
      <c r="AG55" s="15">
        <f t="shared" si="1"/>
        <v>2</v>
      </c>
      <c r="AH55" s="14">
        <f>COUNTIF(AH$4:AH$46,$C55)</f>
        <v>0</v>
      </c>
    </row>
    <row r="56" spans="3:36" x14ac:dyDescent="0.2">
      <c r="C56" s="22" t="s">
        <v>2</v>
      </c>
      <c r="D56" s="15">
        <f>COUNTIF(D$4:D$46,$C56)</f>
        <v>0</v>
      </c>
      <c r="E56" s="15">
        <f t="shared" si="1"/>
        <v>0</v>
      </c>
      <c r="F56" s="15">
        <f>COUNTIF(F$4:F$46,$C56)</f>
        <v>0</v>
      </c>
      <c r="G56" s="15">
        <f t="shared" si="1"/>
        <v>0</v>
      </c>
      <c r="H56" s="15">
        <f t="shared" si="1"/>
        <v>0</v>
      </c>
      <c r="I56" s="15">
        <f t="shared" si="1"/>
        <v>35</v>
      </c>
      <c r="J56" s="15">
        <f t="shared" si="1"/>
        <v>2</v>
      </c>
      <c r="K56" s="15">
        <f t="shared" si="1"/>
        <v>2</v>
      </c>
      <c r="L56" s="15">
        <f t="shared" si="1"/>
        <v>0</v>
      </c>
      <c r="M56" s="15">
        <f t="shared" si="1"/>
        <v>0</v>
      </c>
      <c r="N56" s="15">
        <f t="shared" si="1"/>
        <v>0</v>
      </c>
      <c r="O56" s="15">
        <f t="shared" si="1"/>
        <v>0</v>
      </c>
      <c r="P56" s="15">
        <f t="shared" si="1"/>
        <v>35</v>
      </c>
      <c r="Q56" s="15">
        <f t="shared" si="1"/>
        <v>2</v>
      </c>
      <c r="R56" s="15">
        <f t="shared" si="1"/>
        <v>2</v>
      </c>
      <c r="S56" s="15">
        <f t="shared" si="1"/>
        <v>0</v>
      </c>
      <c r="T56" s="15">
        <f t="shared" si="1"/>
        <v>0</v>
      </c>
      <c r="U56" s="15">
        <f t="shared" si="1"/>
        <v>0</v>
      </c>
      <c r="V56" s="15">
        <f t="shared" si="1"/>
        <v>0</v>
      </c>
      <c r="W56" s="15">
        <f t="shared" si="1"/>
        <v>35</v>
      </c>
      <c r="X56" s="15">
        <f t="shared" si="1"/>
        <v>2</v>
      </c>
      <c r="Y56" s="15">
        <f t="shared" si="1"/>
        <v>2</v>
      </c>
      <c r="Z56" s="15">
        <f t="shared" si="1"/>
        <v>0</v>
      </c>
      <c r="AA56" s="15">
        <f t="shared" si="1"/>
        <v>0</v>
      </c>
      <c r="AB56" s="15">
        <f t="shared" si="1"/>
        <v>0</v>
      </c>
      <c r="AC56" s="15">
        <f t="shared" si="1"/>
        <v>0</v>
      </c>
      <c r="AD56" s="15">
        <f t="shared" si="1"/>
        <v>35</v>
      </c>
      <c r="AE56" s="15">
        <f t="shared" si="1"/>
        <v>2</v>
      </c>
      <c r="AF56" s="15">
        <f t="shared" si="1"/>
        <v>2</v>
      </c>
      <c r="AG56" s="15">
        <f t="shared" si="1"/>
        <v>0</v>
      </c>
      <c r="AH56" s="14">
        <f>COUNTIF(AH$4:AH$46,$C56)</f>
        <v>0</v>
      </c>
      <c r="AJ56" s="12">
        <f>SUM(D56:AH56)</f>
        <v>156</v>
      </c>
    </row>
    <row r="57" spans="3:36" x14ac:dyDescent="0.2">
      <c r="C57" s="24" t="s">
        <v>40</v>
      </c>
      <c r="D57" s="18">
        <f t="shared" ref="D57:AG57" si="3">COUNTBLANK(D4:D46)</f>
        <v>39</v>
      </c>
      <c r="E57" s="18">
        <f t="shared" si="3"/>
        <v>39</v>
      </c>
      <c r="F57" s="18">
        <f t="shared" si="3"/>
        <v>39</v>
      </c>
      <c r="G57" s="18">
        <f t="shared" si="3"/>
        <v>39</v>
      </c>
      <c r="H57" s="18">
        <f t="shared" si="3"/>
        <v>3</v>
      </c>
      <c r="I57" s="18">
        <f t="shared" si="3"/>
        <v>4</v>
      </c>
      <c r="J57" s="18">
        <f t="shared" si="3"/>
        <v>37</v>
      </c>
      <c r="K57" s="18">
        <f t="shared" si="3"/>
        <v>37</v>
      </c>
      <c r="L57" s="18">
        <f t="shared" si="3"/>
        <v>39</v>
      </c>
      <c r="M57" s="18">
        <f t="shared" si="3"/>
        <v>39</v>
      </c>
      <c r="N57" s="18">
        <f t="shared" si="3"/>
        <v>35</v>
      </c>
      <c r="O57" s="18">
        <f t="shared" si="3"/>
        <v>3</v>
      </c>
      <c r="P57" s="18">
        <f t="shared" si="3"/>
        <v>4</v>
      </c>
      <c r="Q57" s="18">
        <f t="shared" si="3"/>
        <v>37</v>
      </c>
      <c r="R57" s="18">
        <f t="shared" si="3"/>
        <v>37</v>
      </c>
      <c r="S57" s="18">
        <f t="shared" si="3"/>
        <v>39</v>
      </c>
      <c r="T57" s="18">
        <f t="shared" si="3"/>
        <v>39</v>
      </c>
      <c r="U57" s="18">
        <f t="shared" si="3"/>
        <v>39</v>
      </c>
      <c r="V57" s="18">
        <f t="shared" si="3"/>
        <v>3</v>
      </c>
      <c r="W57" s="18">
        <f t="shared" si="3"/>
        <v>4</v>
      </c>
      <c r="X57" s="18">
        <f t="shared" si="3"/>
        <v>37</v>
      </c>
      <c r="Y57" s="18">
        <f t="shared" si="3"/>
        <v>37</v>
      </c>
      <c r="Z57" s="18">
        <f t="shared" si="3"/>
        <v>39</v>
      </c>
      <c r="AA57" s="18">
        <f t="shared" si="3"/>
        <v>39</v>
      </c>
      <c r="AB57" s="18">
        <f t="shared" si="3"/>
        <v>39</v>
      </c>
      <c r="AC57" s="18">
        <f t="shared" si="3"/>
        <v>3</v>
      </c>
      <c r="AD57" s="18">
        <f t="shared" si="3"/>
        <v>4</v>
      </c>
      <c r="AE57" s="18">
        <f t="shared" si="3"/>
        <v>37</v>
      </c>
      <c r="AF57" s="18">
        <f t="shared" si="3"/>
        <v>37</v>
      </c>
      <c r="AG57" s="18">
        <f t="shared" si="3"/>
        <v>39</v>
      </c>
      <c r="AH57" s="17">
        <f>COUNTBLANK(AH4:AH46)</f>
        <v>43</v>
      </c>
    </row>
  </sheetData>
  <sheetProtection sheet="1" objects="1" scenarios="1" selectLockedCells="1"/>
  <mergeCells count="2">
    <mergeCell ref="C2:C3"/>
    <mergeCell ref="AI2:AI3"/>
  </mergeCells>
  <phoneticPr fontId="1"/>
  <conditionalFormatting sqref="AJ56 C1:AH3 C45:AH1048576 C4:C44 AI4">
    <cfRule type="expression" dxfId="21" priority="12">
      <formula>C1="日拘"</formula>
    </cfRule>
    <cfRule type="expression" dxfId="20" priority="13">
      <formula>C1="PM拘"</formula>
    </cfRule>
    <cfRule type="expression" dxfId="19" priority="14">
      <formula>C1="拘"</formula>
    </cfRule>
  </conditionalFormatting>
  <conditionalFormatting sqref="D2:AH3">
    <cfRule type="expression" dxfId="18" priority="10">
      <formula>AND(OR(D$54&lt;&gt;2,D$55&lt;&gt;2),(D$2&lt;&gt;""))</formula>
    </cfRule>
  </conditionalFormatting>
  <conditionalFormatting sqref="D4:AH44">
    <cfRule type="expression" dxfId="17" priority="2">
      <formula>D4="日拘"</formula>
    </cfRule>
    <cfRule type="expression" dxfId="16" priority="3">
      <formula>D4="PM拘"</formula>
    </cfRule>
    <cfRule type="expression" dxfId="15" priority="4">
      <formula>D4="拘"</formula>
    </cfRule>
  </conditionalFormatting>
  <dataValidations count="2">
    <dataValidation type="list" allowBlank="1" showInputMessage="1" showErrorMessage="1" sqref="E4:AI4 E5:AH45 D4:D45" xr:uid="{00000000-0002-0000-0000-000000000000}">
      <formula1>"当,明,／,●,○"</formula1>
    </dataValidation>
    <dataValidation type="list" allowBlank="1" showInputMessage="1" showErrorMessage="1" sqref="D46:AH46" xr:uid="{00000000-0002-0000-0000-000001000000}">
      <formula1>"／,●,○"</formula1>
    </dataValidation>
  </dataValidations>
  <pageMargins left="0.43307086614173229" right="0" top="0.35433070866141736" bottom="0.35433070866141736" header="0.31496062992125984" footer="0.31496062992125984"/>
  <pageSetup paperSize="9" scale="9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Macro10">
                <anchor moveWithCells="1" sizeWithCells="1">
                  <from>
                    <xdr:col>38</xdr:col>
                    <xdr:colOff>184150</xdr:colOff>
                    <xdr:row>0</xdr:row>
                    <xdr:rowOff>165100</xdr:rowOff>
                  </from>
                  <to>
                    <xdr:col>39</xdr:col>
                    <xdr:colOff>323850</xdr:colOff>
                    <xdr:row>0</xdr:row>
                    <xdr:rowOff>565150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 id="{4F92038A-9314-47A1-BE90-CA6F5C432C1C}">
            <xm:f>D4&lt;&gt;'勤務表（参照用）'!D4</xm:f>
            <x14:dxf>
              <fill>
                <patternFill>
                  <bgColor rgb="FFFF99CC"/>
                </patternFill>
              </fill>
            </x14:dxf>
          </x14:cfRule>
          <xm:sqref>AI4 D45:AH46</xm:sqref>
        </x14:conditionalFormatting>
        <x14:conditionalFormatting xmlns:xm="http://schemas.microsoft.com/office/excel/2006/main">
          <x14:cfRule type="expression" priority="9" id="{65196E18-6713-457B-BF23-B2B0B451D36E}">
            <xm:f>'勤務表（参照用）'!$AI$55&lt;&gt;$AJ$56</xm:f>
            <x14:dxf>
              <fill>
                <patternFill>
                  <bgColor rgb="FFFF0000"/>
                </patternFill>
              </fill>
            </x14:dxf>
          </x14:cfRule>
          <xm:sqref>C56:AH56</xm:sqref>
        </x14:conditionalFormatting>
        <x14:conditionalFormatting xmlns:xm="http://schemas.microsoft.com/office/excel/2006/main">
          <x14:cfRule type="expression" priority="1" id="{6BB895F1-6B53-40FF-9355-4907497BCBF5}">
            <xm:f>D4&lt;&gt;'勤務表（参照用）'!D4</xm:f>
            <x14:dxf>
              <fill>
                <patternFill>
                  <bgColor rgb="FFFF99CC"/>
                </patternFill>
              </fill>
            </x14:dxf>
          </x14:cfRule>
          <xm:sqref>D4:AH44</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AB2D3-C401-43F6-9A93-5DB387C419F4}">
  <sheetPr codeName="Sheet4">
    <tabColor rgb="FFFF0000"/>
    <pageSetUpPr fitToPage="1"/>
  </sheetPr>
  <dimension ref="C1:AO57"/>
  <sheetViews>
    <sheetView showGridLines="0" showRowColHeaders="0" zoomScaleNormal="100" workbookViewId="0">
      <pane xSplit="43" ySplit="3" topLeftCell="AR31" activePane="bottomRight" state="frozen"/>
      <selection pane="topRight" activeCell="AP1" sqref="AP1"/>
      <selection pane="bottomLeft" activeCell="A4" sqref="A4"/>
      <selection pane="bottomRight" activeCell="D4" sqref="D4:AH44"/>
    </sheetView>
  </sheetViews>
  <sheetFormatPr defaultRowHeight="13" x14ac:dyDescent="0.2"/>
  <cols>
    <col min="1" max="1" width="0" hidden="1" customWidth="1"/>
    <col min="2" max="2" width="2.7265625" customWidth="1"/>
    <col min="3" max="3" width="12" style="12" customWidth="1"/>
    <col min="4" max="34" width="3.90625" style="12" customWidth="1"/>
    <col min="35" max="35" width="1.36328125" style="28" customWidth="1"/>
    <col min="36" max="37" width="3" customWidth="1"/>
    <col min="38" max="38" width="0.6328125" customWidth="1"/>
    <col min="41" max="41" width="20.6328125" hidden="1" customWidth="1"/>
    <col min="43" max="43" width="11.08984375" customWidth="1"/>
  </cols>
  <sheetData>
    <row r="1" spans="3:41" ht="52.9" customHeight="1" x14ac:dyDescent="0.2"/>
    <row r="2" spans="3:41" x14ac:dyDescent="0.2">
      <c r="C2" s="85" t="str">
        <f>'勤務表（参照用）'!C2</f>
        <v>4月</v>
      </c>
      <c r="D2" s="1">
        <f>'勤務表（参照用）'!D2</f>
        <v>45748</v>
      </c>
      <c r="E2" s="2">
        <f>'勤務表（参照用）'!E2</f>
        <v>45749</v>
      </c>
      <c r="F2" s="2">
        <f>'勤務表（参照用）'!F2</f>
        <v>45750</v>
      </c>
      <c r="G2" s="2">
        <f>'勤務表（参照用）'!G2</f>
        <v>45751</v>
      </c>
      <c r="H2" s="2">
        <f>'勤務表（参照用）'!H2</f>
        <v>45752</v>
      </c>
      <c r="I2" s="2">
        <f>'勤務表（参照用）'!I2</f>
        <v>45753</v>
      </c>
      <c r="J2" s="2">
        <f>'勤務表（参照用）'!J2</f>
        <v>45754</v>
      </c>
      <c r="K2" s="2">
        <f>'勤務表（参照用）'!K2</f>
        <v>45755</v>
      </c>
      <c r="L2" s="2">
        <f>'勤務表（参照用）'!L2</f>
        <v>45756</v>
      </c>
      <c r="M2" s="2">
        <f>'勤務表（参照用）'!M2</f>
        <v>45757</v>
      </c>
      <c r="N2" s="2">
        <f>'勤務表（参照用）'!N2</f>
        <v>45758</v>
      </c>
      <c r="O2" s="2">
        <f>'勤務表（参照用）'!O2</f>
        <v>45759</v>
      </c>
      <c r="P2" s="2">
        <f>'勤務表（参照用）'!P2</f>
        <v>45760</v>
      </c>
      <c r="Q2" s="2">
        <f>'勤務表（参照用）'!Q2</f>
        <v>45761</v>
      </c>
      <c r="R2" s="2">
        <f>'勤務表（参照用）'!R2</f>
        <v>45762</v>
      </c>
      <c r="S2" s="2">
        <f>'勤務表（参照用）'!S2</f>
        <v>45763</v>
      </c>
      <c r="T2" s="2">
        <f>'勤務表（参照用）'!T2</f>
        <v>45764</v>
      </c>
      <c r="U2" s="2">
        <f>'勤務表（参照用）'!U2</f>
        <v>45765</v>
      </c>
      <c r="V2" s="2">
        <f>'勤務表（参照用）'!V2</f>
        <v>45766</v>
      </c>
      <c r="W2" s="2">
        <f>'勤務表（参照用）'!W2</f>
        <v>45767</v>
      </c>
      <c r="X2" s="2">
        <f>'勤務表（参照用）'!X2</f>
        <v>45768</v>
      </c>
      <c r="Y2" s="2">
        <f>'勤務表（参照用）'!Y2</f>
        <v>45769</v>
      </c>
      <c r="Z2" s="2">
        <f>'勤務表（参照用）'!Z2</f>
        <v>45770</v>
      </c>
      <c r="AA2" s="2">
        <f>'勤務表（参照用）'!AA2</f>
        <v>45771</v>
      </c>
      <c r="AB2" s="2">
        <f>'勤務表（参照用）'!AB2</f>
        <v>45772</v>
      </c>
      <c r="AC2" s="2">
        <f>'勤務表（参照用）'!AC2</f>
        <v>45773</v>
      </c>
      <c r="AD2" s="2">
        <f>'勤務表（参照用）'!AD2</f>
        <v>45774</v>
      </c>
      <c r="AE2" s="2">
        <f>'勤務表（参照用）'!AE2</f>
        <v>45775</v>
      </c>
      <c r="AF2" s="2">
        <f>'勤務表（参照用）'!AF2</f>
        <v>45776</v>
      </c>
      <c r="AG2" s="2">
        <f>'勤務表（参照用）'!AG2</f>
        <v>45777</v>
      </c>
      <c r="AH2" s="3" t="str">
        <f>'勤務表（参照用）'!AH2</f>
        <v/>
      </c>
      <c r="AI2" s="87"/>
    </row>
    <row r="3" spans="3:41" x14ac:dyDescent="0.2">
      <c r="C3" s="86">
        <f>'勤務表（参照用）'!C3</f>
        <v>0</v>
      </c>
      <c r="D3" s="5">
        <f>D2</f>
        <v>45748</v>
      </c>
      <c r="E3" s="6">
        <f t="shared" ref="E3:AH3" si="0">E2</f>
        <v>45749</v>
      </c>
      <c r="F3" s="6">
        <f t="shared" si="0"/>
        <v>45750</v>
      </c>
      <c r="G3" s="6">
        <f t="shared" si="0"/>
        <v>45751</v>
      </c>
      <c r="H3" s="6">
        <f t="shared" si="0"/>
        <v>45752</v>
      </c>
      <c r="I3" s="6">
        <f t="shared" si="0"/>
        <v>45753</v>
      </c>
      <c r="J3" s="6">
        <f t="shared" si="0"/>
        <v>45754</v>
      </c>
      <c r="K3" s="6">
        <f t="shared" si="0"/>
        <v>45755</v>
      </c>
      <c r="L3" s="6">
        <f t="shared" si="0"/>
        <v>45756</v>
      </c>
      <c r="M3" s="6">
        <f t="shared" si="0"/>
        <v>45757</v>
      </c>
      <c r="N3" s="6">
        <f t="shared" si="0"/>
        <v>45758</v>
      </c>
      <c r="O3" s="6">
        <f t="shared" si="0"/>
        <v>45759</v>
      </c>
      <c r="P3" s="6">
        <f t="shared" si="0"/>
        <v>45760</v>
      </c>
      <c r="Q3" s="6">
        <f t="shared" si="0"/>
        <v>45761</v>
      </c>
      <c r="R3" s="6">
        <f t="shared" si="0"/>
        <v>45762</v>
      </c>
      <c r="S3" s="6">
        <f t="shared" si="0"/>
        <v>45763</v>
      </c>
      <c r="T3" s="6">
        <f t="shared" si="0"/>
        <v>45764</v>
      </c>
      <c r="U3" s="6">
        <f t="shared" si="0"/>
        <v>45765</v>
      </c>
      <c r="V3" s="6">
        <f t="shared" si="0"/>
        <v>45766</v>
      </c>
      <c r="W3" s="6">
        <f t="shared" si="0"/>
        <v>45767</v>
      </c>
      <c r="X3" s="6">
        <f t="shared" si="0"/>
        <v>45768</v>
      </c>
      <c r="Y3" s="6">
        <f t="shared" si="0"/>
        <v>45769</v>
      </c>
      <c r="Z3" s="6">
        <f t="shared" si="0"/>
        <v>45770</v>
      </c>
      <c r="AA3" s="6">
        <f t="shared" si="0"/>
        <v>45771</v>
      </c>
      <c r="AB3" s="6">
        <f t="shared" si="0"/>
        <v>45772</v>
      </c>
      <c r="AC3" s="6">
        <f t="shared" si="0"/>
        <v>45773</v>
      </c>
      <c r="AD3" s="6">
        <f t="shared" si="0"/>
        <v>45774</v>
      </c>
      <c r="AE3" s="6">
        <f t="shared" si="0"/>
        <v>45775</v>
      </c>
      <c r="AF3" s="6">
        <f t="shared" si="0"/>
        <v>45776</v>
      </c>
      <c r="AG3" s="6">
        <f t="shared" si="0"/>
        <v>45777</v>
      </c>
      <c r="AH3" s="7" t="str">
        <f t="shared" si="0"/>
        <v/>
      </c>
      <c r="AI3" s="88"/>
    </row>
    <row r="4" spans="3:41" x14ac:dyDescent="0.2">
      <c r="C4" s="68" t="str">
        <f>'勤務表（参照用）'!C4</f>
        <v>山村 博</v>
      </c>
      <c r="D4" s="29" t="str">
        <f>'勤務表（参照用）'!D4</f>
        <v/>
      </c>
      <c r="E4" s="29" t="str">
        <f>'勤務表（参照用）'!E4</f>
        <v/>
      </c>
      <c r="F4" s="29" t="str">
        <f>'勤務表（参照用）'!F4</f>
        <v/>
      </c>
      <c r="G4" s="29" t="str">
        <f>'勤務表（参照用）'!G4</f>
        <v/>
      </c>
      <c r="H4" s="29" t="str">
        <f>'勤務表（参照用）'!H4</f>
        <v>○</v>
      </c>
      <c r="I4" s="29" t="str">
        <f>'勤務表（参照用）'!I4</f>
        <v>●</v>
      </c>
      <c r="J4" s="29" t="str">
        <f>'勤務表（参照用）'!J4</f>
        <v/>
      </c>
      <c r="K4" s="29" t="str">
        <f>'勤務表（参照用）'!K4</f>
        <v/>
      </c>
      <c r="L4" s="29" t="str">
        <f>'勤務表（参照用）'!L4</f>
        <v/>
      </c>
      <c r="M4" s="29" t="str">
        <f>'勤務表（参照用）'!M4</f>
        <v/>
      </c>
      <c r="N4" s="29" t="str">
        <f>'勤務表（参照用）'!N4</f>
        <v/>
      </c>
      <c r="O4" s="29" t="str">
        <f>'勤務表（参照用）'!O4</f>
        <v>○</v>
      </c>
      <c r="P4" s="29" t="str">
        <f>'勤務表（参照用）'!P4</f>
        <v>●</v>
      </c>
      <c r="Q4" s="29" t="str">
        <f>'勤務表（参照用）'!Q4</f>
        <v/>
      </c>
      <c r="R4" s="29" t="str">
        <f>'勤務表（参照用）'!R4</f>
        <v/>
      </c>
      <c r="S4" s="29" t="str">
        <f>'勤務表（参照用）'!S4</f>
        <v/>
      </c>
      <c r="T4" s="29" t="str">
        <f>'勤務表（参照用）'!T4</f>
        <v/>
      </c>
      <c r="U4" s="29" t="str">
        <f>'勤務表（参照用）'!U4</f>
        <v/>
      </c>
      <c r="V4" s="29" t="str">
        <f>'勤務表（参照用）'!V4</f>
        <v>○</v>
      </c>
      <c r="W4" s="29" t="str">
        <f>'勤務表（参照用）'!W4</f>
        <v>●</v>
      </c>
      <c r="X4" s="29" t="str">
        <f>'勤務表（参照用）'!X4</f>
        <v/>
      </c>
      <c r="Y4" s="29" t="str">
        <f>'勤務表（参照用）'!Y4</f>
        <v/>
      </c>
      <c r="Z4" s="29" t="str">
        <f>'勤務表（参照用）'!Z4</f>
        <v/>
      </c>
      <c r="AA4" s="29" t="str">
        <f>'勤務表（参照用）'!AA4</f>
        <v/>
      </c>
      <c r="AB4" s="29" t="str">
        <f>'勤務表（参照用）'!AB4</f>
        <v/>
      </c>
      <c r="AC4" s="29" t="str">
        <f>'勤務表（参照用）'!AC4</f>
        <v>○</v>
      </c>
      <c r="AD4" s="29" t="str">
        <f>'勤務表（参照用）'!AD4</f>
        <v>●</v>
      </c>
      <c r="AE4" s="29" t="str">
        <f>'勤務表（参照用）'!AE4</f>
        <v/>
      </c>
      <c r="AF4" s="29" t="str">
        <f>'勤務表（参照用）'!AF4</f>
        <v/>
      </c>
      <c r="AG4" s="29" t="str">
        <f>'勤務表（参照用）'!AG4</f>
        <v/>
      </c>
      <c r="AH4" s="29" t="str">
        <f>'勤務表（参照用）'!AH4</f>
        <v/>
      </c>
      <c r="AI4" s="29">
        <f>'勤務表（参照用）'!AI4</f>
        <v>0</v>
      </c>
      <c r="AJ4" s="30"/>
    </row>
    <row r="5" spans="3:41" x14ac:dyDescent="0.2">
      <c r="C5" s="69" t="str">
        <f>'勤務表（参照用）'!C5</f>
        <v>山下 修</v>
      </c>
      <c r="D5" s="29" t="str">
        <f>'勤務表（参照用）'!D5</f>
        <v/>
      </c>
      <c r="E5" s="29" t="str">
        <f>'勤務表（参照用）'!E5</f>
        <v/>
      </c>
      <c r="F5" s="29" t="str">
        <f>'勤務表（参照用）'!F5</f>
        <v/>
      </c>
      <c r="G5" s="29" t="str">
        <f>'勤務表（参照用）'!G5</f>
        <v/>
      </c>
      <c r="H5" s="29" t="str">
        <f>'勤務表（参照用）'!H5</f>
        <v>○</v>
      </c>
      <c r="I5" s="29" t="str">
        <f>'勤務表（参照用）'!I5</f>
        <v>●</v>
      </c>
      <c r="J5" s="29" t="str">
        <f>'勤務表（参照用）'!J5</f>
        <v/>
      </c>
      <c r="K5" s="29" t="str">
        <f>'勤務表（参照用）'!K5</f>
        <v/>
      </c>
      <c r="L5" s="29" t="str">
        <f>'勤務表（参照用）'!L5</f>
        <v/>
      </c>
      <c r="M5" s="29" t="str">
        <f>'勤務表（参照用）'!M5</f>
        <v/>
      </c>
      <c r="N5" s="29" t="str">
        <f>'勤務表（参照用）'!N5</f>
        <v/>
      </c>
      <c r="O5" s="29" t="str">
        <f>'勤務表（参照用）'!O5</f>
        <v>○</v>
      </c>
      <c r="P5" s="29" t="str">
        <f>'勤務表（参照用）'!P5</f>
        <v>●</v>
      </c>
      <c r="Q5" s="29" t="str">
        <f>'勤務表（参照用）'!Q5</f>
        <v/>
      </c>
      <c r="R5" s="29" t="str">
        <f>'勤務表（参照用）'!R5</f>
        <v/>
      </c>
      <c r="S5" s="29" t="str">
        <f>'勤務表（参照用）'!S5</f>
        <v/>
      </c>
      <c r="T5" s="29" t="str">
        <f>'勤務表（参照用）'!T5</f>
        <v/>
      </c>
      <c r="U5" s="29" t="str">
        <f>'勤務表（参照用）'!U5</f>
        <v/>
      </c>
      <c r="V5" s="29" t="str">
        <f>'勤務表（参照用）'!V5</f>
        <v>○</v>
      </c>
      <c r="W5" s="29" t="str">
        <f>'勤務表（参照用）'!W5</f>
        <v>●</v>
      </c>
      <c r="X5" s="29" t="str">
        <f>'勤務表（参照用）'!X5</f>
        <v/>
      </c>
      <c r="Y5" s="29" t="str">
        <f>'勤務表（参照用）'!Y5</f>
        <v/>
      </c>
      <c r="Z5" s="29" t="str">
        <f>'勤務表（参照用）'!Z5</f>
        <v/>
      </c>
      <c r="AA5" s="29" t="str">
        <f>'勤務表（参照用）'!AA5</f>
        <v/>
      </c>
      <c r="AB5" s="29" t="str">
        <f>'勤務表（参照用）'!AB5</f>
        <v/>
      </c>
      <c r="AC5" s="29" t="str">
        <f>'勤務表（参照用）'!AC5</f>
        <v>○</v>
      </c>
      <c r="AD5" s="29" t="str">
        <f>'勤務表（参照用）'!AD5</f>
        <v>●</v>
      </c>
      <c r="AE5" s="29" t="str">
        <f>'勤務表（参照用）'!AE5</f>
        <v/>
      </c>
      <c r="AF5" s="29" t="str">
        <f>'勤務表（参照用）'!AF5</f>
        <v/>
      </c>
      <c r="AG5" s="29" t="str">
        <f>'勤務表（参照用）'!AG5</f>
        <v/>
      </c>
      <c r="AH5" s="29" t="str">
        <f>'勤務表（参照用）'!AH5</f>
        <v/>
      </c>
      <c r="AJ5" s="28"/>
      <c r="AK5" s="30"/>
      <c r="AO5" s="64">
        <f ca="1">NOW()</f>
        <v>45720.684094328702</v>
      </c>
    </row>
    <row r="6" spans="3:41" x14ac:dyDescent="0.2">
      <c r="C6" s="69" t="str">
        <f>'勤務表（参照用）'!C6</f>
        <v>平田 恵哉</v>
      </c>
      <c r="D6" s="29" t="str">
        <f>'勤務表（参照用）'!D6</f>
        <v/>
      </c>
      <c r="E6" s="29" t="str">
        <f>'勤務表（参照用）'!E6</f>
        <v/>
      </c>
      <c r="F6" s="29" t="str">
        <f>'勤務表（参照用）'!F6</f>
        <v/>
      </c>
      <c r="G6" s="29" t="str">
        <f>'勤務表（参照用）'!G6</f>
        <v/>
      </c>
      <c r="H6" s="29" t="str">
        <f>'勤務表（参照用）'!H6</f>
        <v>／</v>
      </c>
      <c r="I6" s="29" t="str">
        <f>'勤務表（参照用）'!I6</f>
        <v>●</v>
      </c>
      <c r="J6" s="29" t="str">
        <f>'勤務表（参照用）'!J6</f>
        <v/>
      </c>
      <c r="K6" s="29" t="str">
        <f>'勤務表（参照用）'!K6</f>
        <v>当</v>
      </c>
      <c r="L6" s="29" t="str">
        <f>'勤務表（参照用）'!L6</f>
        <v>明</v>
      </c>
      <c r="M6" s="29" t="str">
        <f>'勤務表（参照用）'!M6</f>
        <v/>
      </c>
      <c r="N6" s="29" t="str">
        <f>'勤務表（参照用）'!N6</f>
        <v/>
      </c>
      <c r="O6" s="29" t="str">
        <f>'勤務表（参照用）'!O6</f>
        <v>○</v>
      </c>
      <c r="P6" s="29" t="str">
        <f>'勤務表（参照用）'!P6</f>
        <v>●</v>
      </c>
      <c r="Q6" s="29" t="str">
        <f>'勤務表（参照用）'!Q6</f>
        <v/>
      </c>
      <c r="R6" s="29" t="str">
        <f>'勤務表（参照用）'!R6</f>
        <v/>
      </c>
      <c r="S6" s="29" t="str">
        <f>'勤務表（参照用）'!S6</f>
        <v/>
      </c>
      <c r="T6" s="29" t="str">
        <f>'勤務表（参照用）'!T6</f>
        <v/>
      </c>
      <c r="U6" s="29" t="str">
        <f>'勤務表（参照用）'!U6</f>
        <v/>
      </c>
      <c r="V6" s="29" t="str">
        <f>'勤務表（参照用）'!V6</f>
        <v>／</v>
      </c>
      <c r="W6" s="29" t="str">
        <f>'勤務表（参照用）'!W6</f>
        <v>●</v>
      </c>
      <c r="X6" s="29" t="str">
        <f>'勤務表（参照用）'!X6</f>
        <v/>
      </c>
      <c r="Y6" s="29" t="str">
        <f>'勤務表（参照用）'!Y6</f>
        <v/>
      </c>
      <c r="Z6" s="29" t="str">
        <f>'勤務表（参照用）'!Z6</f>
        <v/>
      </c>
      <c r="AA6" s="29" t="str">
        <f>'勤務表（参照用）'!AA6</f>
        <v/>
      </c>
      <c r="AB6" s="29" t="str">
        <f>'勤務表（参照用）'!AB6</f>
        <v/>
      </c>
      <c r="AC6" s="29" t="str">
        <f>'勤務表（参照用）'!AC6</f>
        <v>○</v>
      </c>
      <c r="AD6" s="29" t="str">
        <f>'勤務表（参照用）'!AD6</f>
        <v/>
      </c>
      <c r="AE6" s="29" t="str">
        <f>'勤務表（参照用）'!AE6</f>
        <v/>
      </c>
      <c r="AF6" s="29" t="str">
        <f>'勤務表（参照用）'!AF6</f>
        <v>当</v>
      </c>
      <c r="AG6" s="29" t="str">
        <f>'勤務表（参照用）'!AG6</f>
        <v>明</v>
      </c>
      <c r="AH6" s="29" t="str">
        <f>'勤務表（参照用）'!AH6</f>
        <v/>
      </c>
      <c r="AJ6" s="30"/>
    </row>
    <row r="7" spans="3:41" x14ac:dyDescent="0.2">
      <c r="C7" s="69" t="str">
        <f>'勤務表（参照用）'!C7</f>
        <v>長田 弘二</v>
      </c>
      <c r="D7" s="29" t="str">
        <f>'勤務表（参照用）'!D7</f>
        <v/>
      </c>
      <c r="E7" s="29" t="str">
        <f>'勤務表（参照用）'!E7</f>
        <v/>
      </c>
      <c r="F7" s="29" t="str">
        <f>'勤務表（参照用）'!F7</f>
        <v>当</v>
      </c>
      <c r="G7" s="29" t="str">
        <f>'勤務表（参照用）'!G7</f>
        <v>明</v>
      </c>
      <c r="H7" s="29" t="str">
        <f>'勤務表（参照用）'!H7</f>
        <v>○</v>
      </c>
      <c r="I7" s="29" t="str">
        <f>'勤務表（参照用）'!I7</f>
        <v>●</v>
      </c>
      <c r="J7" s="29" t="str">
        <f>'勤務表（参照用）'!J7</f>
        <v/>
      </c>
      <c r="K7" s="29" t="str">
        <f>'勤務表（参照用）'!K7</f>
        <v/>
      </c>
      <c r="L7" s="29" t="str">
        <f>'勤務表（参照用）'!L7</f>
        <v/>
      </c>
      <c r="M7" s="29" t="str">
        <f>'勤務表（参照用）'!M7</f>
        <v/>
      </c>
      <c r="N7" s="29" t="str">
        <f>'勤務表（参照用）'!N7</f>
        <v/>
      </c>
      <c r="O7" s="29" t="str">
        <f>'勤務表（参照用）'!O7</f>
        <v>／</v>
      </c>
      <c r="P7" s="29" t="str">
        <f>'勤務表（参照用）'!P7</f>
        <v>●</v>
      </c>
      <c r="Q7" s="29" t="str">
        <f>'勤務表（参照用）'!Q7</f>
        <v/>
      </c>
      <c r="R7" s="29" t="str">
        <f>'勤務表（参照用）'!R7</f>
        <v/>
      </c>
      <c r="S7" s="29" t="str">
        <f>'勤務表（参照用）'!S7</f>
        <v/>
      </c>
      <c r="T7" s="29" t="str">
        <f>'勤務表（参照用）'!T7</f>
        <v/>
      </c>
      <c r="U7" s="29" t="str">
        <f>'勤務表（参照用）'!U7</f>
        <v/>
      </c>
      <c r="V7" s="29" t="str">
        <f>'勤務表（参照用）'!V7</f>
        <v>○</v>
      </c>
      <c r="W7" s="29" t="str">
        <f>'勤務表（参照用）'!W7</f>
        <v>●</v>
      </c>
      <c r="X7" s="29" t="str">
        <f>'勤務表（参照用）'!X7</f>
        <v>当</v>
      </c>
      <c r="Y7" s="29" t="str">
        <f>'勤務表（参照用）'!Y7</f>
        <v>明</v>
      </c>
      <c r="Z7" s="29" t="str">
        <f>'勤務表（参照用）'!Z7</f>
        <v/>
      </c>
      <c r="AA7" s="29" t="str">
        <f>'勤務表（参照用）'!AA7</f>
        <v/>
      </c>
      <c r="AB7" s="29" t="str">
        <f>'勤務表（参照用）'!AB7</f>
        <v/>
      </c>
      <c r="AC7" s="29" t="str">
        <f>'勤務表（参照用）'!AC7</f>
        <v>／</v>
      </c>
      <c r="AD7" s="29" t="str">
        <f>'勤務表（参照用）'!AD7</f>
        <v>●</v>
      </c>
      <c r="AE7" s="29" t="str">
        <f>'勤務表（参照用）'!AE7</f>
        <v/>
      </c>
      <c r="AF7" s="29" t="str">
        <f>'勤務表（参照用）'!AF7</f>
        <v/>
      </c>
      <c r="AG7" s="29" t="str">
        <f>'勤務表（参照用）'!AG7</f>
        <v/>
      </c>
      <c r="AH7" s="29" t="str">
        <f>'勤務表（参照用）'!AH7</f>
        <v/>
      </c>
      <c r="AJ7" s="28"/>
      <c r="AK7" s="30"/>
    </row>
    <row r="8" spans="3:41" x14ac:dyDescent="0.2">
      <c r="C8" s="69" t="str">
        <f>'勤務表（参照用）'!C8</f>
        <v>中井 士郎</v>
      </c>
      <c r="D8" s="29" t="str">
        <f>'勤務表（参照用）'!D8</f>
        <v/>
      </c>
      <c r="E8" s="29" t="str">
        <f>'勤務表（参照用）'!E8</f>
        <v/>
      </c>
      <c r="F8" s="29" t="str">
        <f>'勤務表（参照用）'!F8</f>
        <v/>
      </c>
      <c r="G8" s="29" t="str">
        <f>'勤務表（参照用）'!G8</f>
        <v/>
      </c>
      <c r="H8" s="29" t="str">
        <f>'勤務表（参照用）'!H8</f>
        <v>○</v>
      </c>
      <c r="I8" s="29" t="str">
        <f>'勤務表（参照用）'!I8</f>
        <v>●</v>
      </c>
      <c r="J8" s="29" t="str">
        <f>'勤務表（参照用）'!J8</f>
        <v/>
      </c>
      <c r="K8" s="29" t="str">
        <f>'勤務表（参照用）'!K8</f>
        <v/>
      </c>
      <c r="L8" s="29" t="str">
        <f>'勤務表（参照用）'!L8</f>
        <v/>
      </c>
      <c r="M8" s="29" t="str">
        <f>'勤務表（参照用）'!M8</f>
        <v/>
      </c>
      <c r="N8" s="29" t="str">
        <f>'勤務表（参照用）'!N8</f>
        <v/>
      </c>
      <c r="O8" s="29" t="str">
        <f>'勤務表（参照用）'!O8</f>
        <v>○</v>
      </c>
      <c r="P8" s="29" t="str">
        <f>'勤務表（参照用）'!P8</f>
        <v>●</v>
      </c>
      <c r="Q8" s="29" t="str">
        <f>'勤務表（参照用）'!Q8</f>
        <v/>
      </c>
      <c r="R8" s="29" t="str">
        <f>'勤務表（参照用）'!R8</f>
        <v/>
      </c>
      <c r="S8" s="29" t="str">
        <f>'勤務表（参照用）'!S8</f>
        <v/>
      </c>
      <c r="T8" s="29" t="str">
        <f>'勤務表（参照用）'!T8</f>
        <v/>
      </c>
      <c r="U8" s="29" t="str">
        <f>'勤務表（参照用）'!U8</f>
        <v/>
      </c>
      <c r="V8" s="29" t="str">
        <f>'勤務表（参照用）'!V8</f>
        <v>○</v>
      </c>
      <c r="W8" s="29" t="str">
        <f>'勤務表（参照用）'!W8</f>
        <v>●</v>
      </c>
      <c r="X8" s="29" t="str">
        <f>'勤務表（参照用）'!X8</f>
        <v/>
      </c>
      <c r="Y8" s="29" t="str">
        <f>'勤務表（参照用）'!Y8</f>
        <v/>
      </c>
      <c r="Z8" s="29" t="str">
        <f>'勤務表（参照用）'!Z8</f>
        <v/>
      </c>
      <c r="AA8" s="29" t="str">
        <f>'勤務表（参照用）'!AA8</f>
        <v/>
      </c>
      <c r="AB8" s="29" t="str">
        <f>'勤務表（参照用）'!AB8</f>
        <v/>
      </c>
      <c r="AC8" s="29" t="str">
        <f>'勤務表（参照用）'!AC8</f>
        <v>○</v>
      </c>
      <c r="AD8" s="29" t="str">
        <f>'勤務表（参照用）'!AD8</f>
        <v>●</v>
      </c>
      <c r="AE8" s="29" t="str">
        <f>'勤務表（参照用）'!AE8</f>
        <v/>
      </c>
      <c r="AF8" s="29" t="str">
        <f>'勤務表（参照用）'!AF8</f>
        <v/>
      </c>
      <c r="AG8" s="29" t="str">
        <f>'勤務表（参照用）'!AG8</f>
        <v/>
      </c>
      <c r="AH8" s="29" t="str">
        <f>'勤務表（参照用）'!AH8</f>
        <v/>
      </c>
      <c r="AJ8" s="30"/>
    </row>
    <row r="9" spans="3:41" x14ac:dyDescent="0.2">
      <c r="C9" s="69" t="str">
        <f>'勤務表（参照用）'!C9</f>
        <v>北 洋一</v>
      </c>
      <c r="D9" s="29" t="str">
        <f>'勤務表（参照用）'!D9</f>
        <v/>
      </c>
      <c r="E9" s="29" t="str">
        <f>'勤務表（参照用）'!E9</f>
        <v/>
      </c>
      <c r="F9" s="29" t="str">
        <f>'勤務表（参照用）'!F9</f>
        <v/>
      </c>
      <c r="G9" s="29" t="str">
        <f>'勤務表（参照用）'!G9</f>
        <v/>
      </c>
      <c r="H9" s="29" t="str">
        <f>'勤務表（参照用）'!H9</f>
        <v>○</v>
      </c>
      <c r="I9" s="29" t="str">
        <f>'勤務表（参照用）'!I9</f>
        <v>●</v>
      </c>
      <c r="J9" s="29" t="str">
        <f>'勤務表（参照用）'!J9</f>
        <v/>
      </c>
      <c r="K9" s="29" t="str">
        <f>'勤務表（参照用）'!K9</f>
        <v/>
      </c>
      <c r="L9" s="29" t="str">
        <f>'勤務表（参照用）'!L9</f>
        <v/>
      </c>
      <c r="M9" s="29" t="str">
        <f>'勤務表（参照用）'!M9</f>
        <v/>
      </c>
      <c r="N9" s="29" t="str">
        <f>'勤務表（参照用）'!N9</f>
        <v/>
      </c>
      <c r="O9" s="29" t="str">
        <f>'勤務表（参照用）'!O9</f>
        <v>○</v>
      </c>
      <c r="P9" s="29" t="str">
        <f>'勤務表（参照用）'!P9</f>
        <v>●</v>
      </c>
      <c r="Q9" s="29" t="str">
        <f>'勤務表（参照用）'!Q9</f>
        <v/>
      </c>
      <c r="R9" s="29" t="str">
        <f>'勤務表（参照用）'!R9</f>
        <v/>
      </c>
      <c r="S9" s="29" t="str">
        <f>'勤務表（参照用）'!S9</f>
        <v/>
      </c>
      <c r="T9" s="29" t="str">
        <f>'勤務表（参照用）'!T9</f>
        <v/>
      </c>
      <c r="U9" s="29" t="str">
        <f>'勤務表（参照用）'!U9</f>
        <v/>
      </c>
      <c r="V9" s="29" t="str">
        <f>'勤務表（参照用）'!V9</f>
        <v>○</v>
      </c>
      <c r="W9" s="29" t="str">
        <f>'勤務表（参照用）'!W9</f>
        <v>●</v>
      </c>
      <c r="X9" s="29" t="str">
        <f>'勤務表（参照用）'!X9</f>
        <v/>
      </c>
      <c r="Y9" s="29" t="str">
        <f>'勤務表（参照用）'!Y9</f>
        <v/>
      </c>
      <c r="Z9" s="29" t="str">
        <f>'勤務表（参照用）'!Z9</f>
        <v/>
      </c>
      <c r="AA9" s="29" t="str">
        <f>'勤務表（参照用）'!AA9</f>
        <v/>
      </c>
      <c r="AB9" s="29" t="str">
        <f>'勤務表（参照用）'!AB9</f>
        <v/>
      </c>
      <c r="AC9" s="29" t="str">
        <f>'勤務表（参照用）'!AC9</f>
        <v>○</v>
      </c>
      <c r="AD9" s="29" t="str">
        <f>'勤務表（参照用）'!AD9</f>
        <v>●</v>
      </c>
      <c r="AE9" s="29" t="str">
        <f>'勤務表（参照用）'!AE9</f>
        <v/>
      </c>
      <c r="AF9" s="29" t="str">
        <f>'勤務表（参照用）'!AF9</f>
        <v/>
      </c>
      <c r="AG9" s="29" t="str">
        <f>'勤務表（参照用）'!AG9</f>
        <v/>
      </c>
      <c r="AH9" s="29" t="str">
        <f>'勤務表（参照用）'!AH9</f>
        <v/>
      </c>
      <c r="AJ9" s="28"/>
      <c r="AK9" s="30"/>
    </row>
    <row r="10" spans="3:41" x14ac:dyDescent="0.2">
      <c r="C10" s="69" t="str">
        <f>'勤務表（参照用）'!C10</f>
        <v>中村 映水</v>
      </c>
      <c r="D10" s="29" t="str">
        <f>'勤務表（参照用）'!D10</f>
        <v/>
      </c>
      <c r="E10" s="29" t="str">
        <f>'勤務表（参照用）'!E10</f>
        <v/>
      </c>
      <c r="F10" s="29" t="str">
        <f>'勤務表（参照用）'!F10</f>
        <v/>
      </c>
      <c r="G10" s="29" t="str">
        <f>'勤務表（参照用）'!G10</f>
        <v/>
      </c>
      <c r="H10" s="29" t="str">
        <f>'勤務表（参照用）'!H10</f>
        <v>○</v>
      </c>
      <c r="I10" s="29" t="str">
        <f>'勤務表（参照用）'!I10</f>
        <v>●</v>
      </c>
      <c r="J10" s="29" t="str">
        <f>'勤務表（参照用）'!J10</f>
        <v/>
      </c>
      <c r="K10" s="29" t="str">
        <f>'勤務表（参照用）'!K10</f>
        <v/>
      </c>
      <c r="L10" s="29" t="str">
        <f>'勤務表（参照用）'!L10</f>
        <v/>
      </c>
      <c r="M10" s="29" t="str">
        <f>'勤務表（参照用）'!M10</f>
        <v/>
      </c>
      <c r="N10" s="29" t="str">
        <f>'勤務表（参照用）'!N10</f>
        <v/>
      </c>
      <c r="O10" s="29" t="str">
        <f>'勤務表（参照用）'!O10</f>
        <v>○</v>
      </c>
      <c r="P10" s="29" t="str">
        <f>'勤務表（参照用）'!P10</f>
        <v>●</v>
      </c>
      <c r="Q10" s="29" t="str">
        <f>'勤務表（参照用）'!Q10</f>
        <v/>
      </c>
      <c r="R10" s="29" t="str">
        <f>'勤務表（参照用）'!R10</f>
        <v/>
      </c>
      <c r="S10" s="29" t="str">
        <f>'勤務表（参照用）'!S10</f>
        <v/>
      </c>
      <c r="T10" s="29" t="str">
        <f>'勤務表（参照用）'!T10</f>
        <v/>
      </c>
      <c r="U10" s="29" t="str">
        <f>'勤務表（参照用）'!U10</f>
        <v/>
      </c>
      <c r="V10" s="29" t="str">
        <f>'勤務表（参照用）'!V10</f>
        <v>○</v>
      </c>
      <c r="W10" s="29" t="str">
        <f>'勤務表（参照用）'!W10</f>
        <v>●</v>
      </c>
      <c r="X10" s="29" t="str">
        <f>'勤務表（参照用）'!X10</f>
        <v/>
      </c>
      <c r="Y10" s="29" t="str">
        <f>'勤務表（参照用）'!Y10</f>
        <v/>
      </c>
      <c r="Z10" s="29" t="str">
        <f>'勤務表（参照用）'!Z10</f>
        <v/>
      </c>
      <c r="AA10" s="29" t="str">
        <f>'勤務表（参照用）'!AA10</f>
        <v/>
      </c>
      <c r="AB10" s="29" t="str">
        <f>'勤務表（参照用）'!AB10</f>
        <v/>
      </c>
      <c r="AC10" s="29" t="str">
        <f>'勤務表（参照用）'!AC10</f>
        <v>○</v>
      </c>
      <c r="AD10" s="29" t="str">
        <f>'勤務表（参照用）'!AD10</f>
        <v>●</v>
      </c>
      <c r="AE10" s="29" t="str">
        <f>'勤務表（参照用）'!AE10</f>
        <v/>
      </c>
      <c r="AF10" s="29" t="str">
        <f>'勤務表（参照用）'!AF10</f>
        <v/>
      </c>
      <c r="AG10" s="29" t="str">
        <f>'勤務表（参照用）'!AG10</f>
        <v/>
      </c>
      <c r="AH10" s="29" t="str">
        <f>'勤務表（参照用）'!AH10</f>
        <v/>
      </c>
      <c r="AJ10" s="30"/>
    </row>
    <row r="11" spans="3:41" x14ac:dyDescent="0.2">
      <c r="C11" s="69" t="str">
        <f>'勤務表（参照用）'!C11</f>
        <v>平田 真奈美</v>
      </c>
      <c r="D11" s="29" t="str">
        <f>'勤務表（参照用）'!D11</f>
        <v/>
      </c>
      <c r="E11" s="29" t="str">
        <f>'勤務表（参照用）'!E11</f>
        <v/>
      </c>
      <c r="F11" s="29" t="str">
        <f>'勤務表（参照用）'!F11</f>
        <v/>
      </c>
      <c r="G11" s="29" t="str">
        <f>'勤務表（参照用）'!G11</f>
        <v/>
      </c>
      <c r="H11" s="29" t="str">
        <f>'勤務表（参照用）'!H11</f>
        <v>○</v>
      </c>
      <c r="I11" s="29" t="str">
        <f>'勤務表（参照用）'!I11</f>
        <v>●</v>
      </c>
      <c r="J11" s="29" t="str">
        <f>'勤務表（参照用）'!J11</f>
        <v/>
      </c>
      <c r="K11" s="29" t="str">
        <f>'勤務表（参照用）'!K11</f>
        <v/>
      </c>
      <c r="L11" s="29" t="str">
        <f>'勤務表（参照用）'!L11</f>
        <v/>
      </c>
      <c r="M11" s="29" t="str">
        <f>'勤務表（参照用）'!M11</f>
        <v/>
      </c>
      <c r="N11" s="29" t="str">
        <f>'勤務表（参照用）'!N11</f>
        <v/>
      </c>
      <c r="O11" s="29" t="str">
        <f>'勤務表（参照用）'!O11</f>
        <v>○</v>
      </c>
      <c r="P11" s="29" t="str">
        <f>'勤務表（参照用）'!P11</f>
        <v>●</v>
      </c>
      <c r="Q11" s="29" t="str">
        <f>'勤務表（参照用）'!Q11</f>
        <v/>
      </c>
      <c r="R11" s="29" t="str">
        <f>'勤務表（参照用）'!R11</f>
        <v/>
      </c>
      <c r="S11" s="29" t="str">
        <f>'勤務表（参照用）'!S11</f>
        <v/>
      </c>
      <c r="T11" s="29" t="str">
        <f>'勤務表（参照用）'!T11</f>
        <v/>
      </c>
      <c r="U11" s="29" t="str">
        <f>'勤務表（参照用）'!U11</f>
        <v/>
      </c>
      <c r="V11" s="29" t="str">
        <f>'勤務表（参照用）'!V11</f>
        <v>○</v>
      </c>
      <c r="W11" s="29" t="str">
        <f>'勤務表（参照用）'!W11</f>
        <v>●</v>
      </c>
      <c r="X11" s="29" t="str">
        <f>'勤務表（参照用）'!X11</f>
        <v/>
      </c>
      <c r="Y11" s="29" t="str">
        <f>'勤務表（参照用）'!Y11</f>
        <v/>
      </c>
      <c r="Z11" s="29" t="str">
        <f>'勤務表（参照用）'!Z11</f>
        <v/>
      </c>
      <c r="AA11" s="29" t="str">
        <f>'勤務表（参照用）'!AA11</f>
        <v/>
      </c>
      <c r="AB11" s="29" t="str">
        <f>'勤務表（参照用）'!AB11</f>
        <v/>
      </c>
      <c r="AC11" s="29" t="str">
        <f>'勤務表（参照用）'!AC11</f>
        <v>○</v>
      </c>
      <c r="AD11" s="29" t="str">
        <f>'勤務表（参照用）'!AD11</f>
        <v>●</v>
      </c>
      <c r="AE11" s="29" t="str">
        <f>'勤務表（参照用）'!AE11</f>
        <v/>
      </c>
      <c r="AF11" s="29" t="str">
        <f>'勤務表（参照用）'!AF11</f>
        <v/>
      </c>
      <c r="AG11" s="29" t="str">
        <f>'勤務表（参照用）'!AG11</f>
        <v/>
      </c>
      <c r="AH11" s="29" t="str">
        <f>'勤務表（参照用）'!AH11</f>
        <v/>
      </c>
      <c r="AJ11" s="28"/>
      <c r="AK11" s="30"/>
    </row>
    <row r="12" spans="3:41" x14ac:dyDescent="0.2">
      <c r="C12" s="69" t="str">
        <f>'勤務表（参照用）'!C12</f>
        <v>大橋 効</v>
      </c>
      <c r="D12" s="29" t="str">
        <f>'勤務表（参照用）'!D12</f>
        <v/>
      </c>
      <c r="E12" s="29" t="str">
        <f>'勤務表（参照用）'!E12</f>
        <v/>
      </c>
      <c r="F12" s="29" t="str">
        <f>'勤務表（参照用）'!F12</f>
        <v/>
      </c>
      <c r="G12" s="29" t="str">
        <f>'勤務表（参照用）'!G12</f>
        <v/>
      </c>
      <c r="H12" s="29" t="str">
        <f>'勤務表（参照用）'!H12</f>
        <v>○</v>
      </c>
      <c r="I12" s="29" t="str">
        <f>'勤務表（参照用）'!I12</f>
        <v>当</v>
      </c>
      <c r="J12" s="29" t="str">
        <f>'勤務表（参照用）'!J12</f>
        <v>明</v>
      </c>
      <c r="K12" s="29" t="str">
        <f>'勤務表（参照用）'!K12</f>
        <v>●</v>
      </c>
      <c r="L12" s="29" t="str">
        <f>'勤務表（参照用）'!L12</f>
        <v/>
      </c>
      <c r="M12" s="29" t="str">
        <f>'勤務表（参照用）'!M12</f>
        <v/>
      </c>
      <c r="N12" s="29" t="str">
        <f>'勤務表（参照用）'!N12</f>
        <v>当</v>
      </c>
      <c r="O12" s="29" t="str">
        <f>'勤務表（参照用）'!O12</f>
        <v>明</v>
      </c>
      <c r="P12" s="29" t="str">
        <f>'勤務表（参照用）'!P12</f>
        <v>●</v>
      </c>
      <c r="Q12" s="29" t="str">
        <f>'勤務表（参照用）'!Q12</f>
        <v/>
      </c>
      <c r="R12" s="29" t="str">
        <f>'勤務表（参照用）'!R12</f>
        <v/>
      </c>
      <c r="S12" s="29" t="str">
        <f>'勤務表（参照用）'!S12</f>
        <v/>
      </c>
      <c r="T12" s="29" t="str">
        <f>'勤務表（参照用）'!T12</f>
        <v/>
      </c>
      <c r="U12" s="29" t="str">
        <f>'勤務表（参照用）'!U12</f>
        <v/>
      </c>
      <c r="V12" s="29" t="str">
        <f>'勤務表（参照用）'!V12</f>
        <v>○</v>
      </c>
      <c r="W12" s="29" t="str">
        <f>'勤務表（参照用）'!W12</f>
        <v>●</v>
      </c>
      <c r="X12" s="29" t="str">
        <f>'勤務表（参照用）'!X12</f>
        <v/>
      </c>
      <c r="Y12" s="29" t="str">
        <f>'勤務表（参照用）'!Y12</f>
        <v/>
      </c>
      <c r="Z12" s="29" t="str">
        <f>'勤務表（参照用）'!Z12</f>
        <v/>
      </c>
      <c r="AA12" s="29" t="str">
        <f>'勤務表（参照用）'!AA12</f>
        <v/>
      </c>
      <c r="AB12" s="29" t="str">
        <f>'勤務表（参照用）'!AB12</f>
        <v>当</v>
      </c>
      <c r="AC12" s="29" t="str">
        <f>'勤務表（参照用）'!AC12</f>
        <v>明</v>
      </c>
      <c r="AD12" s="29" t="str">
        <f>'勤務表（参照用）'!AD12</f>
        <v>●</v>
      </c>
      <c r="AE12" s="29" t="str">
        <f>'勤務表（参照用）'!AE12</f>
        <v/>
      </c>
      <c r="AF12" s="29" t="str">
        <f>'勤務表（参照用）'!AF12</f>
        <v/>
      </c>
      <c r="AG12" s="29" t="str">
        <f>'勤務表（参照用）'!AG12</f>
        <v/>
      </c>
      <c r="AH12" s="29" t="str">
        <f>'勤務表（参照用）'!AH12</f>
        <v/>
      </c>
      <c r="AJ12" s="30"/>
    </row>
    <row r="13" spans="3:41" x14ac:dyDescent="0.2">
      <c r="C13" s="69" t="str">
        <f>'勤務表（参照用）'!C13</f>
        <v>山本 浩之</v>
      </c>
      <c r="D13" s="29" t="str">
        <f>'勤務表（参照用）'!D13</f>
        <v/>
      </c>
      <c r="E13" s="29" t="str">
        <f>'勤務表（参照用）'!E13</f>
        <v/>
      </c>
      <c r="F13" s="29" t="str">
        <f>'勤務表（参照用）'!F13</f>
        <v/>
      </c>
      <c r="G13" s="29" t="str">
        <f>'勤務表（参照用）'!G13</f>
        <v/>
      </c>
      <c r="H13" s="29" t="str">
        <f>'勤務表（参照用）'!H13</f>
        <v>／</v>
      </c>
      <c r="I13" s="29" t="str">
        <f>'勤務表（参照用）'!I13</f>
        <v>●</v>
      </c>
      <c r="J13" s="29" t="str">
        <f>'勤務表（参照用）'!J13</f>
        <v/>
      </c>
      <c r="K13" s="29" t="str">
        <f>'勤務表（参照用）'!K13</f>
        <v/>
      </c>
      <c r="L13" s="29" t="str">
        <f>'勤務表（参照用）'!L13</f>
        <v/>
      </c>
      <c r="M13" s="29" t="str">
        <f>'勤務表（参照用）'!M13</f>
        <v>当</v>
      </c>
      <c r="N13" s="29" t="str">
        <f>'勤務表（参照用）'!N13</f>
        <v>明</v>
      </c>
      <c r="O13" s="29" t="str">
        <f>'勤務表（参照用）'!O13</f>
        <v>○</v>
      </c>
      <c r="P13" s="29" t="str">
        <f>'勤務表（参照用）'!P13</f>
        <v>●</v>
      </c>
      <c r="Q13" s="29" t="str">
        <f>'勤務表（参照用）'!Q13</f>
        <v/>
      </c>
      <c r="R13" s="29" t="str">
        <f>'勤務表（参照用）'!R13</f>
        <v/>
      </c>
      <c r="S13" s="29" t="str">
        <f>'勤務表（参照用）'!S13</f>
        <v/>
      </c>
      <c r="T13" s="29" t="str">
        <f>'勤務表（参照用）'!T13</f>
        <v/>
      </c>
      <c r="U13" s="29" t="str">
        <f>'勤務表（参照用）'!U13</f>
        <v/>
      </c>
      <c r="V13" s="29" t="str">
        <f>'勤務表（参照用）'!V13</f>
        <v>／</v>
      </c>
      <c r="W13" s="29" t="str">
        <f>'勤務表（参照用）'!W13</f>
        <v>●</v>
      </c>
      <c r="X13" s="29" t="str">
        <f>'勤務表（参照用）'!X13</f>
        <v/>
      </c>
      <c r="Y13" s="29" t="str">
        <f>'勤務表（参照用）'!Y13</f>
        <v/>
      </c>
      <c r="Z13" s="29" t="str">
        <f>'勤務表（参照用）'!Z13</f>
        <v>当</v>
      </c>
      <c r="AA13" s="29" t="str">
        <f>'勤務表（参照用）'!AA13</f>
        <v>明</v>
      </c>
      <c r="AB13" s="29" t="str">
        <f>'勤務表（参照用）'!AB13</f>
        <v/>
      </c>
      <c r="AC13" s="29" t="str">
        <f>'勤務表（参照用）'!AC13</f>
        <v>○</v>
      </c>
      <c r="AD13" s="29" t="str">
        <f>'勤務表（参照用）'!AD13</f>
        <v>●</v>
      </c>
      <c r="AE13" s="29" t="str">
        <f>'勤務表（参照用）'!AE13</f>
        <v/>
      </c>
      <c r="AF13" s="29" t="str">
        <f>'勤務表（参照用）'!AF13</f>
        <v/>
      </c>
      <c r="AG13" s="29" t="str">
        <f>'勤務表（参照用）'!AG13</f>
        <v/>
      </c>
      <c r="AH13" s="29" t="str">
        <f>'勤務表（参照用）'!AH13</f>
        <v/>
      </c>
      <c r="AJ13" s="28"/>
      <c r="AK13" s="30"/>
    </row>
    <row r="14" spans="3:41" x14ac:dyDescent="0.2">
      <c r="C14" s="69" t="str">
        <f>'勤務表（参照用）'!C14</f>
        <v>南 博之</v>
      </c>
      <c r="D14" s="29" t="str">
        <f>'勤務表（参照用）'!D14</f>
        <v/>
      </c>
      <c r="E14" s="29" t="str">
        <f>'勤務表（参照用）'!E14</f>
        <v/>
      </c>
      <c r="F14" s="29" t="str">
        <f>'勤務表（参照用）'!F14</f>
        <v/>
      </c>
      <c r="G14" s="29" t="str">
        <f>'勤務表（参照用）'!G14</f>
        <v/>
      </c>
      <c r="H14" s="29" t="str">
        <f>'勤務表（参照用）'!H14</f>
        <v>当</v>
      </c>
      <c r="I14" s="29" t="str">
        <f>'勤務表（参照用）'!I14</f>
        <v>明</v>
      </c>
      <c r="J14" s="29" t="str">
        <f>'勤務表（参照用）'!J14</f>
        <v>●</v>
      </c>
      <c r="K14" s="29" t="str">
        <f>'勤務表（参照用）'!K14</f>
        <v/>
      </c>
      <c r="L14" s="29" t="str">
        <f>'勤務表（参照用）'!L14</f>
        <v/>
      </c>
      <c r="M14" s="29" t="str">
        <f>'勤務表（参照用）'!M14</f>
        <v/>
      </c>
      <c r="N14" s="29" t="str">
        <f>'勤務表（参照用）'!N14</f>
        <v/>
      </c>
      <c r="O14" s="29" t="str">
        <f>'勤務表（参照用）'!O14</f>
        <v>○</v>
      </c>
      <c r="P14" s="29" t="str">
        <f>'勤務表（参照用）'!P14</f>
        <v>●</v>
      </c>
      <c r="Q14" s="29" t="str">
        <f>'勤務表（参照用）'!Q14</f>
        <v/>
      </c>
      <c r="R14" s="29" t="str">
        <f>'勤務表（参照用）'!R14</f>
        <v/>
      </c>
      <c r="S14" s="29" t="str">
        <f>'勤務表（参照用）'!S14</f>
        <v/>
      </c>
      <c r="T14" s="29" t="str">
        <f>'勤務表（参照用）'!T14</f>
        <v/>
      </c>
      <c r="U14" s="29" t="str">
        <f>'勤務表（参照用）'!U14</f>
        <v/>
      </c>
      <c r="V14" s="29" t="str">
        <f>'勤務表（参照用）'!V14</f>
        <v>／</v>
      </c>
      <c r="W14" s="29" t="str">
        <f>'勤務表（参照用）'!W14</f>
        <v>●</v>
      </c>
      <c r="X14" s="29" t="str">
        <f>'勤務表（参照用）'!X14</f>
        <v/>
      </c>
      <c r="Y14" s="29" t="str">
        <f>'勤務表（参照用）'!Y14</f>
        <v>当</v>
      </c>
      <c r="Z14" s="29" t="str">
        <f>'勤務表（参照用）'!Z14</f>
        <v>明</v>
      </c>
      <c r="AA14" s="29" t="str">
        <f>'勤務表（参照用）'!AA14</f>
        <v/>
      </c>
      <c r="AB14" s="29" t="str">
        <f>'勤務表（参照用）'!AB14</f>
        <v/>
      </c>
      <c r="AC14" s="29" t="str">
        <f>'勤務表（参照用）'!AC14</f>
        <v>○</v>
      </c>
      <c r="AD14" s="29" t="str">
        <f>'勤務表（参照用）'!AD14</f>
        <v>●</v>
      </c>
      <c r="AE14" s="29" t="str">
        <f>'勤務表（参照用）'!AE14</f>
        <v/>
      </c>
      <c r="AF14" s="29" t="str">
        <f>'勤務表（参照用）'!AF14</f>
        <v/>
      </c>
      <c r="AG14" s="29" t="str">
        <f>'勤務表（参照用）'!AG14</f>
        <v/>
      </c>
      <c r="AH14" s="29" t="str">
        <f>'勤務表（参照用）'!AH14</f>
        <v/>
      </c>
      <c r="AJ14" s="30"/>
    </row>
    <row r="15" spans="3:41" x14ac:dyDescent="0.2">
      <c r="C15" s="69" t="str">
        <f>'勤務表（参照用）'!C15</f>
        <v>澤野 正樹</v>
      </c>
      <c r="D15" s="29" t="str">
        <f>'勤務表（参照用）'!D15</f>
        <v/>
      </c>
      <c r="E15" s="29" t="str">
        <f>'勤務表（参照用）'!E15</f>
        <v/>
      </c>
      <c r="F15" s="29" t="str">
        <f>'勤務表（参照用）'!F15</f>
        <v/>
      </c>
      <c r="G15" s="29" t="str">
        <f>'勤務表（参照用）'!G15</f>
        <v/>
      </c>
      <c r="H15" s="29" t="str">
        <f>'勤務表（参照用）'!H15</f>
        <v>／</v>
      </c>
      <c r="I15" s="29" t="str">
        <f>'勤務表（参照用）'!I15</f>
        <v>●</v>
      </c>
      <c r="J15" s="29" t="str">
        <f>'勤務表（参照用）'!J15</f>
        <v/>
      </c>
      <c r="K15" s="29" t="str">
        <f>'勤務表（参照用）'!K15</f>
        <v/>
      </c>
      <c r="L15" s="29" t="str">
        <f>'勤務表（参照用）'!L15</f>
        <v/>
      </c>
      <c r="M15" s="29" t="str">
        <f>'勤務表（参照用）'!M15</f>
        <v/>
      </c>
      <c r="N15" s="29" t="str">
        <f>'勤務表（参照用）'!N15</f>
        <v/>
      </c>
      <c r="O15" s="29" t="str">
        <f>'勤務表（参照用）'!O15</f>
        <v>○</v>
      </c>
      <c r="P15" s="29" t="str">
        <f>'勤務表（参照用）'!P15</f>
        <v/>
      </c>
      <c r="Q15" s="29" t="str">
        <f>'勤務表（参照用）'!Q15</f>
        <v>当</v>
      </c>
      <c r="R15" s="29" t="str">
        <f>'勤務表（参照用）'!R15</f>
        <v>明</v>
      </c>
      <c r="S15" s="29" t="str">
        <f>'勤務表（参照用）'!S15</f>
        <v/>
      </c>
      <c r="T15" s="29" t="str">
        <f>'勤務表（参照用）'!T15</f>
        <v/>
      </c>
      <c r="U15" s="29" t="str">
        <f>'勤務表（参照用）'!U15</f>
        <v/>
      </c>
      <c r="V15" s="29" t="str">
        <f>'勤務表（参照用）'!V15</f>
        <v>当</v>
      </c>
      <c r="W15" s="29" t="str">
        <f>'勤務表（参照用）'!W15</f>
        <v>明</v>
      </c>
      <c r="X15" s="29" t="str">
        <f>'勤務表（参照用）'!X15</f>
        <v>●</v>
      </c>
      <c r="Y15" s="29" t="str">
        <f>'勤務表（参照用）'!Y15</f>
        <v/>
      </c>
      <c r="Z15" s="29" t="str">
        <f>'勤務表（参照用）'!Z15</f>
        <v/>
      </c>
      <c r="AA15" s="29" t="str">
        <f>'勤務表（参照用）'!AA15</f>
        <v/>
      </c>
      <c r="AB15" s="29" t="str">
        <f>'勤務表（参照用）'!AB15</f>
        <v/>
      </c>
      <c r="AC15" s="29" t="str">
        <f>'勤務表（参照用）'!AC15</f>
        <v>○</v>
      </c>
      <c r="AD15" s="29" t="str">
        <f>'勤務表（参照用）'!AD15</f>
        <v>●</v>
      </c>
      <c r="AE15" s="29" t="str">
        <f>'勤務表（参照用）'!AE15</f>
        <v/>
      </c>
      <c r="AF15" s="29" t="str">
        <f>'勤務表（参照用）'!AF15</f>
        <v/>
      </c>
      <c r="AG15" s="29" t="str">
        <f>'勤務表（参照用）'!AG15</f>
        <v/>
      </c>
      <c r="AH15" s="29" t="str">
        <f>'勤務表（参照用）'!AH15</f>
        <v/>
      </c>
      <c r="AJ15" s="28"/>
      <c r="AK15" s="30"/>
    </row>
    <row r="16" spans="3:41" x14ac:dyDescent="0.2">
      <c r="C16" s="69" t="str">
        <f>'勤務表（参照用）'!C16</f>
        <v>清水 和弥</v>
      </c>
      <c r="D16" s="29" t="str">
        <f>'勤務表（参照用）'!D16</f>
        <v/>
      </c>
      <c r="E16" s="29" t="str">
        <f>'勤務表（参照用）'!E16</f>
        <v/>
      </c>
      <c r="F16" s="29" t="str">
        <f>'勤務表（参照用）'!F16</f>
        <v/>
      </c>
      <c r="G16" s="29" t="str">
        <f>'勤務表（参照用）'!G16</f>
        <v/>
      </c>
      <c r="H16" s="29" t="str">
        <f>'勤務表（参照用）'!H16</f>
        <v>○</v>
      </c>
      <c r="I16" s="29" t="str">
        <f>'勤務表（参照用）'!I16</f>
        <v>●</v>
      </c>
      <c r="J16" s="29" t="str">
        <f>'勤務表（参照用）'!J16</f>
        <v/>
      </c>
      <c r="K16" s="29" t="str">
        <f>'勤務表（参照用）'!K16</f>
        <v/>
      </c>
      <c r="L16" s="29" t="str">
        <f>'勤務表（参照用）'!L16</f>
        <v/>
      </c>
      <c r="M16" s="29" t="str">
        <f>'勤務表（参照用）'!M16</f>
        <v/>
      </c>
      <c r="N16" s="29" t="str">
        <f>'勤務表（参照用）'!N16</f>
        <v/>
      </c>
      <c r="O16" s="29" t="str">
        <f>'勤務表（参照用）'!O16</f>
        <v>○</v>
      </c>
      <c r="P16" s="29" t="str">
        <f>'勤務表（参照用）'!P16</f>
        <v>●</v>
      </c>
      <c r="Q16" s="29" t="str">
        <f>'勤務表（参照用）'!Q16</f>
        <v/>
      </c>
      <c r="R16" s="29" t="str">
        <f>'勤務表（参照用）'!R16</f>
        <v/>
      </c>
      <c r="S16" s="29" t="str">
        <f>'勤務表（参照用）'!S16</f>
        <v/>
      </c>
      <c r="T16" s="29" t="str">
        <f>'勤務表（参照用）'!T16</f>
        <v/>
      </c>
      <c r="U16" s="29" t="str">
        <f>'勤務表（参照用）'!U16</f>
        <v/>
      </c>
      <c r="V16" s="29" t="str">
        <f>'勤務表（参照用）'!V16</f>
        <v>○</v>
      </c>
      <c r="W16" s="29" t="str">
        <f>'勤務表（参照用）'!W16</f>
        <v>●</v>
      </c>
      <c r="X16" s="29" t="str">
        <f>'勤務表（参照用）'!X16</f>
        <v/>
      </c>
      <c r="Y16" s="29" t="str">
        <f>'勤務表（参照用）'!Y16</f>
        <v/>
      </c>
      <c r="Z16" s="29" t="str">
        <f>'勤務表（参照用）'!Z16</f>
        <v/>
      </c>
      <c r="AA16" s="29" t="str">
        <f>'勤務表（参照用）'!AA16</f>
        <v/>
      </c>
      <c r="AB16" s="29" t="str">
        <f>'勤務表（参照用）'!AB16</f>
        <v/>
      </c>
      <c r="AC16" s="29" t="str">
        <f>'勤務表（参照用）'!AC16</f>
        <v>○</v>
      </c>
      <c r="AD16" s="29" t="str">
        <f>'勤務表（参照用）'!AD16</f>
        <v>●</v>
      </c>
      <c r="AE16" s="29" t="str">
        <f>'勤務表（参照用）'!AE16</f>
        <v/>
      </c>
      <c r="AF16" s="29" t="str">
        <f>'勤務表（参照用）'!AF16</f>
        <v/>
      </c>
      <c r="AG16" s="29" t="str">
        <f>'勤務表（参照用）'!AG16</f>
        <v/>
      </c>
      <c r="AH16" s="29" t="str">
        <f>'勤務表（参照用）'!AH16</f>
        <v/>
      </c>
      <c r="AJ16" s="30"/>
    </row>
    <row r="17" spans="3:37" x14ac:dyDescent="0.2">
      <c r="C17" s="69" t="str">
        <f>'勤務表（参照用）'!C17</f>
        <v>坪野 寿恵</v>
      </c>
      <c r="D17" s="29" t="str">
        <f>'勤務表（参照用）'!D17</f>
        <v/>
      </c>
      <c r="E17" s="29" t="str">
        <f>'勤務表（参照用）'!E17</f>
        <v/>
      </c>
      <c r="F17" s="29" t="str">
        <f>'勤務表（参照用）'!F17</f>
        <v/>
      </c>
      <c r="G17" s="29" t="str">
        <f>'勤務表（参照用）'!G17</f>
        <v/>
      </c>
      <c r="H17" s="29" t="str">
        <f>'勤務表（参照用）'!H17</f>
        <v>○</v>
      </c>
      <c r="I17" s="29" t="str">
        <f>'勤務表（参照用）'!I17</f>
        <v>●</v>
      </c>
      <c r="J17" s="29" t="str">
        <f>'勤務表（参照用）'!J17</f>
        <v/>
      </c>
      <c r="K17" s="29" t="str">
        <f>'勤務表（参照用）'!K17</f>
        <v/>
      </c>
      <c r="L17" s="29" t="str">
        <f>'勤務表（参照用）'!L17</f>
        <v/>
      </c>
      <c r="M17" s="29" t="str">
        <f>'勤務表（参照用）'!M17</f>
        <v/>
      </c>
      <c r="N17" s="29" t="str">
        <f>'勤務表（参照用）'!N17</f>
        <v/>
      </c>
      <c r="O17" s="29" t="str">
        <f>'勤務表（参照用）'!O17</f>
        <v>○</v>
      </c>
      <c r="P17" s="29" t="str">
        <f>'勤務表（参照用）'!P17</f>
        <v>●</v>
      </c>
      <c r="Q17" s="29" t="str">
        <f>'勤務表（参照用）'!Q17</f>
        <v/>
      </c>
      <c r="R17" s="29" t="str">
        <f>'勤務表（参照用）'!R17</f>
        <v/>
      </c>
      <c r="S17" s="29" t="str">
        <f>'勤務表（参照用）'!S17</f>
        <v/>
      </c>
      <c r="T17" s="29" t="str">
        <f>'勤務表（参照用）'!T17</f>
        <v/>
      </c>
      <c r="U17" s="29" t="str">
        <f>'勤務表（参照用）'!U17</f>
        <v/>
      </c>
      <c r="V17" s="29" t="str">
        <f>'勤務表（参照用）'!V17</f>
        <v>○</v>
      </c>
      <c r="W17" s="29" t="str">
        <f>'勤務表（参照用）'!W17</f>
        <v>●</v>
      </c>
      <c r="X17" s="29" t="str">
        <f>'勤務表（参照用）'!X17</f>
        <v/>
      </c>
      <c r="Y17" s="29" t="str">
        <f>'勤務表（参照用）'!Y17</f>
        <v/>
      </c>
      <c r="Z17" s="29" t="str">
        <f>'勤務表（参照用）'!Z17</f>
        <v/>
      </c>
      <c r="AA17" s="29" t="str">
        <f>'勤務表（参照用）'!AA17</f>
        <v/>
      </c>
      <c r="AB17" s="29" t="str">
        <f>'勤務表（参照用）'!AB17</f>
        <v/>
      </c>
      <c r="AC17" s="29" t="str">
        <f>'勤務表（参照用）'!AC17</f>
        <v>○</v>
      </c>
      <c r="AD17" s="29" t="str">
        <f>'勤務表（参照用）'!AD17</f>
        <v>●</v>
      </c>
      <c r="AE17" s="29" t="str">
        <f>'勤務表（参照用）'!AE17</f>
        <v/>
      </c>
      <c r="AF17" s="29" t="str">
        <f>'勤務表（参照用）'!AF17</f>
        <v/>
      </c>
      <c r="AG17" s="29" t="str">
        <f>'勤務表（参照用）'!AG17</f>
        <v/>
      </c>
      <c r="AH17" s="29" t="str">
        <f>'勤務表（参照用）'!AH17</f>
        <v/>
      </c>
      <c r="AJ17" s="28"/>
      <c r="AK17" s="30"/>
    </row>
    <row r="18" spans="3:37" x14ac:dyDescent="0.2">
      <c r="C18" s="69" t="str">
        <f>'勤務表（参照用）'!C18</f>
        <v>山田 正則</v>
      </c>
      <c r="D18" s="29" t="str">
        <f>'勤務表（参照用）'!D18</f>
        <v/>
      </c>
      <c r="E18" s="29" t="str">
        <f>'勤務表（参照用）'!E18</f>
        <v/>
      </c>
      <c r="F18" s="29" t="str">
        <f>'勤務表（参照用）'!F18</f>
        <v/>
      </c>
      <c r="G18" s="29" t="str">
        <f>'勤務表（参照用）'!G18</f>
        <v/>
      </c>
      <c r="H18" s="29" t="str">
        <f>'勤務表（参照用）'!H18</f>
        <v>／</v>
      </c>
      <c r="I18" s="29" t="str">
        <f>'勤務表（参照用）'!I18</f>
        <v>●</v>
      </c>
      <c r="J18" s="29" t="str">
        <f>'勤務表（参照用）'!J18</f>
        <v/>
      </c>
      <c r="K18" s="29" t="str">
        <f>'勤務表（参照用）'!K18</f>
        <v/>
      </c>
      <c r="L18" s="29" t="str">
        <f>'勤務表（参照用）'!L18</f>
        <v/>
      </c>
      <c r="M18" s="29" t="str">
        <f>'勤務表（参照用）'!M18</f>
        <v/>
      </c>
      <c r="N18" s="29" t="str">
        <f>'勤務表（参照用）'!N18</f>
        <v/>
      </c>
      <c r="O18" s="29" t="str">
        <f>'勤務表（参照用）'!O18</f>
        <v>○</v>
      </c>
      <c r="P18" s="29" t="str">
        <f>'勤務表（参照用）'!P18</f>
        <v>当</v>
      </c>
      <c r="Q18" s="29" t="str">
        <f>'勤務表（参照用）'!Q18</f>
        <v>明</v>
      </c>
      <c r="R18" s="29" t="str">
        <f>'勤務表（参照用）'!R18</f>
        <v>●</v>
      </c>
      <c r="S18" s="29" t="str">
        <f>'勤務表（参照用）'!S18</f>
        <v/>
      </c>
      <c r="T18" s="29" t="str">
        <f>'勤務表（参照用）'!T18</f>
        <v/>
      </c>
      <c r="U18" s="29" t="str">
        <f>'勤務表（参照用）'!U18</f>
        <v/>
      </c>
      <c r="V18" s="29" t="str">
        <f>'勤務表（参照用）'!V18</f>
        <v>／</v>
      </c>
      <c r="W18" s="29" t="str">
        <f>'勤務表（参照用）'!W18</f>
        <v>●</v>
      </c>
      <c r="X18" s="29" t="str">
        <f>'勤務表（参照用）'!X18</f>
        <v/>
      </c>
      <c r="Y18" s="29" t="str">
        <f>'勤務表（参照用）'!Y18</f>
        <v/>
      </c>
      <c r="Z18" s="29" t="str">
        <f>'勤務表（参照用）'!Z18</f>
        <v/>
      </c>
      <c r="AA18" s="29" t="str">
        <f>'勤務表（参照用）'!AA18</f>
        <v/>
      </c>
      <c r="AB18" s="29" t="str">
        <f>'勤務表（参照用）'!AB18</f>
        <v/>
      </c>
      <c r="AC18" s="29" t="str">
        <f>'勤務表（参照用）'!AC18</f>
        <v>○</v>
      </c>
      <c r="AD18" s="29" t="str">
        <f>'勤務表（参照用）'!AD18</f>
        <v>当</v>
      </c>
      <c r="AE18" s="29" t="str">
        <f>'勤務表（参照用）'!AE18</f>
        <v>明</v>
      </c>
      <c r="AF18" s="29" t="str">
        <f>'勤務表（参照用）'!AF18</f>
        <v>●</v>
      </c>
      <c r="AG18" s="29" t="str">
        <f>'勤務表（参照用）'!AG18</f>
        <v/>
      </c>
      <c r="AH18" s="29" t="str">
        <f>'勤務表（参照用）'!AH18</f>
        <v/>
      </c>
      <c r="AJ18" s="30"/>
    </row>
    <row r="19" spans="3:37" x14ac:dyDescent="0.2">
      <c r="C19" s="69" t="str">
        <f>'勤務表（参照用）'!C19</f>
        <v>林 亮子</v>
      </c>
      <c r="D19" s="29" t="str">
        <f>'勤務表（参照用）'!D19</f>
        <v/>
      </c>
      <c r="E19" s="29" t="str">
        <f>'勤務表（参照用）'!E19</f>
        <v/>
      </c>
      <c r="F19" s="29" t="str">
        <f>'勤務表（参照用）'!F19</f>
        <v/>
      </c>
      <c r="G19" s="29" t="str">
        <f>'勤務表（参照用）'!G19</f>
        <v/>
      </c>
      <c r="H19" s="29" t="str">
        <f>'勤務表（参照用）'!H19</f>
        <v>○</v>
      </c>
      <c r="I19" s="29" t="str">
        <f>'勤務表（参照用）'!I19</f>
        <v>●</v>
      </c>
      <c r="J19" s="29" t="str">
        <f>'勤務表（参照用）'!J19</f>
        <v/>
      </c>
      <c r="K19" s="29" t="str">
        <f>'勤務表（参照用）'!K19</f>
        <v/>
      </c>
      <c r="L19" s="29" t="str">
        <f>'勤務表（参照用）'!L19</f>
        <v>当</v>
      </c>
      <c r="M19" s="29" t="str">
        <f>'勤務表（参照用）'!M19</f>
        <v>明</v>
      </c>
      <c r="N19" s="29" t="str">
        <f>'勤務表（参照用）'!N19</f>
        <v/>
      </c>
      <c r="O19" s="29" t="str">
        <f>'勤務表（参照用）'!O19</f>
        <v>／</v>
      </c>
      <c r="P19" s="29" t="str">
        <f>'勤務表（参照用）'!P19</f>
        <v>●</v>
      </c>
      <c r="Q19" s="29" t="str">
        <f>'勤務表（参照用）'!Q19</f>
        <v/>
      </c>
      <c r="R19" s="29" t="str">
        <f>'勤務表（参照用）'!R19</f>
        <v/>
      </c>
      <c r="S19" s="29" t="str">
        <f>'勤務表（参照用）'!S19</f>
        <v/>
      </c>
      <c r="T19" s="29" t="str">
        <f>'勤務表（参照用）'!T19</f>
        <v/>
      </c>
      <c r="U19" s="29" t="str">
        <f>'勤務表（参照用）'!U19</f>
        <v/>
      </c>
      <c r="V19" s="29" t="str">
        <f>'勤務表（参照用）'!V19</f>
        <v>○</v>
      </c>
      <c r="W19" s="29" t="str">
        <f>'勤務表（参照用）'!W19</f>
        <v>●</v>
      </c>
      <c r="X19" s="29" t="str">
        <f>'勤務表（参照用）'!X19</f>
        <v/>
      </c>
      <c r="Y19" s="29" t="str">
        <f>'勤務表（参照用）'!Y19</f>
        <v/>
      </c>
      <c r="Z19" s="29" t="str">
        <f>'勤務表（参照用）'!Z19</f>
        <v/>
      </c>
      <c r="AA19" s="29" t="str">
        <f>'勤務表（参照用）'!AA19</f>
        <v/>
      </c>
      <c r="AB19" s="29" t="str">
        <f>'勤務表（参照用）'!AB19</f>
        <v/>
      </c>
      <c r="AC19" s="29" t="str">
        <f>'勤務表（参照用）'!AC19</f>
        <v>／</v>
      </c>
      <c r="AD19" s="29" t="str">
        <f>'勤務表（参照用）'!AD19</f>
        <v>●</v>
      </c>
      <c r="AE19" s="29" t="str">
        <f>'勤務表（参照用）'!AE19</f>
        <v/>
      </c>
      <c r="AF19" s="29" t="str">
        <f>'勤務表（参照用）'!AF19</f>
        <v/>
      </c>
      <c r="AG19" s="29" t="str">
        <f>'勤務表（参照用）'!AG19</f>
        <v>当</v>
      </c>
      <c r="AH19" s="29" t="str">
        <f>'勤務表（参照用）'!AH19</f>
        <v/>
      </c>
      <c r="AJ19" s="28"/>
      <c r="AK19" s="30"/>
    </row>
    <row r="20" spans="3:37" x14ac:dyDescent="0.2">
      <c r="C20" s="69" t="str">
        <f>'勤務表（参照用）'!C20</f>
        <v>田村 能之</v>
      </c>
      <c r="D20" s="29" t="str">
        <f>'勤務表（参照用）'!D20</f>
        <v/>
      </c>
      <c r="E20" s="29" t="str">
        <f>'勤務表（参照用）'!E20</f>
        <v/>
      </c>
      <c r="F20" s="29" t="str">
        <f>'勤務表（参照用）'!F20</f>
        <v/>
      </c>
      <c r="G20" s="29" t="str">
        <f>'勤務表（参照用）'!G20</f>
        <v/>
      </c>
      <c r="H20" s="29" t="str">
        <f>'勤務表（参照用）'!H20</f>
        <v>当</v>
      </c>
      <c r="I20" s="29" t="str">
        <f>'勤務表（参照用）'!I20</f>
        <v>明</v>
      </c>
      <c r="J20" s="29" t="str">
        <f>'勤務表（参照用）'!J20</f>
        <v>●</v>
      </c>
      <c r="K20" s="29" t="str">
        <f>'勤務表（参照用）'!K20</f>
        <v/>
      </c>
      <c r="L20" s="29" t="str">
        <f>'勤務表（参照用）'!L20</f>
        <v/>
      </c>
      <c r="M20" s="29" t="str">
        <f>'勤務表（参照用）'!M20</f>
        <v>当</v>
      </c>
      <c r="N20" s="29" t="str">
        <f>'勤務表（参照用）'!N20</f>
        <v>明</v>
      </c>
      <c r="O20" s="29" t="str">
        <f>'勤務表（参照用）'!O20</f>
        <v>○</v>
      </c>
      <c r="P20" s="29" t="str">
        <f>'勤務表（参照用）'!P20</f>
        <v>●</v>
      </c>
      <c r="Q20" s="29" t="str">
        <f>'勤務表（参照用）'!Q20</f>
        <v/>
      </c>
      <c r="R20" s="29" t="str">
        <f>'勤務表（参照用）'!R20</f>
        <v/>
      </c>
      <c r="S20" s="29" t="str">
        <f>'勤務表（参照用）'!S20</f>
        <v/>
      </c>
      <c r="T20" s="29" t="str">
        <f>'勤務表（参照用）'!T20</f>
        <v/>
      </c>
      <c r="U20" s="29" t="str">
        <f>'勤務表（参照用）'!U20</f>
        <v>当</v>
      </c>
      <c r="V20" s="29" t="str">
        <f>'勤務表（参照用）'!V20</f>
        <v>明</v>
      </c>
      <c r="W20" s="29" t="str">
        <f>'勤務表（参照用）'!W20</f>
        <v>●</v>
      </c>
      <c r="X20" s="29" t="str">
        <f>'勤務表（参照用）'!X20</f>
        <v/>
      </c>
      <c r="Y20" s="29" t="str">
        <f>'勤務表（参照用）'!Y20</f>
        <v/>
      </c>
      <c r="Z20" s="29" t="str">
        <f>'勤務表（参照用）'!Z20</f>
        <v/>
      </c>
      <c r="AA20" s="29" t="str">
        <f>'勤務表（参照用）'!AA20</f>
        <v/>
      </c>
      <c r="AB20" s="29" t="str">
        <f>'勤務表（参照用）'!AB20</f>
        <v/>
      </c>
      <c r="AC20" s="29" t="str">
        <f>'勤務表（参照用）'!AC20</f>
        <v>○</v>
      </c>
      <c r="AD20" s="29" t="str">
        <f>'勤務表（参照用）'!AD20</f>
        <v>●</v>
      </c>
      <c r="AE20" s="29" t="str">
        <f>'勤務表（参照用）'!AE20</f>
        <v/>
      </c>
      <c r="AF20" s="29" t="str">
        <f>'勤務表（参照用）'!AF20</f>
        <v>当</v>
      </c>
      <c r="AG20" s="29" t="str">
        <f>'勤務表（参照用）'!AG20</f>
        <v>明</v>
      </c>
      <c r="AH20" s="29" t="str">
        <f>'勤務表（参照用）'!AH20</f>
        <v/>
      </c>
      <c r="AJ20" s="30"/>
    </row>
    <row r="21" spans="3:37" x14ac:dyDescent="0.2">
      <c r="C21" s="69" t="str">
        <f>'勤務表（参照用）'!C21</f>
        <v>庵 緋沙子</v>
      </c>
      <c r="D21" s="29" t="str">
        <f>'勤務表（参照用）'!D21</f>
        <v/>
      </c>
      <c r="E21" s="29" t="str">
        <f>'勤務表（参照用）'!E21</f>
        <v/>
      </c>
      <c r="F21" s="29" t="str">
        <f>'勤務表（参照用）'!F21</f>
        <v/>
      </c>
      <c r="G21" s="29" t="str">
        <f>'勤務表（参照用）'!G21</f>
        <v/>
      </c>
      <c r="H21" s="29" t="str">
        <f>'勤務表（参照用）'!H21</f>
        <v>○</v>
      </c>
      <c r="I21" s="29" t="str">
        <f>'勤務表（参照用）'!I21</f>
        <v>●</v>
      </c>
      <c r="J21" s="29" t="str">
        <f>'勤務表（参照用）'!J21</f>
        <v>当</v>
      </c>
      <c r="K21" s="29" t="str">
        <f>'勤務表（参照用）'!K21</f>
        <v>明</v>
      </c>
      <c r="L21" s="29" t="str">
        <f>'勤務表（参照用）'!L21</f>
        <v/>
      </c>
      <c r="M21" s="29" t="str">
        <f>'勤務表（参照用）'!M21</f>
        <v/>
      </c>
      <c r="N21" s="29" t="str">
        <f>'勤務表（参照用）'!N21</f>
        <v/>
      </c>
      <c r="O21" s="29" t="str">
        <f>'勤務表（参照用）'!O21</f>
        <v>当</v>
      </c>
      <c r="P21" s="29" t="str">
        <f>'勤務表（参照用）'!P21</f>
        <v>明</v>
      </c>
      <c r="Q21" s="29" t="str">
        <f>'勤務表（参照用）'!Q21</f>
        <v>●</v>
      </c>
      <c r="R21" s="29" t="str">
        <f>'勤務表（参照用）'!R21</f>
        <v/>
      </c>
      <c r="S21" s="29" t="str">
        <f>'勤務表（参照用）'!S21</f>
        <v/>
      </c>
      <c r="T21" s="29" t="str">
        <f>'勤務表（参照用）'!T21</f>
        <v/>
      </c>
      <c r="U21" s="29" t="str">
        <f>'勤務表（参照用）'!U21</f>
        <v/>
      </c>
      <c r="V21" s="29" t="str">
        <f>'勤務表（参照用）'!V21</f>
        <v>○</v>
      </c>
      <c r="W21" s="29" t="str">
        <f>'勤務表（参照用）'!W21</f>
        <v>●</v>
      </c>
      <c r="X21" s="29" t="str">
        <f>'勤務表（参照用）'!X21</f>
        <v>当</v>
      </c>
      <c r="Y21" s="29" t="str">
        <f>'勤務表（参照用）'!Y21</f>
        <v>明</v>
      </c>
      <c r="Z21" s="29" t="str">
        <f>'勤務表（参照用）'!Z21</f>
        <v/>
      </c>
      <c r="AA21" s="29" t="str">
        <f>'勤務表（参照用）'!AA21</f>
        <v/>
      </c>
      <c r="AB21" s="29" t="str">
        <f>'勤務表（参照用）'!AB21</f>
        <v/>
      </c>
      <c r="AC21" s="29" t="str">
        <f>'勤務表（参照用）'!AC21</f>
        <v>／</v>
      </c>
      <c r="AD21" s="29" t="str">
        <f>'勤務表（参照用）'!AD21</f>
        <v>●</v>
      </c>
      <c r="AE21" s="29" t="str">
        <f>'勤務表（参照用）'!AE21</f>
        <v/>
      </c>
      <c r="AF21" s="29" t="str">
        <f>'勤務表（参照用）'!AF21</f>
        <v/>
      </c>
      <c r="AG21" s="29" t="str">
        <f>'勤務表（参照用）'!AG21</f>
        <v/>
      </c>
      <c r="AH21" s="29" t="str">
        <f>'勤務表（参照用）'!AH21</f>
        <v/>
      </c>
      <c r="AJ21" s="28"/>
      <c r="AK21" s="30"/>
    </row>
    <row r="22" spans="3:37" x14ac:dyDescent="0.2">
      <c r="C22" s="69" t="str">
        <f>'勤務表（参照用）'!C22</f>
        <v>冨田 紗詠子</v>
      </c>
      <c r="D22" s="29" t="str">
        <f>'勤務表（参照用）'!D22</f>
        <v/>
      </c>
      <c r="E22" s="29" t="str">
        <f>'勤務表（参照用）'!E22</f>
        <v/>
      </c>
      <c r="F22" s="29" t="str">
        <f>'勤務表（参照用）'!F22</f>
        <v/>
      </c>
      <c r="G22" s="29" t="str">
        <f>'勤務表（参照用）'!G22</f>
        <v/>
      </c>
      <c r="H22" s="29" t="str">
        <f>'勤務表（参照用）'!H22</f>
        <v>○</v>
      </c>
      <c r="I22" s="29" t="str">
        <f>'勤務表（参照用）'!I22</f>
        <v>●</v>
      </c>
      <c r="J22" s="29" t="str">
        <f>'勤務表（参照用）'!J22</f>
        <v/>
      </c>
      <c r="K22" s="29" t="str">
        <f>'勤務表（参照用）'!K22</f>
        <v/>
      </c>
      <c r="L22" s="29" t="str">
        <f>'勤務表（参照用）'!L22</f>
        <v/>
      </c>
      <c r="M22" s="29" t="str">
        <f>'勤務表（参照用）'!M22</f>
        <v/>
      </c>
      <c r="N22" s="29" t="str">
        <f>'勤務表（参照用）'!N22</f>
        <v/>
      </c>
      <c r="O22" s="29" t="str">
        <f>'勤務表（参照用）'!O22</f>
        <v>○</v>
      </c>
      <c r="P22" s="29" t="str">
        <f>'勤務表（参照用）'!P22</f>
        <v>●</v>
      </c>
      <c r="Q22" s="29" t="str">
        <f>'勤務表（参照用）'!Q22</f>
        <v/>
      </c>
      <c r="R22" s="29" t="str">
        <f>'勤務表（参照用）'!R22</f>
        <v/>
      </c>
      <c r="S22" s="29" t="str">
        <f>'勤務表（参照用）'!S22</f>
        <v/>
      </c>
      <c r="T22" s="29" t="str">
        <f>'勤務表（参照用）'!T22</f>
        <v/>
      </c>
      <c r="U22" s="29" t="str">
        <f>'勤務表（参照用）'!U22</f>
        <v/>
      </c>
      <c r="V22" s="29" t="str">
        <f>'勤務表（参照用）'!V22</f>
        <v>○</v>
      </c>
      <c r="W22" s="29" t="str">
        <f>'勤務表（参照用）'!W22</f>
        <v>●</v>
      </c>
      <c r="X22" s="29" t="str">
        <f>'勤務表（参照用）'!X22</f>
        <v/>
      </c>
      <c r="Y22" s="29" t="str">
        <f>'勤務表（参照用）'!Y22</f>
        <v/>
      </c>
      <c r="Z22" s="29" t="str">
        <f>'勤務表（参照用）'!Z22</f>
        <v/>
      </c>
      <c r="AA22" s="29" t="str">
        <f>'勤務表（参照用）'!AA22</f>
        <v/>
      </c>
      <c r="AB22" s="29" t="str">
        <f>'勤務表（参照用）'!AB22</f>
        <v/>
      </c>
      <c r="AC22" s="29" t="str">
        <f>'勤務表（参照用）'!AC22</f>
        <v>○</v>
      </c>
      <c r="AD22" s="29" t="str">
        <f>'勤務表（参照用）'!AD22</f>
        <v>●</v>
      </c>
      <c r="AE22" s="29" t="str">
        <f>'勤務表（参照用）'!AE22</f>
        <v/>
      </c>
      <c r="AF22" s="29" t="str">
        <f>'勤務表（参照用）'!AF22</f>
        <v/>
      </c>
      <c r="AG22" s="29" t="str">
        <f>'勤務表（参照用）'!AG22</f>
        <v/>
      </c>
      <c r="AH22" s="29" t="str">
        <f>'勤務表（参照用）'!AH22</f>
        <v/>
      </c>
      <c r="AJ22" s="30"/>
    </row>
    <row r="23" spans="3:37" x14ac:dyDescent="0.2">
      <c r="C23" s="69" t="str">
        <f>'勤務表（参照用）'!C23</f>
        <v>黒田 奈菜子</v>
      </c>
      <c r="D23" s="29" t="str">
        <f>'勤務表（参照用）'!D23</f>
        <v/>
      </c>
      <c r="E23" s="29" t="str">
        <f>'勤務表（参照用）'!E23</f>
        <v/>
      </c>
      <c r="F23" s="29" t="str">
        <f>'勤務表（参照用）'!F23</f>
        <v/>
      </c>
      <c r="G23" s="29" t="str">
        <f>'勤務表（参照用）'!G23</f>
        <v/>
      </c>
      <c r="H23" s="29" t="str">
        <f>'勤務表（参照用）'!H23</f>
        <v>○</v>
      </c>
      <c r="I23" s="29" t="str">
        <f>'勤務表（参照用）'!I23</f>
        <v>●</v>
      </c>
      <c r="J23" s="29" t="str">
        <f>'勤務表（参照用）'!J23</f>
        <v/>
      </c>
      <c r="K23" s="29" t="str">
        <f>'勤務表（参照用）'!K23</f>
        <v/>
      </c>
      <c r="L23" s="29" t="str">
        <f>'勤務表（参照用）'!L23</f>
        <v/>
      </c>
      <c r="M23" s="29" t="str">
        <f>'勤務表（参照用）'!M23</f>
        <v/>
      </c>
      <c r="N23" s="29" t="str">
        <f>'勤務表（参照用）'!N23</f>
        <v/>
      </c>
      <c r="O23" s="29" t="str">
        <f>'勤務表（参照用）'!O23</f>
        <v>○</v>
      </c>
      <c r="P23" s="29" t="str">
        <f>'勤務表（参照用）'!P23</f>
        <v>●</v>
      </c>
      <c r="Q23" s="29" t="str">
        <f>'勤務表（参照用）'!Q23</f>
        <v/>
      </c>
      <c r="R23" s="29" t="str">
        <f>'勤務表（参照用）'!R23</f>
        <v/>
      </c>
      <c r="S23" s="29" t="str">
        <f>'勤務表（参照用）'!S23</f>
        <v/>
      </c>
      <c r="T23" s="29" t="str">
        <f>'勤務表（参照用）'!T23</f>
        <v/>
      </c>
      <c r="U23" s="29" t="str">
        <f>'勤務表（参照用）'!U23</f>
        <v/>
      </c>
      <c r="V23" s="29" t="str">
        <f>'勤務表（参照用）'!V23</f>
        <v>○</v>
      </c>
      <c r="W23" s="29" t="str">
        <f>'勤務表（参照用）'!W23</f>
        <v>●</v>
      </c>
      <c r="X23" s="29" t="str">
        <f>'勤務表（参照用）'!X23</f>
        <v/>
      </c>
      <c r="Y23" s="29" t="str">
        <f>'勤務表（参照用）'!Y23</f>
        <v/>
      </c>
      <c r="Z23" s="29" t="str">
        <f>'勤務表（参照用）'!Z23</f>
        <v/>
      </c>
      <c r="AA23" s="29" t="str">
        <f>'勤務表（参照用）'!AA23</f>
        <v/>
      </c>
      <c r="AB23" s="29" t="str">
        <f>'勤務表（参照用）'!AB23</f>
        <v/>
      </c>
      <c r="AC23" s="29" t="str">
        <f>'勤務表（参照用）'!AC23</f>
        <v>○</v>
      </c>
      <c r="AD23" s="29" t="str">
        <f>'勤務表（参照用）'!AD23</f>
        <v>●</v>
      </c>
      <c r="AE23" s="29" t="str">
        <f>'勤務表（参照用）'!AE23</f>
        <v/>
      </c>
      <c r="AF23" s="29" t="str">
        <f>'勤務表（参照用）'!AF23</f>
        <v/>
      </c>
      <c r="AG23" s="29" t="str">
        <f>'勤務表（参照用）'!AG23</f>
        <v/>
      </c>
      <c r="AH23" s="29" t="str">
        <f>'勤務表（参照用）'!AH23</f>
        <v/>
      </c>
      <c r="AJ23" s="28"/>
      <c r="AK23" s="30"/>
    </row>
    <row r="24" spans="3:37" x14ac:dyDescent="0.2">
      <c r="C24" s="69" t="str">
        <f>'勤務表（参照用）'!C24</f>
        <v>長迫 千寛</v>
      </c>
      <c r="D24" s="29" t="str">
        <f>'勤務表（参照用）'!D24</f>
        <v/>
      </c>
      <c r="E24" s="29" t="str">
        <f>'勤務表（参照用）'!E24</f>
        <v/>
      </c>
      <c r="F24" s="29" t="str">
        <f>'勤務表（参照用）'!F24</f>
        <v/>
      </c>
      <c r="G24" s="29" t="str">
        <f>'勤務表（参照用）'!G24</f>
        <v/>
      </c>
      <c r="H24" s="29" t="str">
        <f>'勤務表（参照用）'!H24</f>
        <v>○</v>
      </c>
      <c r="I24" s="29" t="str">
        <f>'勤務表（参照用）'!I24</f>
        <v>●</v>
      </c>
      <c r="J24" s="29" t="str">
        <f>'勤務表（参照用）'!J24</f>
        <v/>
      </c>
      <c r="K24" s="29" t="str">
        <f>'勤務表（参照用）'!K24</f>
        <v/>
      </c>
      <c r="L24" s="29" t="str">
        <f>'勤務表（参照用）'!L24</f>
        <v/>
      </c>
      <c r="M24" s="29" t="str">
        <f>'勤務表（参照用）'!M24</f>
        <v/>
      </c>
      <c r="N24" s="29" t="str">
        <f>'勤務表（参照用）'!N24</f>
        <v/>
      </c>
      <c r="O24" s="29" t="str">
        <f>'勤務表（参照用）'!O24</f>
        <v>○</v>
      </c>
      <c r="P24" s="29" t="str">
        <f>'勤務表（参照用）'!P24</f>
        <v>●</v>
      </c>
      <c r="Q24" s="29" t="str">
        <f>'勤務表（参照用）'!Q24</f>
        <v/>
      </c>
      <c r="R24" s="29" t="str">
        <f>'勤務表（参照用）'!R24</f>
        <v/>
      </c>
      <c r="S24" s="29" t="str">
        <f>'勤務表（参照用）'!S24</f>
        <v/>
      </c>
      <c r="T24" s="29" t="str">
        <f>'勤務表（参照用）'!T24</f>
        <v/>
      </c>
      <c r="U24" s="29" t="str">
        <f>'勤務表（参照用）'!U24</f>
        <v/>
      </c>
      <c r="V24" s="29" t="str">
        <f>'勤務表（参照用）'!V24</f>
        <v>○</v>
      </c>
      <c r="W24" s="29" t="str">
        <f>'勤務表（参照用）'!W24</f>
        <v>●</v>
      </c>
      <c r="X24" s="29" t="str">
        <f>'勤務表（参照用）'!X24</f>
        <v/>
      </c>
      <c r="Y24" s="29" t="str">
        <f>'勤務表（参照用）'!Y24</f>
        <v/>
      </c>
      <c r="Z24" s="29" t="str">
        <f>'勤務表（参照用）'!Z24</f>
        <v/>
      </c>
      <c r="AA24" s="29" t="str">
        <f>'勤務表（参照用）'!AA24</f>
        <v/>
      </c>
      <c r="AB24" s="29" t="str">
        <f>'勤務表（参照用）'!AB24</f>
        <v/>
      </c>
      <c r="AC24" s="29" t="str">
        <f>'勤務表（参照用）'!AC24</f>
        <v>○</v>
      </c>
      <c r="AD24" s="29" t="str">
        <f>'勤務表（参照用）'!AD24</f>
        <v>●</v>
      </c>
      <c r="AE24" s="29" t="str">
        <f>'勤務表（参照用）'!AE24</f>
        <v/>
      </c>
      <c r="AF24" s="29" t="str">
        <f>'勤務表（参照用）'!AF24</f>
        <v/>
      </c>
      <c r="AG24" s="29" t="str">
        <f>'勤務表（参照用）'!AG24</f>
        <v/>
      </c>
      <c r="AH24" s="29" t="str">
        <f>'勤務表（参照用）'!AH24</f>
        <v/>
      </c>
      <c r="AJ24" s="30"/>
    </row>
    <row r="25" spans="3:37" x14ac:dyDescent="0.2">
      <c r="C25" s="69" t="str">
        <f>'勤務表（参照用）'!C25</f>
        <v>吉田 汐里</v>
      </c>
      <c r="D25" s="29" t="str">
        <f>'勤務表（参照用）'!D25</f>
        <v/>
      </c>
      <c r="E25" s="29" t="str">
        <f>'勤務表（参照用）'!E25</f>
        <v/>
      </c>
      <c r="F25" s="29" t="str">
        <f>'勤務表（参照用）'!F25</f>
        <v/>
      </c>
      <c r="G25" s="29" t="str">
        <f>'勤務表（参照用）'!G25</f>
        <v/>
      </c>
      <c r="H25" s="29" t="str">
        <f>'勤務表（参照用）'!H25</f>
        <v>○</v>
      </c>
      <c r="I25" s="29" t="str">
        <f>'勤務表（参照用）'!I25</f>
        <v>●</v>
      </c>
      <c r="J25" s="29" t="str">
        <f>'勤務表（参照用）'!J25</f>
        <v/>
      </c>
      <c r="K25" s="29" t="str">
        <f>'勤務表（参照用）'!K25</f>
        <v/>
      </c>
      <c r="L25" s="29" t="str">
        <f>'勤務表（参照用）'!L25</f>
        <v/>
      </c>
      <c r="M25" s="29" t="str">
        <f>'勤務表（参照用）'!M25</f>
        <v/>
      </c>
      <c r="N25" s="29" t="str">
        <f>'勤務表（参照用）'!N25</f>
        <v/>
      </c>
      <c r="O25" s="29" t="str">
        <f>'勤務表（参照用）'!O25</f>
        <v>○</v>
      </c>
      <c r="P25" s="29" t="str">
        <f>'勤務表（参照用）'!P25</f>
        <v>●</v>
      </c>
      <c r="Q25" s="29" t="str">
        <f>'勤務表（参照用）'!Q25</f>
        <v/>
      </c>
      <c r="R25" s="29" t="str">
        <f>'勤務表（参照用）'!R25</f>
        <v/>
      </c>
      <c r="S25" s="29" t="str">
        <f>'勤務表（参照用）'!S25</f>
        <v/>
      </c>
      <c r="T25" s="29" t="str">
        <f>'勤務表（参照用）'!T25</f>
        <v/>
      </c>
      <c r="U25" s="29" t="str">
        <f>'勤務表（参照用）'!U25</f>
        <v/>
      </c>
      <c r="V25" s="29" t="str">
        <f>'勤務表（参照用）'!V25</f>
        <v>○</v>
      </c>
      <c r="W25" s="29" t="str">
        <f>'勤務表（参照用）'!W25</f>
        <v>●</v>
      </c>
      <c r="X25" s="29" t="str">
        <f>'勤務表（参照用）'!X25</f>
        <v/>
      </c>
      <c r="Y25" s="29" t="str">
        <f>'勤務表（参照用）'!Y25</f>
        <v/>
      </c>
      <c r="Z25" s="29" t="str">
        <f>'勤務表（参照用）'!Z25</f>
        <v/>
      </c>
      <c r="AA25" s="29" t="str">
        <f>'勤務表（参照用）'!AA25</f>
        <v/>
      </c>
      <c r="AB25" s="29" t="str">
        <f>'勤務表（参照用）'!AB25</f>
        <v/>
      </c>
      <c r="AC25" s="29" t="str">
        <f>'勤務表（参照用）'!AC25</f>
        <v>○</v>
      </c>
      <c r="AD25" s="29" t="str">
        <f>'勤務表（参照用）'!AD25</f>
        <v>●</v>
      </c>
      <c r="AE25" s="29" t="str">
        <f>'勤務表（参照用）'!AE25</f>
        <v/>
      </c>
      <c r="AF25" s="29" t="str">
        <f>'勤務表（参照用）'!AF25</f>
        <v/>
      </c>
      <c r="AG25" s="29" t="str">
        <f>'勤務表（参照用）'!AG25</f>
        <v/>
      </c>
      <c r="AH25" s="29" t="str">
        <f>'勤務表（参照用）'!AH25</f>
        <v/>
      </c>
      <c r="AJ25" s="28"/>
      <c r="AK25" s="30"/>
    </row>
    <row r="26" spans="3:37" x14ac:dyDescent="0.2">
      <c r="C26" s="69" t="str">
        <f>'勤務表（参照用）'!C26</f>
        <v>齊藤 久紘</v>
      </c>
      <c r="D26" s="29" t="str">
        <f>'勤務表（参照用）'!D26</f>
        <v/>
      </c>
      <c r="E26" s="29" t="str">
        <f>'勤務表（参照用）'!E26</f>
        <v/>
      </c>
      <c r="F26" s="29" t="str">
        <f>'勤務表（参照用）'!F26</f>
        <v/>
      </c>
      <c r="G26" s="29" t="str">
        <f>'勤務表（参照用）'!G26</f>
        <v/>
      </c>
      <c r="H26" s="29" t="str">
        <f>'勤務表（参照用）'!H26</f>
        <v>○</v>
      </c>
      <c r="I26" s="29" t="str">
        <f>'勤務表（参照用）'!I26</f>
        <v>●</v>
      </c>
      <c r="J26" s="29" t="str">
        <f>'勤務表（参照用）'!J26</f>
        <v/>
      </c>
      <c r="K26" s="29" t="str">
        <f>'勤務表（参照用）'!K26</f>
        <v/>
      </c>
      <c r="L26" s="29" t="str">
        <f>'勤務表（参照用）'!L26</f>
        <v/>
      </c>
      <c r="M26" s="29" t="str">
        <f>'勤務表（参照用）'!M26</f>
        <v/>
      </c>
      <c r="N26" s="29" t="str">
        <f>'勤務表（参照用）'!N26</f>
        <v/>
      </c>
      <c r="O26" s="29" t="str">
        <f>'勤務表（参照用）'!O26</f>
        <v>○</v>
      </c>
      <c r="P26" s="29" t="str">
        <f>'勤務表（参照用）'!P26</f>
        <v>●</v>
      </c>
      <c r="Q26" s="29" t="str">
        <f>'勤務表（参照用）'!Q26</f>
        <v/>
      </c>
      <c r="R26" s="29" t="str">
        <f>'勤務表（参照用）'!R26</f>
        <v/>
      </c>
      <c r="S26" s="29" t="str">
        <f>'勤務表（参照用）'!S26</f>
        <v/>
      </c>
      <c r="T26" s="29" t="str">
        <f>'勤務表（参照用）'!T26</f>
        <v/>
      </c>
      <c r="U26" s="29" t="str">
        <f>'勤務表（参照用）'!U26</f>
        <v/>
      </c>
      <c r="V26" s="29" t="str">
        <f>'勤務表（参照用）'!V26</f>
        <v>○</v>
      </c>
      <c r="W26" s="29" t="str">
        <f>'勤務表（参照用）'!W26</f>
        <v>●</v>
      </c>
      <c r="X26" s="29" t="str">
        <f>'勤務表（参照用）'!X26</f>
        <v/>
      </c>
      <c r="Y26" s="29" t="str">
        <f>'勤務表（参照用）'!Y26</f>
        <v/>
      </c>
      <c r="Z26" s="29" t="str">
        <f>'勤務表（参照用）'!Z26</f>
        <v/>
      </c>
      <c r="AA26" s="29" t="str">
        <f>'勤務表（参照用）'!AA26</f>
        <v/>
      </c>
      <c r="AB26" s="29" t="str">
        <f>'勤務表（参照用）'!AB26</f>
        <v/>
      </c>
      <c r="AC26" s="29" t="str">
        <f>'勤務表（参照用）'!AC26</f>
        <v>○</v>
      </c>
      <c r="AD26" s="29" t="str">
        <f>'勤務表（参照用）'!AD26</f>
        <v>●</v>
      </c>
      <c r="AE26" s="29" t="str">
        <f>'勤務表（参照用）'!AE26</f>
        <v/>
      </c>
      <c r="AF26" s="29" t="str">
        <f>'勤務表（参照用）'!AF26</f>
        <v/>
      </c>
      <c r="AG26" s="29" t="str">
        <f>'勤務表（参照用）'!AG26</f>
        <v/>
      </c>
      <c r="AH26" s="29" t="str">
        <f>'勤務表（参照用）'!AH26</f>
        <v/>
      </c>
      <c r="AJ26" s="30"/>
    </row>
    <row r="27" spans="3:37" x14ac:dyDescent="0.2">
      <c r="C27" s="69" t="str">
        <f>'勤務表（参照用）'!C27</f>
        <v>佐藤 恵梨子</v>
      </c>
      <c r="D27" s="29" t="str">
        <f>'勤務表（参照用）'!D27</f>
        <v/>
      </c>
      <c r="E27" s="29" t="str">
        <f>'勤務表（参照用）'!E27</f>
        <v/>
      </c>
      <c r="F27" s="29" t="str">
        <f>'勤務表（参照用）'!F27</f>
        <v/>
      </c>
      <c r="G27" s="29" t="str">
        <f>'勤務表（参照用）'!G27</f>
        <v/>
      </c>
      <c r="H27" s="29" t="str">
        <f>'勤務表（参照用）'!H27</f>
        <v>／</v>
      </c>
      <c r="I27" s="29" t="str">
        <f>'勤務表（参照用）'!I27</f>
        <v>●</v>
      </c>
      <c r="J27" s="29" t="str">
        <f>'勤務表（参照用）'!J27</f>
        <v/>
      </c>
      <c r="K27" s="29" t="str">
        <f>'勤務表（参照用）'!K27</f>
        <v/>
      </c>
      <c r="L27" s="29" t="str">
        <f>'勤務表（参照用）'!L27</f>
        <v>当</v>
      </c>
      <c r="M27" s="29" t="str">
        <f>'勤務表（参照用）'!M27</f>
        <v>明</v>
      </c>
      <c r="N27" s="29" t="str">
        <f>'勤務表（参照用）'!N27</f>
        <v/>
      </c>
      <c r="O27" s="29" t="str">
        <f>'勤務表（参照用）'!O27</f>
        <v>○</v>
      </c>
      <c r="P27" s="29" t="str">
        <f>'勤務表（参照用）'!P27</f>
        <v>●</v>
      </c>
      <c r="Q27" s="29" t="str">
        <f>'勤務表（参照用）'!Q27</f>
        <v/>
      </c>
      <c r="R27" s="29" t="str">
        <f>'勤務表（参照用）'!R27</f>
        <v/>
      </c>
      <c r="S27" s="29" t="str">
        <f>'勤務表（参照用）'!S27</f>
        <v>当</v>
      </c>
      <c r="T27" s="29" t="str">
        <f>'勤務表（参照用）'!T27</f>
        <v>明</v>
      </c>
      <c r="U27" s="29" t="str">
        <f>'勤務表（参照用）'!U27</f>
        <v/>
      </c>
      <c r="V27" s="29" t="str">
        <f>'勤務表（参照用）'!V27</f>
        <v>／</v>
      </c>
      <c r="W27" s="29" t="str">
        <f>'勤務表（参照用）'!W27</f>
        <v>●</v>
      </c>
      <c r="X27" s="29" t="str">
        <f>'勤務表（参照用）'!X27</f>
        <v/>
      </c>
      <c r="Y27" s="29" t="str">
        <f>'勤務表（参照用）'!Y27</f>
        <v/>
      </c>
      <c r="Z27" s="29" t="str">
        <f>'勤務表（参照用）'!Z27</f>
        <v/>
      </c>
      <c r="AA27" s="29" t="str">
        <f>'勤務表（参照用）'!AA27</f>
        <v/>
      </c>
      <c r="AB27" s="29" t="str">
        <f>'勤務表（参照用）'!AB27</f>
        <v/>
      </c>
      <c r="AC27" s="29" t="str">
        <f>'勤務表（参照用）'!AC27</f>
        <v>○</v>
      </c>
      <c r="AD27" s="29" t="str">
        <f>'勤務表（参照用）'!AD27</f>
        <v>当</v>
      </c>
      <c r="AE27" s="29" t="str">
        <f>'勤務表（参照用）'!AE27</f>
        <v>明</v>
      </c>
      <c r="AF27" s="29" t="str">
        <f>'勤務表（参照用）'!AF27</f>
        <v>●</v>
      </c>
      <c r="AG27" s="29" t="str">
        <f>'勤務表（参照用）'!AG27</f>
        <v/>
      </c>
      <c r="AH27" s="29" t="str">
        <f>'勤務表（参照用）'!AH27</f>
        <v/>
      </c>
      <c r="AJ27" s="28"/>
      <c r="AK27" s="30"/>
    </row>
    <row r="28" spans="3:37" x14ac:dyDescent="0.2">
      <c r="C28" s="69" t="str">
        <f>'勤務表（参照用）'!C28</f>
        <v>加藤 靖博</v>
      </c>
      <c r="D28" s="29" t="str">
        <f>'勤務表（参照用）'!D28</f>
        <v/>
      </c>
      <c r="E28" s="29" t="str">
        <f>'勤務表（参照用）'!E28</f>
        <v>当</v>
      </c>
      <c r="F28" s="29" t="str">
        <f>'勤務表（参照用）'!F28</f>
        <v>明</v>
      </c>
      <c r="G28" s="29" t="str">
        <f>'勤務表（参照用）'!G28</f>
        <v/>
      </c>
      <c r="H28" s="29" t="str">
        <f>'勤務表（参照用）'!H28</f>
        <v>○</v>
      </c>
      <c r="I28" s="29" t="str">
        <f>'勤務表（参照用）'!I28</f>
        <v>●</v>
      </c>
      <c r="J28" s="29" t="str">
        <f>'勤務表（参照用）'!J28</f>
        <v/>
      </c>
      <c r="K28" s="29" t="str">
        <f>'勤務表（参照用）'!K28</f>
        <v/>
      </c>
      <c r="L28" s="29" t="str">
        <f>'勤務表（参照用）'!L28</f>
        <v/>
      </c>
      <c r="M28" s="29" t="str">
        <f>'勤務表（参照用）'!M28</f>
        <v/>
      </c>
      <c r="N28" s="29" t="str">
        <f>'勤務表（参照用）'!N28</f>
        <v/>
      </c>
      <c r="O28" s="29" t="str">
        <f>'勤務表（参照用）'!O28</f>
        <v>／</v>
      </c>
      <c r="P28" s="29" t="str">
        <f>'勤務表（参照用）'!P28</f>
        <v>●</v>
      </c>
      <c r="Q28" s="29" t="str">
        <f>'勤務表（参照用）'!Q28</f>
        <v>当</v>
      </c>
      <c r="R28" s="29" t="str">
        <f>'勤務表（参照用）'!R28</f>
        <v>明</v>
      </c>
      <c r="S28" s="29" t="str">
        <f>'勤務表（参照用）'!S28</f>
        <v/>
      </c>
      <c r="T28" s="29" t="str">
        <f>'勤務表（参照用）'!T28</f>
        <v/>
      </c>
      <c r="U28" s="29" t="str">
        <f>'勤務表（参照用）'!U28</f>
        <v/>
      </c>
      <c r="V28" s="29" t="str">
        <f>'勤務表（参照用）'!V28</f>
        <v>○</v>
      </c>
      <c r="W28" s="29" t="str">
        <f>'勤務表（参照用）'!W28</f>
        <v>●</v>
      </c>
      <c r="X28" s="29" t="str">
        <f>'勤務表（参照用）'!X28</f>
        <v/>
      </c>
      <c r="Y28" s="29" t="str">
        <f>'勤務表（参照用）'!Y28</f>
        <v/>
      </c>
      <c r="Z28" s="29" t="str">
        <f>'勤務表（参照用）'!Z28</f>
        <v/>
      </c>
      <c r="AA28" s="29" t="str">
        <f>'勤務表（参照用）'!AA28</f>
        <v>当</v>
      </c>
      <c r="AB28" s="29" t="str">
        <f>'勤務表（参照用）'!AB28</f>
        <v>明</v>
      </c>
      <c r="AC28" s="29" t="str">
        <f>'勤務表（参照用）'!AC28</f>
        <v>／</v>
      </c>
      <c r="AD28" s="29" t="str">
        <f>'勤務表（参照用）'!AD28</f>
        <v>●</v>
      </c>
      <c r="AE28" s="29" t="str">
        <f>'勤務表（参照用）'!AE28</f>
        <v/>
      </c>
      <c r="AF28" s="29" t="str">
        <f>'勤務表（参照用）'!AF28</f>
        <v/>
      </c>
      <c r="AG28" s="29" t="str">
        <f>'勤務表（参照用）'!AG28</f>
        <v/>
      </c>
      <c r="AH28" s="29" t="str">
        <f>'勤務表（参照用）'!AH28</f>
        <v/>
      </c>
      <c r="AJ28" s="30"/>
    </row>
    <row r="29" spans="3:37" x14ac:dyDescent="0.2">
      <c r="C29" s="69" t="str">
        <f>'勤務表（参照用）'!C29</f>
        <v>小川 穂波</v>
      </c>
      <c r="D29" s="29" t="str">
        <f>'勤務表（参照用）'!D29</f>
        <v/>
      </c>
      <c r="E29" s="29" t="str">
        <f>'勤務表（参照用）'!E29</f>
        <v/>
      </c>
      <c r="F29" s="29" t="str">
        <f>'勤務表（参照用）'!F29</f>
        <v/>
      </c>
      <c r="G29" s="29" t="str">
        <f>'勤務表（参照用）'!G29</f>
        <v/>
      </c>
      <c r="H29" s="29" t="str">
        <f>'勤務表（参照用）'!H29</f>
        <v>／</v>
      </c>
      <c r="I29" s="29" t="str">
        <f>'勤務表（参照用）'!I29</f>
        <v>●</v>
      </c>
      <c r="J29" s="29" t="str">
        <f>'勤務表（参照用）'!J29</f>
        <v/>
      </c>
      <c r="K29" s="29" t="str">
        <f>'勤務表（参照用）'!K29</f>
        <v/>
      </c>
      <c r="L29" s="29" t="str">
        <f>'勤務表（参照用）'!L29</f>
        <v/>
      </c>
      <c r="M29" s="29" t="str">
        <f>'勤務表（参照用）'!M29</f>
        <v/>
      </c>
      <c r="N29" s="29" t="str">
        <f>'勤務表（参照用）'!N29</f>
        <v/>
      </c>
      <c r="O29" s="29" t="str">
        <f>'勤務表（参照用）'!O29</f>
        <v>○</v>
      </c>
      <c r="P29" s="29" t="str">
        <f>'勤務表（参照用）'!P29</f>
        <v>●</v>
      </c>
      <c r="Q29" s="29" t="str">
        <f>'勤務表（参照用）'!Q29</f>
        <v/>
      </c>
      <c r="R29" s="29" t="str">
        <f>'勤務表（参照用）'!R29</f>
        <v>当</v>
      </c>
      <c r="S29" s="29" t="str">
        <f>'勤務表（参照用）'!S29</f>
        <v>明</v>
      </c>
      <c r="T29" s="29" t="str">
        <f>'勤務表（参照用）'!T29</f>
        <v/>
      </c>
      <c r="U29" s="29" t="str">
        <f>'勤務表（参照用）'!U29</f>
        <v/>
      </c>
      <c r="V29" s="29" t="str">
        <f>'勤務表（参照用）'!V29</f>
        <v>／</v>
      </c>
      <c r="W29" s="29" t="str">
        <f>'勤務表（参照用）'!W29</f>
        <v>●</v>
      </c>
      <c r="X29" s="29" t="str">
        <f>'勤務表（参照用）'!X29</f>
        <v/>
      </c>
      <c r="Y29" s="29" t="str">
        <f>'勤務表（参照用）'!Y29</f>
        <v/>
      </c>
      <c r="Z29" s="29" t="str">
        <f>'勤務表（参照用）'!Z29</f>
        <v/>
      </c>
      <c r="AA29" s="29" t="str">
        <f>'勤務表（参照用）'!AA29</f>
        <v/>
      </c>
      <c r="AB29" s="29" t="str">
        <f>'勤務表（参照用）'!AB29</f>
        <v/>
      </c>
      <c r="AC29" s="29" t="str">
        <f>'勤務表（参照用）'!AC29</f>
        <v>○</v>
      </c>
      <c r="AD29" s="29" t="str">
        <f>'勤務表（参照用）'!AD29</f>
        <v>●</v>
      </c>
      <c r="AE29" s="29" t="str">
        <f>'勤務表（参照用）'!AE29</f>
        <v>当</v>
      </c>
      <c r="AF29" s="29" t="str">
        <f>'勤務表（参照用）'!AF29</f>
        <v>明</v>
      </c>
      <c r="AG29" s="29" t="str">
        <f>'勤務表（参照用）'!AG29</f>
        <v/>
      </c>
      <c r="AH29" s="29" t="str">
        <f>'勤務表（参照用）'!AH29</f>
        <v/>
      </c>
      <c r="AJ29" s="28"/>
      <c r="AK29" s="30"/>
    </row>
    <row r="30" spans="3:37" x14ac:dyDescent="0.2">
      <c r="C30" s="69" t="str">
        <f>'勤務表（参照用）'!C30</f>
        <v>薬司 康平</v>
      </c>
      <c r="D30" s="29" t="str">
        <f>'勤務表（参照用）'!D30</f>
        <v/>
      </c>
      <c r="E30" s="29" t="str">
        <f>'勤務表（参照用）'!E30</f>
        <v>当</v>
      </c>
      <c r="F30" s="29" t="str">
        <f>'勤務表（参照用）'!F30</f>
        <v>明</v>
      </c>
      <c r="G30" s="29" t="str">
        <f>'勤務表（参照用）'!G30</f>
        <v/>
      </c>
      <c r="H30" s="29" t="str">
        <f>'勤務表（参照用）'!H30</f>
        <v>○</v>
      </c>
      <c r="I30" s="29" t="str">
        <f>'勤務表（参照用）'!I30</f>
        <v>●</v>
      </c>
      <c r="J30" s="29" t="str">
        <f>'勤務表（参照用）'!J30</f>
        <v/>
      </c>
      <c r="K30" s="29" t="str">
        <f>'勤務表（参照用）'!K30</f>
        <v/>
      </c>
      <c r="L30" s="29" t="str">
        <f>'勤務表（参照用）'!L30</f>
        <v/>
      </c>
      <c r="M30" s="29" t="str">
        <f>'勤務表（参照用）'!M30</f>
        <v/>
      </c>
      <c r="N30" s="29" t="str">
        <f>'勤務表（参照用）'!N30</f>
        <v/>
      </c>
      <c r="O30" s="29" t="str">
        <f>'勤務表（参照用）'!O30</f>
        <v>／</v>
      </c>
      <c r="P30" s="29" t="str">
        <f>'勤務表（参照用）'!P30</f>
        <v>●</v>
      </c>
      <c r="Q30" s="29" t="str">
        <f>'勤務表（参照用）'!Q30</f>
        <v/>
      </c>
      <c r="R30" s="29" t="str">
        <f>'勤務表（参照用）'!R30</f>
        <v/>
      </c>
      <c r="S30" s="29" t="str">
        <f>'勤務表（参照用）'!S30</f>
        <v>当</v>
      </c>
      <c r="T30" s="29" t="str">
        <f>'勤務表（参照用）'!T30</f>
        <v>明</v>
      </c>
      <c r="U30" s="29" t="str">
        <f>'勤務表（参照用）'!U30</f>
        <v/>
      </c>
      <c r="V30" s="29" t="str">
        <f>'勤務表（参照用）'!V30</f>
        <v>○</v>
      </c>
      <c r="W30" s="29" t="str">
        <f>'勤務表（参照用）'!W30</f>
        <v>●</v>
      </c>
      <c r="X30" s="29" t="str">
        <f>'勤務表（参照用）'!X30</f>
        <v/>
      </c>
      <c r="Y30" s="29" t="str">
        <f>'勤務表（参照用）'!Y30</f>
        <v/>
      </c>
      <c r="Z30" s="29" t="str">
        <f>'勤務表（参照用）'!Z30</f>
        <v/>
      </c>
      <c r="AA30" s="29" t="str">
        <f>'勤務表（参照用）'!AA30</f>
        <v/>
      </c>
      <c r="AB30" s="29" t="str">
        <f>'勤務表（参照用）'!AB30</f>
        <v/>
      </c>
      <c r="AC30" s="29" t="str">
        <f>'勤務表（参照用）'!AC30</f>
        <v>／</v>
      </c>
      <c r="AD30" s="29" t="str">
        <f>'勤務表（参照用）'!AD30</f>
        <v>●</v>
      </c>
      <c r="AE30" s="29" t="str">
        <f>'勤務表（参照用）'!AE30</f>
        <v/>
      </c>
      <c r="AF30" s="29" t="str">
        <f>'勤務表（参照用）'!AF30</f>
        <v/>
      </c>
      <c r="AG30" s="29" t="str">
        <f>'勤務表（参照用）'!AG30</f>
        <v/>
      </c>
      <c r="AH30" s="29" t="str">
        <f>'勤務表（参照用）'!AH30</f>
        <v/>
      </c>
      <c r="AJ30" s="30"/>
    </row>
    <row r="31" spans="3:37" x14ac:dyDescent="0.2">
      <c r="C31" s="69" t="str">
        <f>'勤務表（参照用）'!C31</f>
        <v>西郡 健太</v>
      </c>
      <c r="D31" s="29" t="str">
        <f>'勤務表（参照用）'!D31</f>
        <v>当</v>
      </c>
      <c r="E31" s="29" t="str">
        <f>'勤務表（参照用）'!E31</f>
        <v>明</v>
      </c>
      <c r="F31" s="29" t="str">
        <f>'勤務表（参照用）'!F31</f>
        <v/>
      </c>
      <c r="G31" s="29" t="str">
        <f>'勤務表（参照用）'!G31</f>
        <v/>
      </c>
      <c r="H31" s="29" t="str">
        <f>'勤務表（参照用）'!H31</f>
        <v>／</v>
      </c>
      <c r="I31" s="29" t="str">
        <f>'勤務表（参照用）'!I31</f>
        <v>●</v>
      </c>
      <c r="J31" s="29" t="str">
        <f>'勤務表（参照用）'!J31</f>
        <v/>
      </c>
      <c r="K31" s="29" t="str">
        <f>'勤務表（参照用）'!K31</f>
        <v/>
      </c>
      <c r="L31" s="29" t="str">
        <f>'勤務表（参照用）'!L31</f>
        <v/>
      </c>
      <c r="M31" s="29" t="str">
        <f>'勤務表（参照用）'!M31</f>
        <v/>
      </c>
      <c r="N31" s="29" t="str">
        <f>'勤務表（参照用）'!N31</f>
        <v/>
      </c>
      <c r="O31" s="29" t="str">
        <f>'勤務表（参照用）'!O31</f>
        <v>○</v>
      </c>
      <c r="P31" s="29" t="str">
        <f>'勤務表（参照用）'!P31</f>
        <v>●</v>
      </c>
      <c r="Q31" s="29" t="str">
        <f>'勤務表（参照用）'!Q31</f>
        <v/>
      </c>
      <c r="R31" s="29" t="str">
        <f>'勤務表（参照用）'!R31</f>
        <v>当</v>
      </c>
      <c r="S31" s="29" t="str">
        <f>'勤務表（参照用）'!S31</f>
        <v>明</v>
      </c>
      <c r="T31" s="29" t="str">
        <f>'勤務表（参照用）'!T31</f>
        <v/>
      </c>
      <c r="U31" s="29" t="str">
        <f>'勤務表（参照用）'!U31</f>
        <v/>
      </c>
      <c r="V31" s="29" t="str">
        <f>'勤務表（参照用）'!V31</f>
        <v>／</v>
      </c>
      <c r="W31" s="29" t="str">
        <f>'勤務表（参照用）'!W31</f>
        <v>●</v>
      </c>
      <c r="X31" s="29" t="str">
        <f>'勤務表（参照用）'!X31</f>
        <v/>
      </c>
      <c r="Y31" s="29" t="str">
        <f>'勤務表（参照用）'!Y31</f>
        <v/>
      </c>
      <c r="Z31" s="29" t="str">
        <f>'勤務表（参照用）'!Z31</f>
        <v>当</v>
      </c>
      <c r="AA31" s="29" t="str">
        <f>'勤務表（参照用）'!AA31</f>
        <v>明</v>
      </c>
      <c r="AB31" s="29" t="str">
        <f>'勤務表（参照用）'!AB31</f>
        <v/>
      </c>
      <c r="AC31" s="29" t="str">
        <f>'勤務表（参照用）'!AC31</f>
        <v>○</v>
      </c>
      <c r="AD31" s="29" t="str">
        <f>'勤務表（参照用）'!AD31</f>
        <v>●</v>
      </c>
      <c r="AE31" s="29" t="str">
        <f>'勤務表（参照用）'!AE31</f>
        <v/>
      </c>
      <c r="AF31" s="29" t="str">
        <f>'勤務表（参照用）'!AF31</f>
        <v/>
      </c>
      <c r="AG31" s="29" t="str">
        <f>'勤務表（参照用）'!AG31</f>
        <v>当</v>
      </c>
      <c r="AH31" s="29" t="str">
        <f>'勤務表（参照用）'!AH31</f>
        <v/>
      </c>
      <c r="AJ31" s="28"/>
      <c r="AK31" s="30"/>
    </row>
    <row r="32" spans="3:37" x14ac:dyDescent="0.2">
      <c r="C32" s="69" t="str">
        <f>'勤務表（参照用）'!C32</f>
        <v>松木 こころ</v>
      </c>
      <c r="D32" s="29" t="str">
        <f>'勤務表（参照用）'!D32</f>
        <v/>
      </c>
      <c r="E32" s="29" t="str">
        <f>'勤務表（参照用）'!E32</f>
        <v/>
      </c>
      <c r="F32" s="29" t="str">
        <f>'勤務表（参照用）'!F32</f>
        <v/>
      </c>
      <c r="G32" s="29" t="str">
        <f>'勤務表（参照用）'!G32</f>
        <v/>
      </c>
      <c r="H32" s="29" t="str">
        <f>'勤務表（参照用）'!H32</f>
        <v>○</v>
      </c>
      <c r="I32" s="29" t="str">
        <f>'勤務表（参照用）'!I32</f>
        <v>●</v>
      </c>
      <c r="J32" s="29" t="str">
        <f>'勤務表（参照用）'!J32</f>
        <v/>
      </c>
      <c r="K32" s="29" t="str">
        <f>'勤務表（参照用）'!K32</f>
        <v/>
      </c>
      <c r="L32" s="29" t="str">
        <f>'勤務表（参照用）'!L32</f>
        <v/>
      </c>
      <c r="M32" s="29" t="str">
        <f>'勤務表（参照用）'!M32</f>
        <v/>
      </c>
      <c r="N32" s="29" t="str">
        <f>'勤務表（参照用）'!N32</f>
        <v/>
      </c>
      <c r="O32" s="29" t="str">
        <f>'勤務表（参照用）'!O32</f>
        <v>○</v>
      </c>
      <c r="P32" s="29" t="str">
        <f>'勤務表（参照用）'!P32</f>
        <v>●</v>
      </c>
      <c r="Q32" s="29" t="str">
        <f>'勤務表（参照用）'!Q32</f>
        <v/>
      </c>
      <c r="R32" s="29" t="str">
        <f>'勤務表（参照用）'!R32</f>
        <v/>
      </c>
      <c r="S32" s="29" t="str">
        <f>'勤務表（参照用）'!S32</f>
        <v/>
      </c>
      <c r="T32" s="29" t="str">
        <f>'勤務表（参照用）'!T32</f>
        <v/>
      </c>
      <c r="U32" s="29" t="str">
        <f>'勤務表（参照用）'!U32</f>
        <v/>
      </c>
      <c r="V32" s="29" t="str">
        <f>'勤務表（参照用）'!V32</f>
        <v>○</v>
      </c>
      <c r="W32" s="29" t="str">
        <f>'勤務表（参照用）'!W32</f>
        <v>●</v>
      </c>
      <c r="X32" s="29" t="str">
        <f>'勤務表（参照用）'!X32</f>
        <v/>
      </c>
      <c r="Y32" s="29" t="str">
        <f>'勤務表（参照用）'!Y32</f>
        <v/>
      </c>
      <c r="Z32" s="29" t="str">
        <f>'勤務表（参照用）'!Z32</f>
        <v/>
      </c>
      <c r="AA32" s="29" t="str">
        <f>'勤務表（参照用）'!AA32</f>
        <v/>
      </c>
      <c r="AB32" s="29" t="str">
        <f>'勤務表（参照用）'!AB32</f>
        <v/>
      </c>
      <c r="AC32" s="29" t="str">
        <f>'勤務表（参照用）'!AC32</f>
        <v>○</v>
      </c>
      <c r="AD32" s="29" t="str">
        <f>'勤務表（参照用）'!AD32</f>
        <v>●</v>
      </c>
      <c r="AE32" s="29" t="str">
        <f>'勤務表（参照用）'!AE32</f>
        <v/>
      </c>
      <c r="AF32" s="29" t="str">
        <f>'勤務表（参照用）'!AF32</f>
        <v/>
      </c>
      <c r="AG32" s="29" t="str">
        <f>'勤務表（参照用）'!AG32</f>
        <v/>
      </c>
      <c r="AH32" s="29" t="str">
        <f>'勤務表（参照用）'!AH32</f>
        <v/>
      </c>
      <c r="AJ32" s="30"/>
    </row>
    <row r="33" spans="3:37" x14ac:dyDescent="0.2">
      <c r="C33" s="69" t="str">
        <f>'勤務表（参照用）'!C33</f>
        <v>諸田 悠也</v>
      </c>
      <c r="D33" s="29" t="str">
        <f>'勤務表（参照用）'!D33</f>
        <v>当</v>
      </c>
      <c r="E33" s="29" t="str">
        <f>'勤務表（参照用）'!E33</f>
        <v>明</v>
      </c>
      <c r="F33" s="29" t="str">
        <f>'勤務表（参照用）'!F33</f>
        <v/>
      </c>
      <c r="G33" s="29" t="str">
        <f>'勤務表（参照用）'!G33</f>
        <v/>
      </c>
      <c r="H33" s="29" t="str">
        <f>'勤務表（参照用）'!H33</f>
        <v>○</v>
      </c>
      <c r="I33" s="29" t="str">
        <f>'勤務表（参照用）'!I33</f>
        <v>●</v>
      </c>
      <c r="J33" s="29" t="str">
        <f>'勤務表（参照用）'!J33</f>
        <v/>
      </c>
      <c r="K33" s="29" t="str">
        <f>'勤務表（参照用）'!K33</f>
        <v/>
      </c>
      <c r="L33" s="29" t="str">
        <f>'勤務表（参照用）'!L33</f>
        <v/>
      </c>
      <c r="M33" s="29" t="str">
        <f>'勤務表（参照用）'!M33</f>
        <v/>
      </c>
      <c r="N33" s="29" t="str">
        <f>'勤務表（参照用）'!N33</f>
        <v/>
      </c>
      <c r="O33" s="29" t="str">
        <f>'勤務表（参照用）'!O33</f>
        <v>／</v>
      </c>
      <c r="P33" s="29" t="str">
        <f>'勤務表（参照用）'!P33</f>
        <v>●</v>
      </c>
      <c r="Q33" s="29" t="str">
        <f>'勤務表（参照用）'!Q33</f>
        <v/>
      </c>
      <c r="R33" s="29" t="str">
        <f>'勤務表（参照用）'!R33</f>
        <v/>
      </c>
      <c r="S33" s="29" t="str">
        <f>'勤務表（参照用）'!S33</f>
        <v/>
      </c>
      <c r="T33" s="29" t="str">
        <f>'勤務表（参照用）'!T33</f>
        <v/>
      </c>
      <c r="U33" s="29" t="str">
        <f>'勤務表（参照用）'!U33</f>
        <v/>
      </c>
      <c r="V33" s="29" t="str">
        <f>'勤務表（参照用）'!V33</f>
        <v>○</v>
      </c>
      <c r="W33" s="29" t="str">
        <f>'勤務表（参照用）'!W33</f>
        <v>当</v>
      </c>
      <c r="X33" s="29" t="str">
        <f>'勤務表（参照用）'!X33</f>
        <v>明</v>
      </c>
      <c r="Y33" s="29" t="str">
        <f>'勤務表（参照用）'!Y33</f>
        <v>●</v>
      </c>
      <c r="Z33" s="29" t="str">
        <f>'勤務表（参照用）'!Z33</f>
        <v/>
      </c>
      <c r="AA33" s="29" t="str">
        <f>'勤務表（参照用）'!AA33</f>
        <v/>
      </c>
      <c r="AB33" s="29" t="str">
        <f>'勤務表（参照用）'!AB33</f>
        <v/>
      </c>
      <c r="AC33" s="29" t="str">
        <f>'勤務表（参照用）'!AC33</f>
        <v>／</v>
      </c>
      <c r="AD33" s="29" t="str">
        <f>'勤務表（参照用）'!AD33</f>
        <v>●</v>
      </c>
      <c r="AE33" s="29" t="str">
        <f>'勤務表（参照用）'!AE33</f>
        <v/>
      </c>
      <c r="AF33" s="29" t="str">
        <f>'勤務表（参照用）'!AF33</f>
        <v/>
      </c>
      <c r="AG33" s="29" t="str">
        <f>'勤務表（参照用）'!AG33</f>
        <v/>
      </c>
      <c r="AH33" s="29" t="str">
        <f>'勤務表（参照用）'!AH33</f>
        <v/>
      </c>
      <c r="AJ33" s="28"/>
      <c r="AK33" s="30"/>
    </row>
    <row r="34" spans="3:37" x14ac:dyDescent="0.2">
      <c r="C34" s="69" t="str">
        <f>'勤務表（参照用）'!C34</f>
        <v>樫田 尚</v>
      </c>
      <c r="D34" s="29" t="str">
        <f>'勤務表（参照用）'!D34</f>
        <v/>
      </c>
      <c r="E34" s="29" t="str">
        <f>'勤務表（参照用）'!E34</f>
        <v/>
      </c>
      <c r="F34" s="29" t="str">
        <f>'勤務表（参照用）'!F34</f>
        <v/>
      </c>
      <c r="G34" s="29" t="str">
        <f>'勤務表（参照用）'!G34</f>
        <v/>
      </c>
      <c r="H34" s="29" t="str">
        <f>'勤務表（参照用）'!H34</f>
        <v>○</v>
      </c>
      <c r="I34" s="29" t="str">
        <f>'勤務表（参照用）'!I34</f>
        <v>●</v>
      </c>
      <c r="J34" s="29" t="str">
        <f>'勤務表（参照用）'!J34</f>
        <v/>
      </c>
      <c r="K34" s="29" t="str">
        <f>'勤務表（参照用）'!K34</f>
        <v/>
      </c>
      <c r="L34" s="29" t="str">
        <f>'勤務表（参照用）'!L34</f>
        <v/>
      </c>
      <c r="M34" s="29" t="str">
        <f>'勤務表（参照用）'!M34</f>
        <v/>
      </c>
      <c r="N34" s="29" t="str">
        <f>'勤務表（参照用）'!N34</f>
        <v>当</v>
      </c>
      <c r="O34" s="29" t="str">
        <f>'勤務表（参照用）'!O34</f>
        <v>明</v>
      </c>
      <c r="P34" s="29" t="str">
        <f>'勤務表（参照用）'!P34</f>
        <v>●</v>
      </c>
      <c r="Q34" s="29" t="str">
        <f>'勤務表（参照用）'!Q34</f>
        <v/>
      </c>
      <c r="R34" s="29" t="str">
        <f>'勤務表（参照用）'!R34</f>
        <v/>
      </c>
      <c r="S34" s="29" t="str">
        <f>'勤務表（参照用）'!S34</f>
        <v/>
      </c>
      <c r="T34" s="29" t="str">
        <f>'勤務表（参照用）'!T34</f>
        <v/>
      </c>
      <c r="U34" s="29" t="str">
        <f>'勤務表（参照用）'!U34</f>
        <v/>
      </c>
      <c r="V34" s="29" t="str">
        <f>'勤務表（参照用）'!V34</f>
        <v>○</v>
      </c>
      <c r="W34" s="29" t="str">
        <f>'勤務表（参照用）'!W34</f>
        <v/>
      </c>
      <c r="X34" s="29" t="str">
        <f>'勤務表（参照用）'!X34</f>
        <v/>
      </c>
      <c r="Y34" s="29" t="str">
        <f>'勤務表（参照用）'!Y34</f>
        <v/>
      </c>
      <c r="Z34" s="29" t="str">
        <f>'勤務表（参照用）'!Z34</f>
        <v/>
      </c>
      <c r="AA34" s="29" t="str">
        <f>'勤務表（参照用）'!AA34</f>
        <v/>
      </c>
      <c r="AB34" s="29" t="str">
        <f>'勤務表（参照用）'!AB34</f>
        <v/>
      </c>
      <c r="AC34" s="29" t="str">
        <f>'勤務表（参照用）'!AC34</f>
        <v>当</v>
      </c>
      <c r="AD34" s="29" t="str">
        <f>'勤務表（参照用）'!AD34</f>
        <v>明</v>
      </c>
      <c r="AE34" s="29" t="str">
        <f>'勤務表（参照用）'!AE34</f>
        <v>●</v>
      </c>
      <c r="AF34" s="29" t="str">
        <f>'勤務表（参照用）'!AF34</f>
        <v/>
      </c>
      <c r="AG34" s="29" t="str">
        <f>'勤務表（参照用）'!AG34</f>
        <v/>
      </c>
      <c r="AH34" s="29" t="str">
        <f>'勤務表（参照用）'!AH34</f>
        <v/>
      </c>
      <c r="AJ34" s="30"/>
    </row>
    <row r="35" spans="3:37" x14ac:dyDescent="0.2">
      <c r="C35" s="69" t="str">
        <f>'勤務表（参照用）'!C35</f>
        <v>中村 公亮</v>
      </c>
      <c r="D35" s="29" t="str">
        <f>'勤務表（参照用）'!D35</f>
        <v/>
      </c>
      <c r="E35" s="29" t="str">
        <f>'勤務表（参照用）'!E35</f>
        <v/>
      </c>
      <c r="F35" s="29" t="str">
        <f>'勤務表（参照用）'!F35</f>
        <v/>
      </c>
      <c r="G35" s="29" t="str">
        <f>'勤務表（参照用）'!G35</f>
        <v/>
      </c>
      <c r="H35" s="29" t="str">
        <f>'勤務表（参照用）'!H35</f>
        <v>○</v>
      </c>
      <c r="I35" s="29" t="str">
        <f>'勤務表（参照用）'!I35</f>
        <v>●</v>
      </c>
      <c r="J35" s="29" t="str">
        <f>'勤務表（参照用）'!J35</f>
        <v/>
      </c>
      <c r="K35" s="29" t="str">
        <f>'勤務表（参照用）'!K35</f>
        <v/>
      </c>
      <c r="L35" s="29" t="str">
        <f>'勤務表（参照用）'!L35</f>
        <v/>
      </c>
      <c r="M35" s="29" t="str">
        <f>'勤務表（参照用）'!M35</f>
        <v/>
      </c>
      <c r="N35" s="29" t="str">
        <f>'勤務表（参照用）'!N35</f>
        <v/>
      </c>
      <c r="O35" s="29" t="str">
        <f>'勤務表（参照用）'!O35</f>
        <v>○</v>
      </c>
      <c r="P35" s="29" t="str">
        <f>'勤務表（参照用）'!P35</f>
        <v>●</v>
      </c>
      <c r="Q35" s="29" t="str">
        <f>'勤務表（参照用）'!Q35</f>
        <v/>
      </c>
      <c r="R35" s="29" t="str">
        <f>'勤務表（参照用）'!R35</f>
        <v/>
      </c>
      <c r="S35" s="29" t="str">
        <f>'勤務表（参照用）'!S35</f>
        <v/>
      </c>
      <c r="T35" s="29" t="str">
        <f>'勤務表（参照用）'!T35</f>
        <v/>
      </c>
      <c r="U35" s="29" t="str">
        <f>'勤務表（参照用）'!U35</f>
        <v/>
      </c>
      <c r="V35" s="29" t="str">
        <f>'勤務表（参照用）'!V35</f>
        <v>○</v>
      </c>
      <c r="W35" s="29" t="str">
        <f>'勤務表（参照用）'!W35</f>
        <v>●</v>
      </c>
      <c r="X35" s="29" t="str">
        <f>'勤務表（参照用）'!X35</f>
        <v/>
      </c>
      <c r="Y35" s="29" t="str">
        <f>'勤務表（参照用）'!Y35</f>
        <v/>
      </c>
      <c r="Z35" s="29" t="str">
        <f>'勤務表（参照用）'!Z35</f>
        <v/>
      </c>
      <c r="AA35" s="29" t="str">
        <f>'勤務表（参照用）'!AA35</f>
        <v/>
      </c>
      <c r="AB35" s="29" t="str">
        <f>'勤務表（参照用）'!AB35</f>
        <v/>
      </c>
      <c r="AC35" s="29" t="str">
        <f>'勤務表（参照用）'!AC35</f>
        <v>○</v>
      </c>
      <c r="AD35" s="29" t="str">
        <f>'勤務表（参照用）'!AD35</f>
        <v>●</v>
      </c>
      <c r="AE35" s="29" t="str">
        <f>'勤務表（参照用）'!AE35</f>
        <v/>
      </c>
      <c r="AF35" s="29" t="str">
        <f>'勤務表（参照用）'!AF35</f>
        <v/>
      </c>
      <c r="AG35" s="29" t="str">
        <f>'勤務表（参照用）'!AG35</f>
        <v/>
      </c>
      <c r="AH35" s="29" t="str">
        <f>'勤務表（参照用）'!AH35</f>
        <v/>
      </c>
      <c r="AJ35" s="28"/>
      <c r="AK35" s="30"/>
    </row>
    <row r="36" spans="3:37" x14ac:dyDescent="0.2">
      <c r="C36" s="69" t="str">
        <f>'勤務表（参照用）'!C36</f>
        <v>福知 千佳</v>
      </c>
      <c r="D36" s="29" t="str">
        <f>'勤務表（参照用）'!D36</f>
        <v/>
      </c>
      <c r="E36" s="29" t="str">
        <f>'勤務表（参照用）'!E36</f>
        <v/>
      </c>
      <c r="F36" s="29" t="str">
        <f>'勤務表（参照用）'!F36</f>
        <v/>
      </c>
      <c r="G36" s="29" t="str">
        <f>'勤務表（参照用）'!G36</f>
        <v/>
      </c>
      <c r="H36" s="29" t="str">
        <f>'勤務表（参照用）'!H36</f>
        <v>○</v>
      </c>
      <c r="I36" s="29" t="str">
        <f>'勤務表（参照用）'!I36</f>
        <v>当</v>
      </c>
      <c r="J36" s="29" t="str">
        <f>'勤務表（参照用）'!J36</f>
        <v>明</v>
      </c>
      <c r="K36" s="29" t="str">
        <f>'勤務表（参照用）'!K36</f>
        <v>●</v>
      </c>
      <c r="L36" s="29" t="str">
        <f>'勤務表（参照用）'!L36</f>
        <v/>
      </c>
      <c r="M36" s="29" t="str">
        <f>'勤務表（参照用）'!M36</f>
        <v/>
      </c>
      <c r="N36" s="29" t="str">
        <f>'勤務表（参照用）'!N36</f>
        <v/>
      </c>
      <c r="O36" s="29" t="str">
        <f>'勤務表（参照用）'!O36</f>
        <v>／</v>
      </c>
      <c r="P36" s="29" t="str">
        <f>'勤務表（参照用）'!P36</f>
        <v>●</v>
      </c>
      <c r="Q36" s="29" t="str">
        <f>'勤務表（参照用）'!Q36</f>
        <v/>
      </c>
      <c r="R36" s="29" t="str">
        <f>'勤務表（参照用）'!R36</f>
        <v/>
      </c>
      <c r="S36" s="29" t="str">
        <f>'勤務表（参照用）'!S36</f>
        <v/>
      </c>
      <c r="T36" s="29" t="str">
        <f>'勤務表（参照用）'!T36</f>
        <v/>
      </c>
      <c r="U36" s="29" t="str">
        <f>'勤務表（参照用）'!U36</f>
        <v/>
      </c>
      <c r="V36" s="29" t="str">
        <f>'勤務表（参照用）'!V36</f>
        <v>○</v>
      </c>
      <c r="W36" s="29" t="str">
        <f>'勤務表（参照用）'!W36</f>
        <v>●</v>
      </c>
      <c r="X36" s="29" t="str">
        <f>'勤務表（参照用）'!X36</f>
        <v/>
      </c>
      <c r="Y36" s="29" t="str">
        <f>'勤務表（参照用）'!Y36</f>
        <v/>
      </c>
      <c r="Z36" s="29" t="str">
        <f>'勤務表（参照用）'!Z36</f>
        <v/>
      </c>
      <c r="AA36" s="29" t="str">
        <f>'勤務表（参照用）'!AA36</f>
        <v/>
      </c>
      <c r="AB36" s="29" t="str">
        <f>'勤務表（参照用）'!AB36</f>
        <v>当</v>
      </c>
      <c r="AC36" s="29" t="str">
        <f>'勤務表（参照用）'!AC36</f>
        <v>明</v>
      </c>
      <c r="AD36" s="29" t="str">
        <f>'勤務表（参照用）'!AD36</f>
        <v>●</v>
      </c>
      <c r="AE36" s="29" t="str">
        <f>'勤務表（参照用）'!AE36</f>
        <v/>
      </c>
      <c r="AF36" s="29" t="str">
        <f>'勤務表（参照用）'!AF36</f>
        <v/>
      </c>
      <c r="AG36" s="29" t="str">
        <f>'勤務表（参照用）'!AG36</f>
        <v/>
      </c>
      <c r="AH36" s="29" t="str">
        <f>'勤務表（参照用）'!AH36</f>
        <v/>
      </c>
      <c r="AJ36" s="30"/>
    </row>
    <row r="37" spans="3:37" ht="13.15" customHeight="1" x14ac:dyDescent="0.2">
      <c r="C37" s="69" t="str">
        <f>'勤務表（参照用）'!C37</f>
        <v>袋 隼哉</v>
      </c>
      <c r="D37" s="29" t="str">
        <f>'勤務表（参照用）'!D37</f>
        <v/>
      </c>
      <c r="E37" s="29" t="str">
        <f>'勤務表（参照用）'!E37</f>
        <v/>
      </c>
      <c r="F37" s="29" t="str">
        <f>'勤務表（参照用）'!F37</f>
        <v/>
      </c>
      <c r="G37" s="29" t="str">
        <f>'勤務表（参照用）'!G37</f>
        <v>当</v>
      </c>
      <c r="H37" s="29" t="str">
        <f>'勤務表（参照用）'!H37</f>
        <v>明</v>
      </c>
      <c r="I37" s="29" t="str">
        <f>'勤務表（参照用）'!I37</f>
        <v>●</v>
      </c>
      <c r="J37" s="29" t="str">
        <f>'勤務表（参照用）'!J37</f>
        <v/>
      </c>
      <c r="K37" s="29" t="str">
        <f>'勤務表（参照用）'!K37</f>
        <v/>
      </c>
      <c r="L37" s="29" t="str">
        <f>'勤務表（参照用）'!L37</f>
        <v/>
      </c>
      <c r="M37" s="29" t="str">
        <f>'勤務表（参照用）'!M37</f>
        <v/>
      </c>
      <c r="N37" s="29" t="str">
        <f>'勤務表（参照用）'!N37</f>
        <v/>
      </c>
      <c r="O37" s="29" t="str">
        <f>'勤務表（参照用）'!O37</f>
        <v>○</v>
      </c>
      <c r="P37" s="29" t="str">
        <f>'勤務表（参照用）'!P37</f>
        <v>●</v>
      </c>
      <c r="Q37" s="29" t="str">
        <f>'勤務表（参照用）'!Q37</f>
        <v/>
      </c>
      <c r="R37" s="29" t="str">
        <f>'勤務表（参照用）'!R37</f>
        <v/>
      </c>
      <c r="S37" s="29" t="str">
        <f>'勤務表（参照用）'!S37</f>
        <v/>
      </c>
      <c r="T37" s="29" t="str">
        <f>'勤務表（参照用）'!T37</f>
        <v>当</v>
      </c>
      <c r="U37" s="29" t="str">
        <f>'勤務表（参照用）'!U37</f>
        <v>明</v>
      </c>
      <c r="V37" s="29" t="str">
        <f>'勤務表（参照用）'!V37</f>
        <v>／</v>
      </c>
      <c r="W37" s="29" t="str">
        <f>'勤務表（参照用）'!W37</f>
        <v>●</v>
      </c>
      <c r="X37" s="29" t="str">
        <f>'勤務表（参照用）'!X37</f>
        <v/>
      </c>
      <c r="Y37" s="29" t="str">
        <f>'勤務表（参照用）'!Y37</f>
        <v>当</v>
      </c>
      <c r="Z37" s="29" t="str">
        <f>'勤務表（参照用）'!Z37</f>
        <v>明</v>
      </c>
      <c r="AA37" s="29" t="str">
        <f>'勤務表（参照用）'!AA37</f>
        <v/>
      </c>
      <c r="AB37" s="29" t="str">
        <f>'勤務表（参照用）'!AB37</f>
        <v/>
      </c>
      <c r="AC37" s="29" t="str">
        <f>'勤務表（参照用）'!AC37</f>
        <v>○</v>
      </c>
      <c r="AD37" s="29" t="str">
        <f>'勤務表（参照用）'!AD37</f>
        <v>●</v>
      </c>
      <c r="AE37" s="29" t="str">
        <f>'勤務表（参照用）'!AE37</f>
        <v/>
      </c>
      <c r="AF37" s="29" t="str">
        <f>'勤務表（参照用）'!AF37</f>
        <v/>
      </c>
      <c r="AG37" s="29" t="str">
        <f>'勤務表（参照用）'!AG37</f>
        <v/>
      </c>
      <c r="AH37" s="29" t="str">
        <f>'勤務表（参照用）'!AH37</f>
        <v/>
      </c>
      <c r="AJ37" s="28"/>
      <c r="AK37" s="30"/>
    </row>
    <row r="38" spans="3:37" ht="13.15" customHeight="1" x14ac:dyDescent="0.2">
      <c r="C38" s="69" t="str">
        <f>'勤務表（参照用）'!C38</f>
        <v>雨池 凌也</v>
      </c>
      <c r="D38" s="29" t="str">
        <f>'勤務表（参照用）'!D38</f>
        <v/>
      </c>
      <c r="E38" s="29" t="str">
        <f>'勤務表（参照用）'!E38</f>
        <v/>
      </c>
      <c r="F38" s="29" t="str">
        <f>'勤務表（参照用）'!F38</f>
        <v/>
      </c>
      <c r="G38" s="29" t="str">
        <f>'勤務表（参照用）'!G38</f>
        <v/>
      </c>
      <c r="H38" s="29" t="str">
        <f>'勤務表（参照用）'!H38</f>
        <v>○</v>
      </c>
      <c r="I38" s="29" t="str">
        <f>'勤務表（参照用）'!I38</f>
        <v>●</v>
      </c>
      <c r="J38" s="29" t="str">
        <f>'勤務表（参照用）'!J38</f>
        <v/>
      </c>
      <c r="K38" s="29" t="str">
        <f>'勤務表（参照用）'!K38</f>
        <v>当</v>
      </c>
      <c r="L38" s="29" t="str">
        <f>'勤務表（参照用）'!L38</f>
        <v>明</v>
      </c>
      <c r="M38" s="29" t="str">
        <f>'勤務表（参照用）'!M38</f>
        <v/>
      </c>
      <c r="N38" s="29" t="str">
        <f>'勤務表（参照用）'!N38</f>
        <v/>
      </c>
      <c r="O38" s="29" t="str">
        <f>'勤務表（参照用）'!O38</f>
        <v>／</v>
      </c>
      <c r="P38" s="29" t="str">
        <f>'勤務表（参照用）'!P38</f>
        <v>●</v>
      </c>
      <c r="Q38" s="29" t="str">
        <f>'勤務表（参照用）'!Q38</f>
        <v/>
      </c>
      <c r="R38" s="29" t="str">
        <f>'勤務表（参照用）'!R38</f>
        <v/>
      </c>
      <c r="S38" s="29" t="str">
        <f>'勤務表（参照用）'!S38</f>
        <v/>
      </c>
      <c r="T38" s="29" t="str">
        <f>'勤務表（参照用）'!T38</f>
        <v/>
      </c>
      <c r="U38" s="29" t="str">
        <f>'勤務表（参照用）'!U38</f>
        <v/>
      </c>
      <c r="V38" s="29" t="str">
        <f>'勤務表（参照用）'!V38</f>
        <v>○</v>
      </c>
      <c r="W38" s="29" t="str">
        <f>'勤務表（参照用）'!W38</f>
        <v>当</v>
      </c>
      <c r="X38" s="29" t="str">
        <f>'勤務表（参照用）'!X38</f>
        <v>明</v>
      </c>
      <c r="Y38" s="29" t="str">
        <f>'勤務表（参照用）'!Y38</f>
        <v>●</v>
      </c>
      <c r="Z38" s="29" t="str">
        <f>'勤務表（参照用）'!Z38</f>
        <v/>
      </c>
      <c r="AA38" s="29" t="str">
        <f>'勤務表（参照用）'!AA38</f>
        <v/>
      </c>
      <c r="AB38" s="29" t="str">
        <f>'勤務表（参照用）'!AB38</f>
        <v/>
      </c>
      <c r="AC38" s="29" t="str">
        <f>'勤務表（参照用）'!AC38</f>
        <v>当</v>
      </c>
      <c r="AD38" s="29" t="str">
        <f>'勤務表（参照用）'!AD38</f>
        <v>明</v>
      </c>
      <c r="AE38" s="29" t="str">
        <f>'勤務表（参照用）'!AE38</f>
        <v>●</v>
      </c>
      <c r="AF38" s="29" t="str">
        <f>'勤務表（参照用）'!AF38</f>
        <v/>
      </c>
      <c r="AG38" s="29" t="str">
        <f>'勤務表（参照用）'!AG38</f>
        <v/>
      </c>
      <c r="AH38" s="29" t="str">
        <f>'勤務表（参照用）'!AH38</f>
        <v/>
      </c>
      <c r="AJ38" s="30"/>
    </row>
    <row r="39" spans="3:37" ht="13.15" customHeight="1" x14ac:dyDescent="0.2">
      <c r="C39" s="69" t="str">
        <f>'勤務表（参照用）'!C39</f>
        <v>中川 大誠</v>
      </c>
      <c r="D39" s="29" t="str">
        <f>'勤務表（参照用）'!D39</f>
        <v/>
      </c>
      <c r="E39" s="29" t="str">
        <f>'勤務表（参照用）'!E39</f>
        <v/>
      </c>
      <c r="F39" s="29" t="str">
        <f>'勤務表（参照用）'!F39</f>
        <v/>
      </c>
      <c r="G39" s="29" t="str">
        <f>'勤務表（参照用）'!G39</f>
        <v/>
      </c>
      <c r="H39" s="29" t="str">
        <f>'勤務表（参照用）'!H39</f>
        <v>○</v>
      </c>
      <c r="I39" s="29" t="str">
        <f>'勤務表（参照用）'!I39</f>
        <v>●</v>
      </c>
      <c r="J39" s="29" t="str">
        <f>'勤務表（参照用）'!J39</f>
        <v/>
      </c>
      <c r="K39" s="29" t="str">
        <f>'勤務表（参照用）'!K39</f>
        <v/>
      </c>
      <c r="L39" s="29" t="str">
        <f>'勤務表（参照用）'!L39</f>
        <v/>
      </c>
      <c r="M39" s="29" t="str">
        <f>'勤務表（参照用）'!M39</f>
        <v/>
      </c>
      <c r="N39" s="29" t="str">
        <f>'勤務表（参照用）'!N39</f>
        <v/>
      </c>
      <c r="O39" s="29" t="str">
        <f>'勤務表（参照用）'!O39</f>
        <v>○</v>
      </c>
      <c r="P39" s="29" t="str">
        <f>'勤務表（参照用）'!P39</f>
        <v>●</v>
      </c>
      <c r="Q39" s="29" t="str">
        <f>'勤務表（参照用）'!Q39</f>
        <v/>
      </c>
      <c r="R39" s="29" t="str">
        <f>'勤務表（参照用）'!R39</f>
        <v/>
      </c>
      <c r="S39" s="29" t="str">
        <f>'勤務表（参照用）'!S39</f>
        <v/>
      </c>
      <c r="T39" s="29" t="str">
        <f>'勤務表（参照用）'!T39</f>
        <v/>
      </c>
      <c r="U39" s="29" t="str">
        <f>'勤務表（参照用）'!U39</f>
        <v/>
      </c>
      <c r="V39" s="29" t="str">
        <f>'勤務表（参照用）'!V39</f>
        <v>○</v>
      </c>
      <c r="W39" s="29" t="str">
        <f>'勤務表（参照用）'!W39</f>
        <v>●</v>
      </c>
      <c r="X39" s="29" t="str">
        <f>'勤務表（参照用）'!X39</f>
        <v/>
      </c>
      <c r="Y39" s="29" t="str">
        <f>'勤務表（参照用）'!Y39</f>
        <v/>
      </c>
      <c r="Z39" s="29" t="str">
        <f>'勤務表（参照用）'!Z39</f>
        <v/>
      </c>
      <c r="AA39" s="29" t="str">
        <f>'勤務表（参照用）'!AA39</f>
        <v/>
      </c>
      <c r="AB39" s="29" t="str">
        <f>'勤務表（参照用）'!AB39</f>
        <v/>
      </c>
      <c r="AC39" s="29" t="str">
        <f>'勤務表（参照用）'!AC39</f>
        <v>○</v>
      </c>
      <c r="AD39" s="29" t="str">
        <f>'勤務表（参照用）'!AD39</f>
        <v>●</v>
      </c>
      <c r="AE39" s="29" t="str">
        <f>'勤務表（参照用）'!AE39</f>
        <v/>
      </c>
      <c r="AF39" s="29" t="str">
        <f>'勤務表（参照用）'!AF39</f>
        <v/>
      </c>
      <c r="AG39" s="29" t="str">
        <f>'勤務表（参照用）'!AG39</f>
        <v/>
      </c>
      <c r="AH39" s="29" t="str">
        <f>'勤務表（参照用）'!AH39</f>
        <v/>
      </c>
      <c r="AJ39" s="28"/>
      <c r="AK39" s="30"/>
    </row>
    <row r="40" spans="3:37" ht="13.15" customHeight="1" x14ac:dyDescent="0.2">
      <c r="C40" s="69" t="str">
        <f>'勤務表（参照用）'!C40</f>
        <v>清水 正生</v>
      </c>
      <c r="D40" s="29" t="str">
        <f>'勤務表（参照用）'!D40</f>
        <v/>
      </c>
      <c r="E40" s="29" t="str">
        <f>'勤務表（参照用）'!E40</f>
        <v/>
      </c>
      <c r="F40" s="29" t="str">
        <f>'勤務表（参照用）'!F40</f>
        <v/>
      </c>
      <c r="G40" s="29" t="str">
        <f>'勤務表（参照用）'!G40</f>
        <v>当</v>
      </c>
      <c r="H40" s="29" t="str">
        <f>'勤務表（参照用）'!H40</f>
        <v>明</v>
      </c>
      <c r="I40" s="29" t="str">
        <f>'勤務表（参照用）'!I40</f>
        <v>●</v>
      </c>
      <c r="J40" s="29" t="str">
        <f>'勤務表（参照用）'!J40</f>
        <v/>
      </c>
      <c r="K40" s="29" t="str">
        <f>'勤務表（参照用）'!K40</f>
        <v/>
      </c>
      <c r="L40" s="29" t="str">
        <f>'勤務表（参照用）'!L40</f>
        <v/>
      </c>
      <c r="M40" s="29" t="str">
        <f>'勤務表（参照用）'!M40</f>
        <v/>
      </c>
      <c r="N40" s="29" t="str">
        <f>'勤務表（参照用）'!N40</f>
        <v/>
      </c>
      <c r="O40" s="29" t="str">
        <f>'勤務表（参照用）'!O40</f>
        <v>○</v>
      </c>
      <c r="P40" s="29" t="str">
        <f>'勤務表（参照用）'!P40</f>
        <v>●</v>
      </c>
      <c r="Q40" s="29" t="str">
        <f>'勤務表（参照用）'!Q40</f>
        <v/>
      </c>
      <c r="R40" s="29" t="str">
        <f>'勤務表（参照用）'!R40</f>
        <v/>
      </c>
      <c r="S40" s="29" t="str">
        <f>'勤務表（参照用）'!S40</f>
        <v/>
      </c>
      <c r="T40" s="29" t="str">
        <f>'勤務表（参照用）'!T40</f>
        <v/>
      </c>
      <c r="U40" s="29" t="str">
        <f>'勤務表（参照用）'!U40</f>
        <v/>
      </c>
      <c r="V40" s="29" t="str">
        <f>'勤務表（参照用）'!V40</f>
        <v>／</v>
      </c>
      <c r="W40" s="29" t="str">
        <f>'勤務表（参照用）'!W40</f>
        <v>●</v>
      </c>
      <c r="X40" s="29" t="str">
        <f>'勤務表（参照用）'!X40</f>
        <v/>
      </c>
      <c r="Y40" s="29" t="str">
        <f>'勤務表（参照用）'!Y40</f>
        <v/>
      </c>
      <c r="Z40" s="29" t="str">
        <f>'勤務表（参照用）'!Z40</f>
        <v/>
      </c>
      <c r="AA40" s="29" t="str">
        <f>'勤務表（参照用）'!AA40</f>
        <v>当</v>
      </c>
      <c r="AB40" s="29" t="str">
        <f>'勤務表（参照用）'!AB40</f>
        <v>明</v>
      </c>
      <c r="AC40" s="29" t="str">
        <f>'勤務表（参照用）'!AC40</f>
        <v>○</v>
      </c>
      <c r="AD40" s="29" t="str">
        <f>'勤務表（参照用）'!AD40</f>
        <v>●</v>
      </c>
      <c r="AE40" s="29" t="str">
        <f>'勤務表（参照用）'!AE40</f>
        <v/>
      </c>
      <c r="AF40" s="29" t="str">
        <f>'勤務表（参照用）'!AF40</f>
        <v/>
      </c>
      <c r="AG40" s="29" t="str">
        <f>'勤務表（参照用）'!AG40</f>
        <v/>
      </c>
      <c r="AH40" s="29" t="str">
        <f>'勤務表（参照用）'!AH40</f>
        <v/>
      </c>
    </row>
    <row r="41" spans="3:37" ht="13.15" customHeight="1" x14ac:dyDescent="0.2">
      <c r="C41" s="69" t="str">
        <f>'勤務表（参照用）'!C41</f>
        <v>菅野 祐萌</v>
      </c>
      <c r="D41" s="29" t="str">
        <f>'勤務表（参照用）'!D41</f>
        <v/>
      </c>
      <c r="E41" s="29" t="str">
        <f>'勤務表（参照用）'!E41</f>
        <v/>
      </c>
      <c r="F41" s="29" t="str">
        <f>'勤務表（参照用）'!F41</f>
        <v/>
      </c>
      <c r="G41" s="29" t="str">
        <f>'勤務表（参照用）'!G41</f>
        <v/>
      </c>
      <c r="H41" s="29" t="str">
        <f>'勤務表（参照用）'!H41</f>
        <v>○</v>
      </c>
      <c r="I41" s="29" t="str">
        <f>'勤務表（参照用）'!I41</f>
        <v/>
      </c>
      <c r="J41" s="29" t="str">
        <f>'勤務表（参照用）'!J41</f>
        <v/>
      </c>
      <c r="K41" s="29" t="str">
        <f>'勤務表（参照用）'!K41</f>
        <v/>
      </c>
      <c r="L41" s="29" t="str">
        <f>'勤務表（参照用）'!L41</f>
        <v/>
      </c>
      <c r="M41" s="29" t="str">
        <f>'勤務表（参照用）'!M41</f>
        <v/>
      </c>
      <c r="N41" s="29" t="str">
        <f>'勤務表（参照用）'!N41</f>
        <v/>
      </c>
      <c r="O41" s="29" t="str">
        <f>'勤務表（参照用）'!O41</f>
        <v>当</v>
      </c>
      <c r="P41" s="29" t="str">
        <f>'勤務表（参照用）'!P41</f>
        <v>明</v>
      </c>
      <c r="Q41" s="29" t="str">
        <f>'勤務表（参照用）'!Q41</f>
        <v>●</v>
      </c>
      <c r="R41" s="29" t="str">
        <f>'勤務表（参照用）'!R41</f>
        <v/>
      </c>
      <c r="S41" s="29" t="str">
        <f>'勤務表（参照用）'!S41</f>
        <v/>
      </c>
      <c r="T41" s="29" t="str">
        <f>'勤務表（参照用）'!T41</f>
        <v>当</v>
      </c>
      <c r="U41" s="29" t="str">
        <f>'勤務表（参照用）'!U41</f>
        <v>明</v>
      </c>
      <c r="V41" s="29" t="str">
        <f>'勤務表（参照用）'!V41</f>
        <v>○</v>
      </c>
      <c r="W41" s="29" t="str">
        <f>'勤務表（参照用）'!W41</f>
        <v>●</v>
      </c>
      <c r="X41" s="29" t="str">
        <f>'勤務表（参照用）'!X41</f>
        <v/>
      </c>
      <c r="Y41" s="29" t="str">
        <f>'勤務表（参照用）'!Y41</f>
        <v/>
      </c>
      <c r="Z41" s="29" t="str">
        <f>'勤務表（参照用）'!Z41</f>
        <v/>
      </c>
      <c r="AA41" s="29" t="str">
        <f>'勤務表（参照用）'!AA41</f>
        <v/>
      </c>
      <c r="AB41" s="29" t="str">
        <f>'勤務表（参照用）'!AB41</f>
        <v/>
      </c>
      <c r="AC41" s="29" t="str">
        <f>'勤務表（参照用）'!AC41</f>
        <v>／</v>
      </c>
      <c r="AD41" s="29" t="str">
        <f>'勤務表（参照用）'!AD41</f>
        <v>●</v>
      </c>
      <c r="AE41" s="29" t="str">
        <f>'勤務表（参照用）'!AE41</f>
        <v/>
      </c>
      <c r="AF41" s="29" t="str">
        <f>'勤務表（参照用）'!AF41</f>
        <v/>
      </c>
      <c r="AG41" s="29" t="str">
        <f>'勤務表（参照用）'!AG41</f>
        <v/>
      </c>
      <c r="AH41" s="29" t="str">
        <f>'勤務表（参照用）'!AH41</f>
        <v/>
      </c>
    </row>
    <row r="42" spans="3:37" ht="13.15" customHeight="1" x14ac:dyDescent="0.2">
      <c r="C42" s="69" t="str">
        <f>'勤務表（参照用）'!C42</f>
        <v>別所 貴仁</v>
      </c>
      <c r="D42" s="29" t="str">
        <f>'勤務表（参照用）'!D42</f>
        <v/>
      </c>
      <c r="E42" s="29" t="str">
        <f>'勤務表（参照用）'!E42</f>
        <v/>
      </c>
      <c r="F42" s="29" t="str">
        <f>'勤務表（参照用）'!F42</f>
        <v>当</v>
      </c>
      <c r="G42" s="29" t="str">
        <f>'勤務表（参照用）'!G42</f>
        <v>明</v>
      </c>
      <c r="H42" s="29" t="str">
        <f>'勤務表（参照用）'!H42</f>
        <v>／</v>
      </c>
      <c r="I42" s="29" t="str">
        <f>'勤務表（参照用）'!I42</f>
        <v>●</v>
      </c>
      <c r="J42" s="29" t="str">
        <f>'勤務表（参照用）'!J42</f>
        <v/>
      </c>
      <c r="K42" s="29" t="str">
        <f>'勤務表（参照用）'!K42</f>
        <v/>
      </c>
      <c r="L42" s="29" t="str">
        <f>'勤務表（参照用）'!L42</f>
        <v/>
      </c>
      <c r="M42" s="29" t="str">
        <f>'勤務表（参照用）'!M42</f>
        <v/>
      </c>
      <c r="N42" s="29" t="str">
        <f>'勤務表（参照用）'!N42</f>
        <v/>
      </c>
      <c r="O42" s="29" t="str">
        <f>'勤務表（参照用）'!O42</f>
        <v>○</v>
      </c>
      <c r="P42" s="29" t="str">
        <f>'勤務表（参照用）'!P42</f>
        <v>当</v>
      </c>
      <c r="Q42" s="29" t="str">
        <f>'勤務表（参照用）'!Q42</f>
        <v>明</v>
      </c>
      <c r="R42" s="29" t="str">
        <f>'勤務表（参照用）'!R42</f>
        <v>●</v>
      </c>
      <c r="S42" s="29" t="str">
        <f>'勤務表（参照用）'!S42</f>
        <v/>
      </c>
      <c r="T42" s="29" t="str">
        <f>'勤務表（参照用）'!T42</f>
        <v/>
      </c>
      <c r="U42" s="29" t="str">
        <f>'勤務表（参照用）'!U42</f>
        <v/>
      </c>
      <c r="V42" s="29" t="str">
        <f>'勤務表（参照用）'!V42</f>
        <v>当</v>
      </c>
      <c r="W42" s="29" t="str">
        <f>'勤務表（参照用）'!W42</f>
        <v>明</v>
      </c>
      <c r="X42" s="29" t="str">
        <f>'勤務表（参照用）'!X42</f>
        <v>●</v>
      </c>
      <c r="Y42" s="29" t="str">
        <f>'勤務表（参照用）'!Y42</f>
        <v/>
      </c>
      <c r="Z42" s="29" t="str">
        <f>'勤務表（参照用）'!Z42</f>
        <v/>
      </c>
      <c r="AA42" s="29" t="str">
        <f>'勤務表（参照用）'!AA42</f>
        <v/>
      </c>
      <c r="AB42" s="29" t="str">
        <f>'勤務表（参照用）'!AB42</f>
        <v/>
      </c>
      <c r="AC42" s="29" t="str">
        <f>'勤務表（参照用）'!AC42</f>
        <v>○</v>
      </c>
      <c r="AD42" s="29" t="str">
        <f>'勤務表（参照用）'!AD42</f>
        <v>●</v>
      </c>
      <c r="AE42" s="29" t="str">
        <f>'勤務表（参照用）'!AE42</f>
        <v>当</v>
      </c>
      <c r="AF42" s="29" t="str">
        <f>'勤務表（参照用）'!AF42</f>
        <v>明</v>
      </c>
      <c r="AG42" s="29" t="str">
        <f>'勤務表（参照用）'!AG42</f>
        <v/>
      </c>
      <c r="AH42" s="29" t="str">
        <f>'勤務表（参照用）'!AH42</f>
        <v/>
      </c>
    </row>
    <row r="43" spans="3:37" ht="13.15" customHeight="1" x14ac:dyDescent="0.2">
      <c r="C43" s="69" t="str">
        <f>'勤務表（参照用）'!C43</f>
        <v>坂下 大知</v>
      </c>
      <c r="D43" s="29" t="str">
        <f>'勤務表（参照用）'!D43</f>
        <v/>
      </c>
      <c r="E43" s="29" t="str">
        <f>'勤務表（参照用）'!E43</f>
        <v/>
      </c>
      <c r="F43" s="29" t="str">
        <f>'勤務表（参照用）'!F43</f>
        <v/>
      </c>
      <c r="G43" s="29" t="str">
        <f>'勤務表（参照用）'!G43</f>
        <v/>
      </c>
      <c r="H43" s="29" t="str">
        <f>'勤務表（参照用）'!H43</f>
        <v>／</v>
      </c>
      <c r="I43" s="29" t="str">
        <f>'勤務表（参照用）'!I43</f>
        <v>●</v>
      </c>
      <c r="J43" s="29" t="str">
        <f>'勤務表（参照用）'!J43</f>
        <v>当</v>
      </c>
      <c r="K43" s="29" t="str">
        <f>'勤務表（参照用）'!K43</f>
        <v>明</v>
      </c>
      <c r="L43" s="29" t="str">
        <f>'勤務表（参照用）'!L43</f>
        <v/>
      </c>
      <c r="M43" s="29" t="str">
        <f>'勤務表（参照用）'!M43</f>
        <v/>
      </c>
      <c r="N43" s="29">
        <f>'勤務表（参照用）'!N43</f>
        <v>0</v>
      </c>
      <c r="O43" s="29" t="str">
        <f>'勤務表（参照用）'!O43</f>
        <v>○</v>
      </c>
      <c r="P43" s="29" t="str">
        <f>'勤務表（参照用）'!P43</f>
        <v>●</v>
      </c>
      <c r="Q43" s="29" t="str">
        <f>'勤務表（参照用）'!Q43</f>
        <v/>
      </c>
      <c r="R43" s="29" t="str">
        <f>'勤務表（参照用）'!R43</f>
        <v/>
      </c>
      <c r="S43" s="29" t="str">
        <f>'勤務表（参照用）'!S43</f>
        <v/>
      </c>
      <c r="T43" s="29" t="str">
        <f>'勤務表（参照用）'!T43</f>
        <v/>
      </c>
      <c r="U43" s="29" t="str">
        <f>'勤務表（参照用）'!U43</f>
        <v>当</v>
      </c>
      <c r="V43" s="29" t="str">
        <f>'勤務表（参照用）'!V43</f>
        <v>明</v>
      </c>
      <c r="W43" s="29" t="str">
        <f>'勤務表（参照用）'!W43</f>
        <v>●</v>
      </c>
      <c r="X43" s="29" t="str">
        <f>'勤務表（参照用）'!X43</f>
        <v/>
      </c>
      <c r="Y43" s="29" t="str">
        <f>'勤務表（参照用）'!Y43</f>
        <v/>
      </c>
      <c r="Z43" s="29" t="str">
        <f>'勤務表（参照用）'!Z43</f>
        <v/>
      </c>
      <c r="AA43" s="29" t="str">
        <f>'勤務表（参照用）'!AA43</f>
        <v/>
      </c>
      <c r="AB43" s="29" t="str">
        <f>'勤務表（参照用）'!AB43</f>
        <v/>
      </c>
      <c r="AC43" s="29" t="str">
        <f>'勤務表（参照用）'!AC43</f>
        <v>○</v>
      </c>
      <c r="AD43" s="29" t="str">
        <f>'勤務表（参照用）'!AD43</f>
        <v>●</v>
      </c>
      <c r="AE43" s="29" t="str">
        <f>'勤務表（参照用）'!AE43</f>
        <v/>
      </c>
      <c r="AF43" s="29" t="str">
        <f>'勤務表（参照用）'!AF43</f>
        <v/>
      </c>
      <c r="AG43" s="29" t="str">
        <f>'勤務表（参照用）'!AG43</f>
        <v/>
      </c>
      <c r="AH43" s="29" t="str">
        <f>'勤務表（参照用）'!AH43</f>
        <v/>
      </c>
    </row>
    <row r="44" spans="3:37" ht="13.15" customHeight="1" x14ac:dyDescent="0.2">
      <c r="C44" s="69">
        <f>'勤務表（参照用）'!C44</f>
        <v>0</v>
      </c>
      <c r="D44" s="29" t="str">
        <f>'勤務表（参照用）'!D44</f>
        <v/>
      </c>
      <c r="E44" s="29" t="str">
        <f>'勤務表（参照用）'!E44</f>
        <v/>
      </c>
      <c r="F44" s="29" t="str">
        <f>'勤務表（参照用）'!F44</f>
        <v/>
      </c>
      <c r="G44" s="29" t="str">
        <f>'勤務表（参照用）'!G44</f>
        <v/>
      </c>
      <c r="H44" s="29" t="str">
        <f>'勤務表（参照用）'!H44</f>
        <v/>
      </c>
      <c r="I44" s="29" t="str">
        <f>'勤務表（参照用）'!I44</f>
        <v/>
      </c>
      <c r="J44" s="29" t="str">
        <f>'勤務表（参照用）'!J44</f>
        <v/>
      </c>
      <c r="K44" s="29" t="str">
        <f>'勤務表（参照用）'!K44</f>
        <v/>
      </c>
      <c r="L44" s="29" t="str">
        <f>'勤務表（参照用）'!L44</f>
        <v/>
      </c>
      <c r="M44" s="29" t="str">
        <f>'勤務表（参照用）'!M44</f>
        <v/>
      </c>
      <c r="N44" s="29">
        <f>'勤務表（参照用）'!N44</f>
        <v>0</v>
      </c>
      <c r="O44" s="29" t="str">
        <f>'勤務表（参照用）'!O44</f>
        <v/>
      </c>
      <c r="P44" s="29" t="str">
        <f>'勤務表（参照用）'!P44</f>
        <v/>
      </c>
      <c r="Q44" s="29" t="str">
        <f>'勤務表（参照用）'!Q44</f>
        <v/>
      </c>
      <c r="R44" s="29" t="str">
        <f>'勤務表（参照用）'!R44</f>
        <v/>
      </c>
      <c r="S44" s="29" t="str">
        <f>'勤務表（参照用）'!S44</f>
        <v/>
      </c>
      <c r="T44" s="29" t="str">
        <f>'勤務表（参照用）'!T44</f>
        <v/>
      </c>
      <c r="U44" s="29" t="str">
        <f>'勤務表（参照用）'!U44</f>
        <v/>
      </c>
      <c r="V44" s="29" t="str">
        <f>'勤務表（参照用）'!V44</f>
        <v/>
      </c>
      <c r="W44" s="29" t="str">
        <f>'勤務表（参照用）'!W44</f>
        <v/>
      </c>
      <c r="X44" s="29" t="str">
        <f>'勤務表（参照用）'!X44</f>
        <v/>
      </c>
      <c r="Y44" s="29" t="str">
        <f>'勤務表（参照用）'!Y44</f>
        <v/>
      </c>
      <c r="Z44" s="29" t="str">
        <f>'勤務表（参照用）'!Z44</f>
        <v/>
      </c>
      <c r="AA44" s="29" t="str">
        <f>'勤務表（参照用）'!AA44</f>
        <v/>
      </c>
      <c r="AB44" s="29" t="str">
        <f>'勤務表（参照用）'!AB44</f>
        <v/>
      </c>
      <c r="AC44" s="29" t="str">
        <f>'勤務表（参照用）'!AC44</f>
        <v/>
      </c>
      <c r="AD44" s="29" t="str">
        <f>'勤務表（参照用）'!AD44</f>
        <v/>
      </c>
      <c r="AE44" s="29" t="str">
        <f>'勤務表（参照用）'!AE44</f>
        <v/>
      </c>
      <c r="AF44" s="29" t="str">
        <f>'勤務表（参照用）'!AF44</f>
        <v/>
      </c>
      <c r="AG44" s="29" t="str">
        <f>'勤務表（参照用）'!AG44</f>
        <v/>
      </c>
      <c r="AH44" s="29" t="str">
        <f>'勤務表（参照用）'!AH44</f>
        <v/>
      </c>
    </row>
    <row r="45" spans="3:37" ht="13.15" customHeight="1" x14ac:dyDescent="0.2">
      <c r="C45" s="69">
        <f>'勤務表（参照用）'!C45</f>
        <v>0</v>
      </c>
      <c r="D45" s="29" t="str">
        <f>'勤務表（参照用）'!D45</f>
        <v/>
      </c>
      <c r="E45" s="29" t="str">
        <f>'勤務表（参照用）'!E45</f>
        <v/>
      </c>
      <c r="F45" s="29" t="str">
        <f>'勤務表（参照用）'!F45</f>
        <v/>
      </c>
      <c r="G45" s="29" t="str">
        <f>'勤務表（参照用）'!G45</f>
        <v/>
      </c>
      <c r="H45" s="29" t="str">
        <f>'勤務表（参照用）'!H45</f>
        <v/>
      </c>
      <c r="I45" s="29" t="str">
        <f>'勤務表（参照用）'!I45</f>
        <v/>
      </c>
      <c r="J45" s="29" t="str">
        <f>'勤務表（参照用）'!J45</f>
        <v/>
      </c>
      <c r="K45" s="29" t="str">
        <f>'勤務表（参照用）'!K45</f>
        <v/>
      </c>
      <c r="L45" s="29" t="str">
        <f>'勤務表（参照用）'!L45</f>
        <v/>
      </c>
      <c r="M45" s="29" t="str">
        <f>'勤務表（参照用）'!M45</f>
        <v/>
      </c>
      <c r="N45" s="29">
        <f>'勤務表（参照用）'!N45</f>
        <v>0</v>
      </c>
      <c r="O45" s="29" t="str">
        <f>'勤務表（参照用）'!O45</f>
        <v/>
      </c>
      <c r="P45" s="29" t="str">
        <f>'勤務表（参照用）'!P45</f>
        <v/>
      </c>
      <c r="Q45" s="29" t="str">
        <f>'勤務表（参照用）'!Q45</f>
        <v/>
      </c>
      <c r="R45" s="29" t="str">
        <f>'勤務表（参照用）'!R45</f>
        <v/>
      </c>
      <c r="S45" s="29" t="str">
        <f>'勤務表（参照用）'!S45</f>
        <v/>
      </c>
      <c r="T45" s="29" t="str">
        <f>'勤務表（参照用）'!T45</f>
        <v/>
      </c>
      <c r="U45" s="29" t="str">
        <f>'勤務表（参照用）'!U45</f>
        <v/>
      </c>
      <c r="V45" s="29" t="str">
        <f>'勤務表（参照用）'!V45</f>
        <v/>
      </c>
      <c r="W45" s="29" t="str">
        <f>'勤務表（参照用）'!W45</f>
        <v/>
      </c>
      <c r="X45" s="29" t="str">
        <f>'勤務表（参照用）'!X45</f>
        <v/>
      </c>
      <c r="Y45" s="29" t="str">
        <f>'勤務表（参照用）'!Y45</f>
        <v/>
      </c>
      <c r="Z45" s="29" t="str">
        <f>'勤務表（参照用）'!Z45</f>
        <v/>
      </c>
      <c r="AA45" s="29" t="str">
        <f>'勤務表（参照用）'!AA45</f>
        <v/>
      </c>
      <c r="AB45" s="29" t="str">
        <f>'勤務表（参照用）'!AB45</f>
        <v/>
      </c>
      <c r="AC45" s="29" t="str">
        <f>'勤務表（参照用）'!AC45</f>
        <v/>
      </c>
      <c r="AD45" s="29" t="str">
        <f>'勤務表（参照用）'!AD45</f>
        <v/>
      </c>
      <c r="AE45" s="29" t="str">
        <f>'勤務表（参照用）'!AE45</f>
        <v/>
      </c>
      <c r="AF45" s="29" t="str">
        <f>'勤務表（参照用）'!AF45</f>
        <v/>
      </c>
      <c r="AG45" s="29" t="str">
        <f>'勤務表（参照用）'!AG45</f>
        <v/>
      </c>
      <c r="AH45" s="29" t="str">
        <f>'勤務表（参照用）'!AH45</f>
        <v/>
      </c>
    </row>
    <row r="46" spans="3:37" ht="13.15" customHeight="1" x14ac:dyDescent="0.2">
      <c r="C46" s="70">
        <f>'勤務表（参照用）'!C46</f>
        <v>0</v>
      </c>
      <c r="D46" s="65" t="str">
        <f>'勤務表（参照用）'!D46</f>
        <v/>
      </c>
      <c r="E46" s="66" t="str">
        <f>'勤務表（参照用）'!E46</f>
        <v/>
      </c>
      <c r="F46" s="66" t="str">
        <f>'勤務表（参照用）'!F46</f>
        <v/>
      </c>
      <c r="G46" s="66" t="str">
        <f>'勤務表（参照用）'!G46</f>
        <v/>
      </c>
      <c r="H46" s="66" t="str">
        <f>'勤務表（参照用）'!H46</f>
        <v/>
      </c>
      <c r="I46" s="66" t="str">
        <f>'勤務表（参照用）'!I46</f>
        <v/>
      </c>
      <c r="J46" s="66" t="str">
        <f>'勤務表（参照用）'!J46</f>
        <v/>
      </c>
      <c r="K46" s="66" t="str">
        <f>'勤務表（参照用）'!K46</f>
        <v/>
      </c>
      <c r="L46" s="66" t="str">
        <f>'勤務表（参照用）'!L46</f>
        <v/>
      </c>
      <c r="M46" s="66" t="str">
        <f>'勤務表（参照用）'!M46</f>
        <v/>
      </c>
      <c r="N46" s="66">
        <f>'勤務表（参照用）'!N46</f>
        <v>0</v>
      </c>
      <c r="O46" s="66" t="str">
        <f>'勤務表（参照用）'!O46</f>
        <v/>
      </c>
      <c r="P46" s="66" t="str">
        <f>'勤務表（参照用）'!P46</f>
        <v/>
      </c>
      <c r="Q46" s="66" t="str">
        <f>'勤務表（参照用）'!Q46</f>
        <v/>
      </c>
      <c r="R46" s="66" t="str">
        <f>'勤務表（参照用）'!R46</f>
        <v/>
      </c>
      <c r="S46" s="66" t="str">
        <f>'勤務表（参照用）'!S46</f>
        <v/>
      </c>
      <c r="T46" s="66" t="str">
        <f>'勤務表（参照用）'!T46</f>
        <v/>
      </c>
      <c r="U46" s="66" t="str">
        <f>'勤務表（参照用）'!U46</f>
        <v/>
      </c>
      <c r="V46" s="66" t="str">
        <f>'勤務表（参照用）'!V46</f>
        <v/>
      </c>
      <c r="W46" s="66" t="str">
        <f>'勤務表（参照用）'!W46</f>
        <v/>
      </c>
      <c r="X46" s="66" t="str">
        <f>'勤務表（参照用）'!X46</f>
        <v/>
      </c>
      <c r="Y46" s="66" t="str">
        <f>'勤務表（参照用）'!Y46</f>
        <v/>
      </c>
      <c r="Z46" s="66" t="str">
        <f>'勤務表（参照用）'!Z46</f>
        <v/>
      </c>
      <c r="AA46" s="66" t="str">
        <f>'勤務表（参照用）'!AA46</f>
        <v/>
      </c>
      <c r="AB46" s="66" t="str">
        <f>'勤務表（参照用）'!AB46</f>
        <v/>
      </c>
      <c r="AC46" s="66" t="str">
        <f>'勤務表（参照用）'!AC46</f>
        <v/>
      </c>
      <c r="AD46" s="66" t="str">
        <f>'勤務表（参照用）'!AD46</f>
        <v/>
      </c>
      <c r="AE46" s="66" t="str">
        <f>'勤務表（参照用）'!AE46</f>
        <v/>
      </c>
      <c r="AF46" s="66" t="str">
        <f>'勤務表（参照用）'!AF46</f>
        <v/>
      </c>
      <c r="AG46" s="66" t="str">
        <f>'勤務表（参照用）'!AG46</f>
        <v/>
      </c>
      <c r="AH46" s="67" t="str">
        <f>'勤務表（参照用）'!AH46</f>
        <v/>
      </c>
    </row>
    <row r="47" spans="3:37" ht="13.15" hidden="1" customHeight="1" x14ac:dyDescent="0.2">
      <c r="C47" s="10" t="str">
        <f>'勤務表（参照用）'!C47</f>
        <v/>
      </c>
      <c r="D47" s="20" t="str">
        <f>'勤務表（参照用）'!D47</f>
        <v/>
      </c>
      <c r="E47" s="11" t="str">
        <f>'勤務表（参照用）'!E47</f>
        <v/>
      </c>
      <c r="F47" s="11" t="str">
        <f>'勤務表（参照用）'!F47</f>
        <v/>
      </c>
      <c r="G47" s="11" t="str">
        <f>'勤務表（参照用）'!G47</f>
        <v/>
      </c>
      <c r="H47" s="11" t="str">
        <f>'勤務表（参照用）'!H47</f>
        <v/>
      </c>
      <c r="I47" s="11" t="str">
        <f>'勤務表（参照用）'!I47</f>
        <v/>
      </c>
      <c r="J47" s="11" t="str">
        <f>'勤務表（参照用）'!J47</f>
        <v/>
      </c>
      <c r="K47" s="11" t="str">
        <f>'勤務表（参照用）'!K47</f>
        <v/>
      </c>
      <c r="L47" s="11" t="str">
        <f>'勤務表（参照用）'!L47</f>
        <v/>
      </c>
      <c r="M47" s="11" t="str">
        <f>'勤務表（参照用）'!M47</f>
        <v/>
      </c>
      <c r="N47" s="11" t="str">
        <f>'勤務表（参照用）'!N47</f>
        <v/>
      </c>
      <c r="O47" s="11" t="str">
        <f>'勤務表（参照用）'!O47</f>
        <v/>
      </c>
      <c r="P47" s="11" t="str">
        <f>'勤務表（参照用）'!P47</f>
        <v/>
      </c>
      <c r="Q47" s="11" t="str">
        <f>'勤務表（参照用）'!Q47</f>
        <v/>
      </c>
      <c r="R47" s="11" t="str">
        <f>'勤務表（参照用）'!R47</f>
        <v/>
      </c>
      <c r="S47" s="11" t="str">
        <f>'勤務表（参照用）'!S47</f>
        <v/>
      </c>
      <c r="T47" s="11" t="str">
        <f>'勤務表（参照用）'!T47</f>
        <v/>
      </c>
      <c r="U47" s="11" t="str">
        <f>'勤務表（参照用）'!U47</f>
        <v/>
      </c>
      <c r="V47" s="11" t="str">
        <f>'勤務表（参照用）'!V47</f>
        <v/>
      </c>
      <c r="W47" s="11" t="str">
        <f>'勤務表（参照用）'!W47</f>
        <v/>
      </c>
      <c r="X47" s="11" t="str">
        <f>'勤務表（参照用）'!X47</f>
        <v/>
      </c>
      <c r="Y47" s="11" t="str">
        <f>'勤務表（参照用）'!Y47</f>
        <v/>
      </c>
      <c r="Z47" s="11" t="str">
        <f>'勤務表（参照用）'!Z47</f>
        <v/>
      </c>
      <c r="AA47" s="11" t="str">
        <f>'勤務表（参照用）'!AA47</f>
        <v/>
      </c>
      <c r="AB47" s="11" t="str">
        <f>'勤務表（参照用）'!AB47</f>
        <v/>
      </c>
      <c r="AC47" s="11" t="str">
        <f>'勤務表（参照用）'!AC47</f>
        <v/>
      </c>
      <c r="AD47" s="11" t="str">
        <f>'勤務表（参照用）'!AD47</f>
        <v/>
      </c>
      <c r="AE47" s="11" t="str">
        <f>'勤務表（参照用）'!AE47</f>
        <v/>
      </c>
      <c r="AF47" s="11" t="str">
        <f>'勤務表（参照用）'!AF47</f>
        <v/>
      </c>
      <c r="AG47" s="11" t="str">
        <f>'勤務表（参照用）'!AG47</f>
        <v/>
      </c>
      <c r="AH47" s="10" t="str">
        <f>'勤務表（参照用）'!AH47</f>
        <v/>
      </c>
    </row>
    <row r="48" spans="3:37" ht="13.15" hidden="1" customHeight="1" x14ac:dyDescent="0.2">
      <c r="C48" s="14" t="str">
        <f>'勤務表（参照用）'!C48</f>
        <v/>
      </c>
      <c r="D48" s="22" t="str">
        <f>'勤務表（参照用）'!D48</f>
        <v/>
      </c>
      <c r="E48" s="15" t="str">
        <f>'勤務表（参照用）'!E48</f>
        <v/>
      </c>
      <c r="F48" s="15" t="str">
        <f>'勤務表（参照用）'!F48</f>
        <v/>
      </c>
      <c r="G48" s="15" t="str">
        <f>'勤務表（参照用）'!G48</f>
        <v/>
      </c>
      <c r="H48" s="15" t="str">
        <f>'勤務表（参照用）'!H48</f>
        <v/>
      </c>
      <c r="I48" s="15" t="str">
        <f>'勤務表（参照用）'!I48</f>
        <v/>
      </c>
      <c r="J48" s="15" t="str">
        <f>'勤務表（参照用）'!J48</f>
        <v/>
      </c>
      <c r="K48" s="15" t="str">
        <f>'勤務表（参照用）'!K48</f>
        <v/>
      </c>
      <c r="L48" s="15" t="str">
        <f>'勤務表（参照用）'!L48</f>
        <v/>
      </c>
      <c r="M48" s="15" t="str">
        <f>'勤務表（参照用）'!M48</f>
        <v/>
      </c>
      <c r="N48" s="15" t="str">
        <f>'勤務表（参照用）'!N48</f>
        <v/>
      </c>
      <c r="O48" s="15" t="str">
        <f>'勤務表（参照用）'!O48</f>
        <v/>
      </c>
      <c r="P48" s="15" t="str">
        <f>'勤務表（参照用）'!P48</f>
        <v/>
      </c>
      <c r="Q48" s="15" t="str">
        <f>'勤務表（参照用）'!Q48</f>
        <v/>
      </c>
      <c r="R48" s="15" t="str">
        <f>'勤務表（参照用）'!R48</f>
        <v/>
      </c>
      <c r="S48" s="15" t="str">
        <f>'勤務表（参照用）'!S48</f>
        <v/>
      </c>
      <c r="T48" s="15" t="str">
        <f>'勤務表（参照用）'!T48</f>
        <v/>
      </c>
      <c r="U48" s="15" t="str">
        <f>'勤務表（参照用）'!U48</f>
        <v/>
      </c>
      <c r="V48" s="15" t="str">
        <f>'勤務表（参照用）'!V48</f>
        <v/>
      </c>
      <c r="W48" s="15" t="str">
        <f>'勤務表（参照用）'!W48</f>
        <v/>
      </c>
      <c r="X48" s="15" t="str">
        <f>'勤務表（参照用）'!X48</f>
        <v/>
      </c>
      <c r="Y48" s="15" t="str">
        <f>'勤務表（参照用）'!Y48</f>
        <v/>
      </c>
      <c r="Z48" s="15" t="str">
        <f>'勤務表（参照用）'!Z48</f>
        <v/>
      </c>
      <c r="AA48" s="15" t="str">
        <f>'勤務表（参照用）'!AA48</f>
        <v/>
      </c>
      <c r="AB48" s="15" t="str">
        <f>'勤務表（参照用）'!AB48</f>
        <v/>
      </c>
      <c r="AC48" s="15" t="str">
        <f>'勤務表（参照用）'!AC48</f>
        <v/>
      </c>
      <c r="AD48" s="15" t="str">
        <f>'勤務表（参照用）'!AD48</f>
        <v/>
      </c>
      <c r="AE48" s="15" t="str">
        <f>'勤務表（参照用）'!AE48</f>
        <v/>
      </c>
      <c r="AF48" s="15" t="str">
        <f>'勤務表（参照用）'!AF48</f>
        <v/>
      </c>
      <c r="AG48" s="15" t="str">
        <f>'勤務表（参照用）'!AG48</f>
        <v/>
      </c>
      <c r="AH48" s="14" t="str">
        <f>'勤務表（参照用）'!AH48</f>
        <v/>
      </c>
    </row>
    <row r="49" spans="3:36" ht="13.15" hidden="1" customHeight="1" x14ac:dyDescent="0.2">
      <c r="C49" s="14" t="str">
        <f>'勤務表（参照用）'!C49</f>
        <v/>
      </c>
      <c r="D49" s="22" t="str">
        <f>'勤務表（参照用）'!D49</f>
        <v/>
      </c>
      <c r="E49" s="15" t="str">
        <f>'勤務表（参照用）'!E49</f>
        <v/>
      </c>
      <c r="F49" s="15" t="str">
        <f>'勤務表（参照用）'!F49</f>
        <v/>
      </c>
      <c r="G49" s="15" t="str">
        <f>'勤務表（参照用）'!G49</f>
        <v/>
      </c>
      <c r="H49" s="15" t="str">
        <f>'勤務表（参照用）'!H49</f>
        <v/>
      </c>
      <c r="I49" s="15" t="str">
        <f>'勤務表（参照用）'!I49</f>
        <v/>
      </c>
      <c r="J49" s="15" t="str">
        <f>'勤務表（参照用）'!J49</f>
        <v/>
      </c>
      <c r="K49" s="15" t="str">
        <f>'勤務表（参照用）'!K49</f>
        <v/>
      </c>
      <c r="L49" s="15" t="str">
        <f>'勤務表（参照用）'!L49</f>
        <v/>
      </c>
      <c r="M49" s="15" t="str">
        <f>'勤務表（参照用）'!M49</f>
        <v/>
      </c>
      <c r="N49" s="15" t="str">
        <f>'勤務表（参照用）'!N49</f>
        <v/>
      </c>
      <c r="O49" s="15" t="str">
        <f>'勤務表（参照用）'!O49</f>
        <v/>
      </c>
      <c r="P49" s="15" t="str">
        <f>'勤務表（参照用）'!P49</f>
        <v/>
      </c>
      <c r="Q49" s="15" t="str">
        <f>'勤務表（参照用）'!Q49</f>
        <v/>
      </c>
      <c r="R49" s="15" t="str">
        <f>'勤務表（参照用）'!R49</f>
        <v/>
      </c>
      <c r="S49" s="15" t="str">
        <f>'勤務表（参照用）'!S49</f>
        <v/>
      </c>
      <c r="T49" s="15" t="str">
        <f>'勤務表（参照用）'!T49</f>
        <v/>
      </c>
      <c r="U49" s="15" t="str">
        <f>'勤務表（参照用）'!U49</f>
        <v/>
      </c>
      <c r="V49" s="15" t="str">
        <f>'勤務表（参照用）'!V49</f>
        <v/>
      </c>
      <c r="W49" s="15" t="str">
        <f>'勤務表（参照用）'!W49</f>
        <v/>
      </c>
      <c r="X49" s="15" t="str">
        <f>'勤務表（参照用）'!X49</f>
        <v/>
      </c>
      <c r="Y49" s="15" t="str">
        <f>'勤務表（参照用）'!Y49</f>
        <v/>
      </c>
      <c r="Z49" s="15" t="str">
        <f>'勤務表（参照用）'!Z49</f>
        <v/>
      </c>
      <c r="AA49" s="15" t="str">
        <f>'勤務表（参照用）'!AA49</f>
        <v/>
      </c>
      <c r="AB49" s="15" t="str">
        <f>'勤務表（参照用）'!AB49</f>
        <v/>
      </c>
      <c r="AC49" s="15" t="str">
        <f>'勤務表（参照用）'!AC49</f>
        <v/>
      </c>
      <c r="AD49" s="15" t="str">
        <f>'勤務表（参照用）'!AD49</f>
        <v/>
      </c>
      <c r="AE49" s="15" t="str">
        <f>'勤務表（参照用）'!AE49</f>
        <v/>
      </c>
      <c r="AF49" s="15" t="str">
        <f>'勤務表（参照用）'!AF49</f>
        <v/>
      </c>
      <c r="AG49" s="15" t="str">
        <f>'勤務表（参照用）'!AG49</f>
        <v/>
      </c>
      <c r="AH49" s="14" t="str">
        <f>'勤務表（参照用）'!AH49</f>
        <v/>
      </c>
    </row>
    <row r="50" spans="3:36" ht="13.15" hidden="1" customHeight="1" x14ac:dyDescent="0.2">
      <c r="C50" s="14" t="str">
        <f>'勤務表（参照用）'!C50</f>
        <v/>
      </c>
      <c r="D50" s="22" t="str">
        <f>'勤務表（参照用）'!D50</f>
        <v/>
      </c>
      <c r="E50" s="15" t="str">
        <f>'勤務表（参照用）'!E50</f>
        <v/>
      </c>
      <c r="F50" s="15" t="str">
        <f>'勤務表（参照用）'!F50</f>
        <v/>
      </c>
      <c r="G50" s="15" t="str">
        <f>'勤務表（参照用）'!G50</f>
        <v/>
      </c>
      <c r="H50" s="15" t="str">
        <f>'勤務表（参照用）'!H50</f>
        <v/>
      </c>
      <c r="I50" s="15" t="str">
        <f>'勤務表（参照用）'!I50</f>
        <v/>
      </c>
      <c r="J50" s="15" t="str">
        <f>'勤務表（参照用）'!J50</f>
        <v/>
      </c>
      <c r="K50" s="15" t="str">
        <f>'勤務表（参照用）'!K50</f>
        <v/>
      </c>
      <c r="L50" s="15" t="str">
        <f>'勤務表（参照用）'!L50</f>
        <v/>
      </c>
      <c r="M50" s="15" t="str">
        <f>'勤務表（参照用）'!M50</f>
        <v/>
      </c>
      <c r="N50" s="15" t="str">
        <f>'勤務表（参照用）'!N50</f>
        <v/>
      </c>
      <c r="O50" s="15" t="str">
        <f>'勤務表（参照用）'!O50</f>
        <v/>
      </c>
      <c r="P50" s="15" t="str">
        <f>'勤務表（参照用）'!P50</f>
        <v/>
      </c>
      <c r="Q50" s="15" t="str">
        <f>'勤務表（参照用）'!Q50</f>
        <v/>
      </c>
      <c r="R50" s="15" t="str">
        <f>'勤務表（参照用）'!R50</f>
        <v/>
      </c>
      <c r="S50" s="15" t="str">
        <f>'勤務表（参照用）'!S50</f>
        <v/>
      </c>
      <c r="T50" s="15" t="str">
        <f>'勤務表（参照用）'!T50</f>
        <v/>
      </c>
      <c r="U50" s="15" t="str">
        <f>'勤務表（参照用）'!U50</f>
        <v/>
      </c>
      <c r="V50" s="15" t="str">
        <f>'勤務表（参照用）'!V50</f>
        <v/>
      </c>
      <c r="W50" s="15" t="str">
        <f>'勤務表（参照用）'!W50</f>
        <v/>
      </c>
      <c r="X50" s="15" t="str">
        <f>'勤務表（参照用）'!X50</f>
        <v/>
      </c>
      <c r="Y50" s="15" t="str">
        <f>'勤務表（参照用）'!Y50</f>
        <v/>
      </c>
      <c r="Z50" s="15" t="str">
        <f>'勤務表（参照用）'!Z50</f>
        <v/>
      </c>
      <c r="AA50" s="15" t="str">
        <f>'勤務表（参照用）'!AA50</f>
        <v/>
      </c>
      <c r="AB50" s="15" t="str">
        <f>'勤務表（参照用）'!AB50</f>
        <v/>
      </c>
      <c r="AC50" s="15" t="str">
        <f>'勤務表（参照用）'!AC50</f>
        <v/>
      </c>
      <c r="AD50" s="15" t="str">
        <f>'勤務表（参照用）'!AD50</f>
        <v/>
      </c>
      <c r="AE50" s="15" t="str">
        <f>'勤務表（参照用）'!AE50</f>
        <v/>
      </c>
      <c r="AF50" s="15" t="str">
        <f>'勤務表（参照用）'!AF50</f>
        <v/>
      </c>
      <c r="AG50" s="15" t="str">
        <f>'勤務表（参照用）'!AG50</f>
        <v/>
      </c>
      <c r="AH50" s="14" t="str">
        <f>'勤務表（参照用）'!AH50</f>
        <v/>
      </c>
    </row>
    <row r="51" spans="3:36" ht="13.15" hidden="1" customHeight="1" x14ac:dyDescent="0.2">
      <c r="C51" s="17" t="str">
        <f>'勤務表（参照用）'!C51</f>
        <v/>
      </c>
      <c r="D51" s="24" t="str">
        <f>'勤務表（参照用）'!D51</f>
        <v/>
      </c>
      <c r="E51" s="18" t="str">
        <f>'勤務表（参照用）'!E51</f>
        <v/>
      </c>
      <c r="F51" s="18" t="str">
        <f>'勤務表（参照用）'!F51</f>
        <v/>
      </c>
      <c r="G51" s="18" t="str">
        <f>'勤務表（参照用）'!G51</f>
        <v/>
      </c>
      <c r="H51" s="18" t="str">
        <f>'勤務表（参照用）'!H51</f>
        <v/>
      </c>
      <c r="I51" s="18" t="str">
        <f>'勤務表（参照用）'!I51</f>
        <v/>
      </c>
      <c r="J51" s="18" t="str">
        <f>'勤務表（参照用）'!J51</f>
        <v/>
      </c>
      <c r="K51" s="18" t="str">
        <f>'勤務表（参照用）'!K51</f>
        <v/>
      </c>
      <c r="L51" s="18" t="str">
        <f>'勤務表（参照用）'!L51</f>
        <v/>
      </c>
      <c r="M51" s="18" t="str">
        <f>'勤務表（参照用）'!M51</f>
        <v/>
      </c>
      <c r="N51" s="18" t="str">
        <f>'勤務表（参照用）'!N51</f>
        <v/>
      </c>
      <c r="O51" s="18" t="str">
        <f>'勤務表（参照用）'!O51</f>
        <v/>
      </c>
      <c r="P51" s="18" t="str">
        <f>'勤務表（参照用）'!P51</f>
        <v/>
      </c>
      <c r="Q51" s="18" t="str">
        <f>'勤務表（参照用）'!Q51</f>
        <v/>
      </c>
      <c r="R51" s="18" t="str">
        <f>'勤務表（参照用）'!R51</f>
        <v/>
      </c>
      <c r="S51" s="18" t="str">
        <f>'勤務表（参照用）'!S51</f>
        <v/>
      </c>
      <c r="T51" s="18" t="str">
        <f>'勤務表（参照用）'!T51</f>
        <v/>
      </c>
      <c r="U51" s="18" t="str">
        <f>'勤務表（参照用）'!U51</f>
        <v/>
      </c>
      <c r="V51" s="18" t="str">
        <f>'勤務表（参照用）'!V51</f>
        <v/>
      </c>
      <c r="W51" s="18" t="str">
        <f>'勤務表（参照用）'!W51</f>
        <v/>
      </c>
      <c r="X51" s="18" t="str">
        <f>'勤務表（参照用）'!X51</f>
        <v/>
      </c>
      <c r="Y51" s="18" t="str">
        <f>'勤務表（参照用）'!Y51</f>
        <v/>
      </c>
      <c r="Z51" s="18" t="str">
        <f>'勤務表（参照用）'!Z51</f>
        <v/>
      </c>
      <c r="AA51" s="18" t="str">
        <f>'勤務表（参照用）'!AA51</f>
        <v/>
      </c>
      <c r="AB51" s="18" t="str">
        <f>'勤務表（参照用）'!AB51</f>
        <v/>
      </c>
      <c r="AC51" s="18" t="str">
        <f>'勤務表（参照用）'!AC51</f>
        <v/>
      </c>
      <c r="AD51" s="18" t="str">
        <f>'勤務表（参照用）'!AD51</f>
        <v/>
      </c>
      <c r="AE51" s="18" t="str">
        <f>'勤務表（参照用）'!AE51</f>
        <v/>
      </c>
      <c r="AF51" s="18" t="str">
        <f>'勤務表（参照用）'!AF51</f>
        <v/>
      </c>
      <c r="AG51" s="18" t="str">
        <f>'勤務表（参照用）'!AG51</f>
        <v/>
      </c>
      <c r="AH51" s="17" t="str">
        <f>'勤務表（参照用）'!AH51</f>
        <v/>
      </c>
    </row>
    <row r="52" spans="3:36" ht="13.15" customHeight="1" x14ac:dyDescent="0.2"/>
    <row r="53" spans="3:36" ht="19.149999999999999" hidden="1" customHeight="1" x14ac:dyDescent="0.2"/>
    <row r="54" spans="3:36" ht="19.149999999999999" customHeight="1" x14ac:dyDescent="0.2">
      <c r="C54" s="26" t="s">
        <v>0</v>
      </c>
      <c r="D54" s="27">
        <f t="shared" ref="D54:AG56" si="1">COUNTIF(D$4:D$46,$C54)</f>
        <v>2</v>
      </c>
      <c r="E54" s="27">
        <f t="shared" si="1"/>
        <v>2</v>
      </c>
      <c r="F54" s="27">
        <f t="shared" si="1"/>
        <v>2</v>
      </c>
      <c r="G54" s="27">
        <f t="shared" si="1"/>
        <v>2</v>
      </c>
      <c r="H54" s="27">
        <f t="shared" si="1"/>
        <v>2</v>
      </c>
      <c r="I54" s="27">
        <f t="shared" si="1"/>
        <v>2</v>
      </c>
      <c r="J54" s="27">
        <f t="shared" si="1"/>
        <v>2</v>
      </c>
      <c r="K54" s="27">
        <f t="shared" si="1"/>
        <v>2</v>
      </c>
      <c r="L54" s="27">
        <f t="shared" si="1"/>
        <v>2</v>
      </c>
      <c r="M54" s="27">
        <f t="shared" si="1"/>
        <v>2</v>
      </c>
      <c r="N54" s="27">
        <f t="shared" si="1"/>
        <v>2</v>
      </c>
      <c r="O54" s="27">
        <f t="shared" si="1"/>
        <v>2</v>
      </c>
      <c r="P54" s="27">
        <f t="shared" si="1"/>
        <v>2</v>
      </c>
      <c r="Q54" s="27">
        <f t="shared" si="1"/>
        <v>2</v>
      </c>
      <c r="R54" s="27">
        <f t="shared" si="1"/>
        <v>2</v>
      </c>
      <c r="S54" s="27">
        <f t="shared" si="1"/>
        <v>2</v>
      </c>
      <c r="T54" s="27">
        <f t="shared" si="1"/>
        <v>2</v>
      </c>
      <c r="U54" s="27">
        <f t="shared" si="1"/>
        <v>2</v>
      </c>
      <c r="V54" s="27">
        <f t="shared" si="1"/>
        <v>2</v>
      </c>
      <c r="W54" s="27">
        <f t="shared" si="1"/>
        <v>2</v>
      </c>
      <c r="X54" s="27">
        <f t="shared" si="1"/>
        <v>2</v>
      </c>
      <c r="Y54" s="27">
        <f t="shared" si="1"/>
        <v>2</v>
      </c>
      <c r="Z54" s="27">
        <f t="shared" si="1"/>
        <v>2</v>
      </c>
      <c r="AA54" s="27">
        <f t="shared" si="1"/>
        <v>2</v>
      </c>
      <c r="AB54" s="27">
        <f t="shared" si="1"/>
        <v>2</v>
      </c>
      <c r="AC54" s="27">
        <f t="shared" si="1"/>
        <v>2</v>
      </c>
      <c r="AD54" s="27">
        <f t="shared" si="1"/>
        <v>2</v>
      </c>
      <c r="AE54" s="27">
        <f t="shared" si="1"/>
        <v>2</v>
      </c>
      <c r="AF54" s="27">
        <f t="shared" si="1"/>
        <v>2</v>
      </c>
      <c r="AG54" s="27">
        <f t="shared" si="1"/>
        <v>2</v>
      </c>
      <c r="AH54" s="27">
        <f t="shared" ref="AH54" si="2">COUNTIF(AH$4:AH$46,$C54)</f>
        <v>0</v>
      </c>
    </row>
    <row r="55" spans="3:36" x14ac:dyDescent="0.2">
      <c r="C55" s="22" t="s">
        <v>1</v>
      </c>
      <c r="D55" s="15">
        <f>COUNTIF(D$4:D$46,$C55)</f>
        <v>0</v>
      </c>
      <c r="E55" s="15">
        <f t="shared" si="1"/>
        <v>2</v>
      </c>
      <c r="F55" s="15">
        <f t="shared" si="1"/>
        <v>2</v>
      </c>
      <c r="G55" s="15">
        <f t="shared" si="1"/>
        <v>2</v>
      </c>
      <c r="H55" s="15">
        <f t="shared" si="1"/>
        <v>2</v>
      </c>
      <c r="I55" s="15">
        <f t="shared" si="1"/>
        <v>2</v>
      </c>
      <c r="J55" s="15">
        <f t="shared" si="1"/>
        <v>2</v>
      </c>
      <c r="K55" s="15">
        <f t="shared" si="1"/>
        <v>2</v>
      </c>
      <c r="L55" s="15">
        <f t="shared" si="1"/>
        <v>2</v>
      </c>
      <c r="M55" s="15">
        <f t="shared" si="1"/>
        <v>2</v>
      </c>
      <c r="N55" s="15">
        <f t="shared" si="1"/>
        <v>2</v>
      </c>
      <c r="O55" s="15">
        <f t="shared" si="1"/>
        <v>2</v>
      </c>
      <c r="P55" s="15">
        <f t="shared" si="1"/>
        <v>2</v>
      </c>
      <c r="Q55" s="15">
        <f t="shared" si="1"/>
        <v>2</v>
      </c>
      <c r="R55" s="15">
        <f t="shared" si="1"/>
        <v>2</v>
      </c>
      <c r="S55" s="15">
        <f t="shared" si="1"/>
        <v>2</v>
      </c>
      <c r="T55" s="15">
        <f t="shared" si="1"/>
        <v>2</v>
      </c>
      <c r="U55" s="15">
        <f t="shared" si="1"/>
        <v>2</v>
      </c>
      <c r="V55" s="15">
        <f t="shared" si="1"/>
        <v>2</v>
      </c>
      <c r="W55" s="15">
        <f t="shared" si="1"/>
        <v>2</v>
      </c>
      <c r="X55" s="15">
        <f t="shared" si="1"/>
        <v>2</v>
      </c>
      <c r="Y55" s="15">
        <f t="shared" si="1"/>
        <v>2</v>
      </c>
      <c r="Z55" s="15">
        <f t="shared" si="1"/>
        <v>2</v>
      </c>
      <c r="AA55" s="15">
        <f t="shared" si="1"/>
        <v>2</v>
      </c>
      <c r="AB55" s="15">
        <f t="shared" si="1"/>
        <v>2</v>
      </c>
      <c r="AC55" s="15">
        <f t="shared" si="1"/>
        <v>2</v>
      </c>
      <c r="AD55" s="15">
        <f t="shared" si="1"/>
        <v>2</v>
      </c>
      <c r="AE55" s="15">
        <f t="shared" si="1"/>
        <v>2</v>
      </c>
      <c r="AF55" s="15">
        <f t="shared" si="1"/>
        <v>2</v>
      </c>
      <c r="AG55" s="15">
        <f t="shared" si="1"/>
        <v>2</v>
      </c>
      <c r="AH55" s="14">
        <f>COUNTIF(AH$4:AH$46,$C55)</f>
        <v>0</v>
      </c>
    </row>
    <row r="56" spans="3:36" x14ac:dyDescent="0.2">
      <c r="C56" s="22" t="s">
        <v>2</v>
      </c>
      <c r="D56" s="15">
        <f>COUNTIF(D$4:D$46,$C56)</f>
        <v>0</v>
      </c>
      <c r="E56" s="15">
        <f t="shared" si="1"/>
        <v>0</v>
      </c>
      <c r="F56" s="15">
        <f>COUNTIF(F$4:F$46,$C56)</f>
        <v>0</v>
      </c>
      <c r="G56" s="15">
        <f t="shared" si="1"/>
        <v>0</v>
      </c>
      <c r="H56" s="15">
        <f t="shared" si="1"/>
        <v>0</v>
      </c>
      <c r="I56" s="15">
        <f t="shared" si="1"/>
        <v>35</v>
      </c>
      <c r="J56" s="15">
        <f t="shared" si="1"/>
        <v>2</v>
      </c>
      <c r="K56" s="15">
        <f t="shared" si="1"/>
        <v>2</v>
      </c>
      <c r="L56" s="15">
        <f t="shared" si="1"/>
        <v>0</v>
      </c>
      <c r="M56" s="15">
        <f t="shared" si="1"/>
        <v>0</v>
      </c>
      <c r="N56" s="15">
        <f t="shared" si="1"/>
        <v>0</v>
      </c>
      <c r="O56" s="15">
        <f t="shared" si="1"/>
        <v>0</v>
      </c>
      <c r="P56" s="15">
        <f t="shared" si="1"/>
        <v>35</v>
      </c>
      <c r="Q56" s="15">
        <f t="shared" si="1"/>
        <v>2</v>
      </c>
      <c r="R56" s="15">
        <f t="shared" si="1"/>
        <v>2</v>
      </c>
      <c r="S56" s="15">
        <f t="shared" si="1"/>
        <v>0</v>
      </c>
      <c r="T56" s="15">
        <f t="shared" si="1"/>
        <v>0</v>
      </c>
      <c r="U56" s="15">
        <f t="shared" si="1"/>
        <v>0</v>
      </c>
      <c r="V56" s="15">
        <f t="shared" si="1"/>
        <v>0</v>
      </c>
      <c r="W56" s="15">
        <f t="shared" si="1"/>
        <v>35</v>
      </c>
      <c r="X56" s="15">
        <f t="shared" si="1"/>
        <v>2</v>
      </c>
      <c r="Y56" s="15">
        <f t="shared" si="1"/>
        <v>2</v>
      </c>
      <c r="Z56" s="15">
        <f t="shared" si="1"/>
        <v>0</v>
      </c>
      <c r="AA56" s="15">
        <f t="shared" si="1"/>
        <v>0</v>
      </c>
      <c r="AB56" s="15">
        <f t="shared" si="1"/>
        <v>0</v>
      </c>
      <c r="AC56" s="15">
        <f t="shared" si="1"/>
        <v>0</v>
      </c>
      <c r="AD56" s="15">
        <f t="shared" si="1"/>
        <v>35</v>
      </c>
      <c r="AE56" s="15">
        <f t="shared" si="1"/>
        <v>2</v>
      </c>
      <c r="AF56" s="15">
        <f t="shared" si="1"/>
        <v>2</v>
      </c>
      <c r="AG56" s="15">
        <f t="shared" si="1"/>
        <v>0</v>
      </c>
      <c r="AH56" s="14">
        <f>COUNTIF(AH$4:AH$46,$C56)</f>
        <v>0</v>
      </c>
      <c r="AJ56" s="12">
        <f>SUM(D56:AH56)</f>
        <v>156</v>
      </c>
    </row>
    <row r="57" spans="3:36" x14ac:dyDescent="0.2">
      <c r="C57" s="24" t="s">
        <v>40</v>
      </c>
      <c r="D57" s="18">
        <f t="shared" ref="D57:AG57" si="3">COUNTBLANK(D4:D46)</f>
        <v>41</v>
      </c>
      <c r="E57" s="18">
        <f t="shared" si="3"/>
        <v>39</v>
      </c>
      <c r="F57" s="18">
        <f t="shared" si="3"/>
        <v>39</v>
      </c>
      <c r="G57" s="18">
        <f t="shared" si="3"/>
        <v>39</v>
      </c>
      <c r="H57" s="18">
        <f t="shared" si="3"/>
        <v>3</v>
      </c>
      <c r="I57" s="18">
        <f t="shared" si="3"/>
        <v>4</v>
      </c>
      <c r="J57" s="18">
        <f t="shared" si="3"/>
        <v>37</v>
      </c>
      <c r="K57" s="18">
        <f t="shared" si="3"/>
        <v>37</v>
      </c>
      <c r="L57" s="18">
        <f t="shared" si="3"/>
        <v>39</v>
      </c>
      <c r="M57" s="18">
        <f t="shared" si="3"/>
        <v>39</v>
      </c>
      <c r="N57" s="18">
        <f t="shared" si="3"/>
        <v>35</v>
      </c>
      <c r="O57" s="18">
        <f t="shared" si="3"/>
        <v>3</v>
      </c>
      <c r="P57" s="18">
        <f t="shared" si="3"/>
        <v>4</v>
      </c>
      <c r="Q57" s="18">
        <f t="shared" si="3"/>
        <v>37</v>
      </c>
      <c r="R57" s="18">
        <f t="shared" si="3"/>
        <v>37</v>
      </c>
      <c r="S57" s="18">
        <f t="shared" si="3"/>
        <v>39</v>
      </c>
      <c r="T57" s="18">
        <f t="shared" si="3"/>
        <v>39</v>
      </c>
      <c r="U57" s="18">
        <f t="shared" si="3"/>
        <v>39</v>
      </c>
      <c r="V57" s="18">
        <f t="shared" si="3"/>
        <v>3</v>
      </c>
      <c r="W57" s="18">
        <f t="shared" si="3"/>
        <v>4</v>
      </c>
      <c r="X57" s="18">
        <f t="shared" si="3"/>
        <v>37</v>
      </c>
      <c r="Y57" s="18">
        <f t="shared" si="3"/>
        <v>37</v>
      </c>
      <c r="Z57" s="18">
        <f t="shared" si="3"/>
        <v>39</v>
      </c>
      <c r="AA57" s="18">
        <f t="shared" si="3"/>
        <v>39</v>
      </c>
      <c r="AB57" s="18">
        <f t="shared" si="3"/>
        <v>39</v>
      </c>
      <c r="AC57" s="18">
        <f t="shared" si="3"/>
        <v>3</v>
      </c>
      <c r="AD57" s="18">
        <f t="shared" si="3"/>
        <v>4</v>
      </c>
      <c r="AE57" s="18">
        <f t="shared" si="3"/>
        <v>37</v>
      </c>
      <c r="AF57" s="18">
        <f t="shared" si="3"/>
        <v>37</v>
      </c>
      <c r="AG57" s="18">
        <f t="shared" si="3"/>
        <v>39</v>
      </c>
      <c r="AH57" s="17">
        <f>COUNTBLANK(AH4:AH46)</f>
        <v>43</v>
      </c>
    </row>
  </sheetData>
  <sheetProtection sheet="1" selectLockedCells="1"/>
  <mergeCells count="2">
    <mergeCell ref="C2:C3"/>
    <mergeCell ref="AI2:AI3"/>
  </mergeCells>
  <phoneticPr fontId="1"/>
  <conditionalFormatting sqref="AJ56 C1:AH3 C4:AI4 C5:AH1048576">
    <cfRule type="expression" dxfId="11" priority="4">
      <formula>C1="日拘"</formula>
    </cfRule>
    <cfRule type="expression" dxfId="10" priority="5">
      <formula>C1="PM拘"</formula>
    </cfRule>
    <cfRule type="expression" dxfId="9" priority="6">
      <formula>C1="拘"</formula>
    </cfRule>
  </conditionalFormatting>
  <conditionalFormatting sqref="D2:AH3">
    <cfRule type="expression" dxfId="8" priority="2">
      <formula>AND(OR(D$54&lt;&gt;2,D$55&lt;&gt;2),(D$2&lt;&gt;""))</formula>
    </cfRule>
  </conditionalFormatting>
  <dataValidations count="2">
    <dataValidation type="list" allowBlank="1" showInputMessage="1" showErrorMessage="1" sqref="D46:AH46" xr:uid="{38E588F8-1E93-41C7-8B4E-2C26ABBD6B1B}">
      <formula1>"／,●,○"</formula1>
    </dataValidation>
    <dataValidation type="list" allowBlank="1" showInputMessage="1" showErrorMessage="1" sqref="E41:AH45 D41:D45 AI4" xr:uid="{89532926-E64A-48B3-977B-E78E0478BC76}">
      <formula1>"当,明,／,●,○"</formula1>
    </dataValidation>
  </dataValidations>
  <pageMargins left="0.43307086614173229" right="0" top="0.35433070866141736" bottom="0.35433070866141736" header="0.31496062992125984" footer="0.31496062992125984"/>
  <pageSetup paperSize="9" scale="91"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3" id="{8EB9368C-B778-4914-84D7-B8FB1F7532BD}">
            <xm:f>D4&lt;&gt;'勤務表（参照用）'!D4</xm:f>
            <x14:dxf>
              <fill>
                <patternFill>
                  <bgColor rgb="FFFF99CC"/>
                </patternFill>
              </fill>
            </x14:dxf>
          </x14:cfRule>
          <xm:sqref>D4:AI4 D5:AH46</xm:sqref>
        </x14:conditionalFormatting>
        <x14:conditionalFormatting xmlns:xm="http://schemas.microsoft.com/office/excel/2006/main">
          <x14:cfRule type="expression" priority="1" id="{AE7DF404-E97E-48DE-9FE4-10319925BB40}">
            <xm:f>'勤務表（参照用）'!$AI$55&lt;&gt;$AJ$56</xm:f>
            <x14:dxf>
              <fill>
                <patternFill>
                  <bgColor rgb="FFFF0000"/>
                </patternFill>
              </fill>
            </x14:dxf>
          </x14:cfRule>
          <xm:sqref>C56:AH56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R55"/>
  <sheetViews>
    <sheetView showGridLines="0" workbookViewId="0">
      <pane xSplit="34" ySplit="3" topLeftCell="AI4" activePane="bottomRight" state="frozen"/>
      <selection pane="topRight" activeCell="AI1" sqref="AI1"/>
      <selection pane="bottomLeft" activeCell="A3" sqref="A3"/>
      <selection pane="bottomRight" activeCell="C25" sqref="C25"/>
    </sheetView>
  </sheetViews>
  <sheetFormatPr defaultColWidth="9" defaultRowHeight="12" x14ac:dyDescent="0.2"/>
  <cols>
    <col min="1" max="1" width="3.26953125" style="25" customWidth="1"/>
    <col min="2" max="2" width="6.08984375" style="72" customWidth="1"/>
    <col min="3" max="3" width="12" style="73" customWidth="1"/>
    <col min="4" max="34" width="3.90625" style="12" customWidth="1"/>
    <col min="35" max="35" width="9" style="12"/>
    <col min="36" max="65" width="3.90625" style="12" hidden="1" customWidth="1"/>
    <col min="66" max="66" width="4.7265625" style="12" hidden="1" customWidth="1"/>
    <col min="67" max="69" width="7.26953125" style="12" hidden="1" customWidth="1"/>
    <col min="70" max="70" width="0" style="12" hidden="1" customWidth="1"/>
    <col min="71" max="16384" width="9" style="12"/>
  </cols>
  <sheetData>
    <row r="1" spans="1:70" hidden="1" x14ac:dyDescent="0.2">
      <c r="E1" s="12" t="e">
        <f>'[1]勤務表 (2)'!#REF!</f>
        <v>#REF!</v>
      </c>
      <c r="F1" s="12" t="e">
        <f>'[1]勤務表 (2)'!#REF!</f>
        <v>#REF!</v>
      </c>
      <c r="G1" s="12" t="e">
        <f>'[1]勤務表 (2)'!#REF!</f>
        <v>#REF!</v>
      </c>
      <c r="H1" s="12" t="e">
        <f>'[1]勤務表 (2)'!#REF!</f>
        <v>#REF!</v>
      </c>
      <c r="I1" s="12" t="e">
        <f>'[1]勤務表 (2)'!#REF!</f>
        <v>#REF!</v>
      </c>
      <c r="J1" s="12" t="e">
        <f>'[1]勤務表 (2)'!#REF!</f>
        <v>#REF!</v>
      </c>
      <c r="K1" s="12" t="e">
        <f>'[1]勤務表 (2)'!#REF!</f>
        <v>#REF!</v>
      </c>
      <c r="L1" s="12" t="e">
        <f>'[1]勤務表 (2)'!#REF!</f>
        <v>#REF!</v>
      </c>
      <c r="M1" s="12" t="e">
        <f>'[1]勤務表 (2)'!#REF!</f>
        <v>#REF!</v>
      </c>
      <c r="N1" s="12" t="e">
        <f>'[1]勤務表 (2)'!#REF!</f>
        <v>#REF!</v>
      </c>
      <c r="O1" s="12" t="e">
        <f>'[1]勤務表 (2)'!#REF!</f>
        <v>#REF!</v>
      </c>
      <c r="P1" s="12" t="e">
        <f>'[1]勤務表 (2)'!#REF!</f>
        <v>#REF!</v>
      </c>
      <c r="Q1" s="12" t="e">
        <f>'[1]勤務表 (2)'!#REF!</f>
        <v>#REF!</v>
      </c>
      <c r="R1" s="12" t="e">
        <f>'[1]勤務表 (2)'!#REF!</f>
        <v>#REF!</v>
      </c>
      <c r="S1" s="12" t="e">
        <f>'[1]勤務表 (2)'!#REF!</f>
        <v>#REF!</v>
      </c>
      <c r="T1" s="12" t="e">
        <f>'[1]勤務表 (2)'!#REF!</f>
        <v>#REF!</v>
      </c>
      <c r="U1" s="12" t="e">
        <f>'[1]勤務表 (2)'!#REF!</f>
        <v>#REF!</v>
      </c>
      <c r="V1" s="12" t="e">
        <f>'[1]勤務表 (2)'!#REF!</f>
        <v>#REF!</v>
      </c>
      <c r="W1" s="12" t="e">
        <f>'[1]勤務表 (2)'!#REF!</f>
        <v>#REF!</v>
      </c>
      <c r="X1" s="12" t="e">
        <f>'[1]勤務表 (2)'!#REF!</f>
        <v>#REF!</v>
      </c>
      <c r="Y1" s="12" t="e">
        <f>'[1]勤務表 (2)'!#REF!</f>
        <v>#REF!</v>
      </c>
      <c r="Z1" s="12" t="e">
        <f>'[1]勤務表 (2)'!#REF!</f>
        <v>#REF!</v>
      </c>
      <c r="AA1" s="12" t="e">
        <f>'[1]勤務表 (2)'!#REF!</f>
        <v>#REF!</v>
      </c>
      <c r="AB1" s="12" t="e">
        <f>'[1]勤務表 (2)'!#REF!</f>
        <v>#REF!</v>
      </c>
      <c r="AC1" s="12" t="e">
        <f>'[1]勤務表 (2)'!#REF!</f>
        <v>#REF!</v>
      </c>
      <c r="AD1" s="12" t="e">
        <f>'[1]勤務表 (2)'!#REF!</f>
        <v>#REF!</v>
      </c>
      <c r="AE1" s="12" t="e">
        <f>'[1]勤務表 (2)'!#REF!</f>
        <v>#REF!</v>
      </c>
      <c r="AF1" s="12" t="e">
        <f>'[1]勤務表 (2)'!#REF!</f>
        <v>#REF!</v>
      </c>
      <c r="AG1" s="12" t="e">
        <f>'[1]勤務表 (2)'!#REF!</f>
        <v>#REF!</v>
      </c>
      <c r="AH1" s="12" t="e">
        <f>'[1]勤務表 (2)'!#REF!</f>
        <v>#REF!</v>
      </c>
    </row>
    <row r="2" spans="1:70" s="4" customFormat="1" ht="13.15" customHeight="1" x14ac:dyDescent="0.2">
      <c r="A2" s="89" t="str">
        <f>YEAR(D2)&amp;"年"</f>
        <v>2025年</v>
      </c>
      <c r="B2" s="90"/>
      <c r="C2" s="93" t="str">
        <f>MONTH(D2)&amp;"月"</f>
        <v>4月</v>
      </c>
      <c r="D2" s="78">
        <f>'[3]勤務表 (2)'!D1</f>
        <v>45748</v>
      </c>
      <c r="E2" s="78">
        <f>'[3]勤務表 (2)'!E1</f>
        <v>45749</v>
      </c>
      <c r="F2" s="78">
        <f>'[3]勤務表 (2)'!F1</f>
        <v>45750</v>
      </c>
      <c r="G2" s="78">
        <f>'[3]勤務表 (2)'!G1</f>
        <v>45751</v>
      </c>
      <c r="H2" s="78">
        <f>'[3]勤務表 (2)'!H1</f>
        <v>45752</v>
      </c>
      <c r="I2" s="78">
        <f>'[3]勤務表 (2)'!I1</f>
        <v>45753</v>
      </c>
      <c r="J2" s="78">
        <f>'[3]勤務表 (2)'!J1</f>
        <v>45754</v>
      </c>
      <c r="K2" s="78">
        <f>'[3]勤務表 (2)'!K1</f>
        <v>45755</v>
      </c>
      <c r="L2" s="78">
        <f>'[3]勤務表 (2)'!L1</f>
        <v>45756</v>
      </c>
      <c r="M2" s="78">
        <f>'[3]勤務表 (2)'!M1</f>
        <v>45757</v>
      </c>
      <c r="N2" s="78">
        <f>'[3]勤務表 (2)'!N1</f>
        <v>45758</v>
      </c>
      <c r="O2" s="78">
        <f>'[3]勤務表 (2)'!O1</f>
        <v>45759</v>
      </c>
      <c r="P2" s="78">
        <f>'[3]勤務表 (2)'!P1</f>
        <v>45760</v>
      </c>
      <c r="Q2" s="78">
        <f>'[3]勤務表 (2)'!Q1</f>
        <v>45761</v>
      </c>
      <c r="R2" s="78">
        <f>'[3]勤務表 (2)'!R1</f>
        <v>45762</v>
      </c>
      <c r="S2" s="78">
        <f>'[3]勤務表 (2)'!S1</f>
        <v>45763</v>
      </c>
      <c r="T2" s="78">
        <f>'[3]勤務表 (2)'!T1</f>
        <v>45764</v>
      </c>
      <c r="U2" s="78">
        <f>'[3]勤務表 (2)'!U1</f>
        <v>45765</v>
      </c>
      <c r="V2" s="78">
        <f>'[3]勤務表 (2)'!V1</f>
        <v>45766</v>
      </c>
      <c r="W2" s="78">
        <f>'[3]勤務表 (2)'!W1</f>
        <v>45767</v>
      </c>
      <c r="X2" s="78">
        <f>'[3]勤務表 (2)'!X1</f>
        <v>45768</v>
      </c>
      <c r="Y2" s="78">
        <f>'[3]勤務表 (2)'!Y1</f>
        <v>45769</v>
      </c>
      <c r="Z2" s="78">
        <f>'[3]勤務表 (2)'!Z1</f>
        <v>45770</v>
      </c>
      <c r="AA2" s="78">
        <f>'[3]勤務表 (2)'!AA1</f>
        <v>45771</v>
      </c>
      <c r="AB2" s="78">
        <f>'[3]勤務表 (2)'!AB1</f>
        <v>45772</v>
      </c>
      <c r="AC2" s="78">
        <f>'[3]勤務表 (2)'!AC1</f>
        <v>45773</v>
      </c>
      <c r="AD2" s="78">
        <f>'[3]勤務表 (2)'!AD1</f>
        <v>45774</v>
      </c>
      <c r="AE2" s="78">
        <f>'[3]勤務表 (2)'!AE1</f>
        <v>45775</v>
      </c>
      <c r="AF2" s="78">
        <f>'[3]勤務表 (2)'!AF1</f>
        <v>45776</v>
      </c>
      <c r="AG2" s="78">
        <f>'[3]勤務表 (2)'!AG1</f>
        <v>45777</v>
      </c>
      <c r="AH2" s="78" t="str">
        <f>'[3]勤務表 (2)'!AH1</f>
        <v/>
      </c>
      <c r="AJ2" s="1">
        <f>DATE(YEAR('[2]デイリーデータ (2)'!$D$2),MONTH('[2]デイリーデータ (2)'!$D$2),1)</f>
        <v>43770</v>
      </c>
      <c r="AK2" s="2">
        <f>IF(MONTH(AJ2+1)=MONTH('[2]デイリーデータ (2)'!$D$2),AJ2+1,"")</f>
        <v>43771</v>
      </c>
      <c r="AL2" s="2">
        <f>IF(MONTH(AK2+1)=MONTH('[2]デイリーデータ (2)'!$D$2),AK2+1,"")</f>
        <v>43772</v>
      </c>
      <c r="AM2" s="2">
        <f>IF(MONTH(AL2+1)=MONTH('[2]デイリーデータ (2)'!$D$2),AL2+1,"")</f>
        <v>43773</v>
      </c>
      <c r="AN2" s="2">
        <f>IF(MONTH(AM2+1)=MONTH('[2]デイリーデータ (2)'!$D$2),AM2+1,"")</f>
        <v>43774</v>
      </c>
      <c r="AO2" s="2">
        <f>IF(MONTH(AN2+1)=MONTH('[2]デイリーデータ (2)'!$D$2),AN2+1,"")</f>
        <v>43775</v>
      </c>
      <c r="AP2" s="2">
        <f>IF(MONTH(AO2+1)=MONTH('[2]デイリーデータ (2)'!$D$2),AO2+1,"")</f>
        <v>43776</v>
      </c>
      <c r="AQ2" s="2">
        <f>IF(MONTH(AP2+1)=MONTH('[2]デイリーデータ (2)'!$D$2),AP2+1,"")</f>
        <v>43777</v>
      </c>
      <c r="AR2" s="2">
        <f>IF(MONTH(AQ2+1)=MONTH('[2]デイリーデータ (2)'!$D$2),AQ2+1,"")</f>
        <v>43778</v>
      </c>
      <c r="AS2" s="2">
        <f>IF(MONTH(AR2+1)=MONTH('[2]デイリーデータ (2)'!$D$2),AR2+1,"")</f>
        <v>43779</v>
      </c>
      <c r="AT2" s="2">
        <f>IF(MONTH(AS2+1)=MONTH('[2]デイリーデータ (2)'!$D$2),AS2+1,"")</f>
        <v>43780</v>
      </c>
      <c r="AU2" s="2">
        <f>IF(MONTH(AT2+1)=MONTH('[2]デイリーデータ (2)'!$D$2),AT2+1,"")</f>
        <v>43781</v>
      </c>
      <c r="AV2" s="2">
        <f>IF(MONTH(AU2+1)=MONTH('[2]デイリーデータ (2)'!$D$2),AU2+1,"")</f>
        <v>43782</v>
      </c>
      <c r="AW2" s="2">
        <f>IF(MONTH(AV2+1)=MONTH('[2]デイリーデータ (2)'!$D$2),AV2+1,"")</f>
        <v>43783</v>
      </c>
      <c r="AX2" s="2">
        <f>IF(MONTH(AW2+1)=MONTH('[2]デイリーデータ (2)'!$D$2),AW2+1,"")</f>
        <v>43784</v>
      </c>
      <c r="AY2" s="2">
        <f>IF(MONTH(AX2+1)=MONTH('[2]デイリーデータ (2)'!$D$2),AX2+1,"")</f>
        <v>43785</v>
      </c>
      <c r="AZ2" s="2">
        <f>IF(MONTH(AY2+1)=MONTH('[2]デイリーデータ (2)'!$D$2),AY2+1,"")</f>
        <v>43786</v>
      </c>
      <c r="BA2" s="2">
        <f>IF(MONTH(AZ2+1)=MONTH('[2]デイリーデータ (2)'!$D$2),AZ2+1,"")</f>
        <v>43787</v>
      </c>
      <c r="BB2" s="2">
        <f>IF(MONTH(BA2+1)=MONTH('[2]デイリーデータ (2)'!$D$2),BA2+1,"")</f>
        <v>43788</v>
      </c>
      <c r="BC2" s="2">
        <f>IF(MONTH(BB2+1)=MONTH('[2]デイリーデータ (2)'!$D$2),BB2+1,"")</f>
        <v>43789</v>
      </c>
      <c r="BD2" s="2">
        <f>IF(MONTH(BC2+1)=MONTH('[2]デイリーデータ (2)'!$D$2),BC2+1,"")</f>
        <v>43790</v>
      </c>
      <c r="BE2" s="2">
        <f>IF(MONTH(BD2+1)=MONTH('[2]デイリーデータ (2)'!$D$2),BD2+1,"")</f>
        <v>43791</v>
      </c>
      <c r="BF2" s="2">
        <f>IF(MONTH(BE2+1)=MONTH('[2]デイリーデータ (2)'!$D$2),BE2+1,"")</f>
        <v>43792</v>
      </c>
      <c r="BG2" s="2">
        <f>IF(MONTH(BF2+1)=MONTH('[2]デイリーデータ (2)'!$D$2),BF2+1,"")</f>
        <v>43793</v>
      </c>
      <c r="BH2" s="2">
        <f>IF(MONTH(BG2+1)=MONTH('[2]デイリーデータ (2)'!$D$2),BG2+1,"")</f>
        <v>43794</v>
      </c>
      <c r="BI2" s="2">
        <f>IF(MONTH(BH2+1)=MONTH('[2]デイリーデータ (2)'!$D$2),BH2+1,"")</f>
        <v>43795</v>
      </c>
      <c r="BJ2" s="2">
        <f>IF(MONTH(BI2+1)=MONTH('[2]デイリーデータ (2)'!$D$2),BI2+1,"")</f>
        <v>43796</v>
      </c>
      <c r="BK2" s="2">
        <f>IF(MONTH(BJ2+1)=MONTH('[2]デイリーデータ (2)'!$D$2),BJ2+1,"")</f>
        <v>43797</v>
      </c>
      <c r="BL2" s="2">
        <f>IF(MONTH(BK2+1)=MONTH('[2]デイリーデータ (2)'!$D$2),BK2+1,"")</f>
        <v>43798</v>
      </c>
      <c r="BM2" s="2">
        <f>IF(MONTH(BL2+1)=MONTH('[2]デイリーデータ (2)'!$D$2),BL2+1,"")</f>
        <v>43799</v>
      </c>
      <c r="BN2" s="3" t="str">
        <f>IF(MONTH(BM2+1)=MONTH('[2]デイリーデータ (2)'!$D$2),BM2+1,"")</f>
        <v/>
      </c>
      <c r="BO2" s="4" t="s">
        <v>3</v>
      </c>
      <c r="BR2" s="4">
        <f>COUNTA(BO4:BO47)-COUNTIF(BO4:BO47,0)</f>
        <v>2</v>
      </c>
    </row>
    <row r="3" spans="1:70" s="8" customFormat="1" ht="13.15" customHeight="1" x14ac:dyDescent="0.2">
      <c r="A3" s="91"/>
      <c r="B3" s="92"/>
      <c r="C3" s="94"/>
      <c r="D3" s="79">
        <f>'[3]勤務表 (2)'!D2</f>
        <v>45748</v>
      </c>
      <c r="E3" s="79">
        <f>'[3]勤務表 (2)'!E2</f>
        <v>45749</v>
      </c>
      <c r="F3" s="79">
        <f>'[3]勤務表 (2)'!F2</f>
        <v>45750</v>
      </c>
      <c r="G3" s="79">
        <f>'[3]勤務表 (2)'!G2</f>
        <v>45751</v>
      </c>
      <c r="H3" s="79">
        <f>'[3]勤務表 (2)'!H2</f>
        <v>45752</v>
      </c>
      <c r="I3" s="79">
        <f>'[3]勤務表 (2)'!I2</f>
        <v>45753</v>
      </c>
      <c r="J3" s="79">
        <f>'[3]勤務表 (2)'!J2</f>
        <v>45754</v>
      </c>
      <c r="K3" s="79">
        <f>'[3]勤務表 (2)'!K2</f>
        <v>45755</v>
      </c>
      <c r="L3" s="79">
        <f>'[3]勤務表 (2)'!L2</f>
        <v>45756</v>
      </c>
      <c r="M3" s="79">
        <f>'[3]勤務表 (2)'!M2</f>
        <v>45757</v>
      </c>
      <c r="N3" s="79">
        <f>'[3]勤務表 (2)'!N2</f>
        <v>45758</v>
      </c>
      <c r="O3" s="79">
        <f>'[3]勤務表 (2)'!O2</f>
        <v>45759</v>
      </c>
      <c r="P3" s="79">
        <f>'[3]勤務表 (2)'!P2</f>
        <v>45760</v>
      </c>
      <c r="Q3" s="79">
        <f>'[3]勤務表 (2)'!Q2</f>
        <v>45761</v>
      </c>
      <c r="R3" s="79">
        <f>'[3]勤務表 (2)'!R2</f>
        <v>45762</v>
      </c>
      <c r="S3" s="79">
        <f>'[3]勤務表 (2)'!S2</f>
        <v>45763</v>
      </c>
      <c r="T3" s="79">
        <f>'[3]勤務表 (2)'!T2</f>
        <v>45764</v>
      </c>
      <c r="U3" s="79">
        <f>'[3]勤務表 (2)'!U2</f>
        <v>45765</v>
      </c>
      <c r="V3" s="79">
        <f>'[3]勤務表 (2)'!V2</f>
        <v>45766</v>
      </c>
      <c r="W3" s="79">
        <f>'[3]勤務表 (2)'!W2</f>
        <v>45767</v>
      </c>
      <c r="X3" s="79">
        <f>'[3]勤務表 (2)'!X2</f>
        <v>45768</v>
      </c>
      <c r="Y3" s="79">
        <f>'[3]勤務表 (2)'!Y2</f>
        <v>45769</v>
      </c>
      <c r="Z3" s="79">
        <f>'[3]勤務表 (2)'!Z2</f>
        <v>45770</v>
      </c>
      <c r="AA3" s="79">
        <f>'[3]勤務表 (2)'!AA2</f>
        <v>45771</v>
      </c>
      <c r="AB3" s="79">
        <f>'[3]勤務表 (2)'!AB2</f>
        <v>45772</v>
      </c>
      <c r="AC3" s="79">
        <f>'[3]勤務表 (2)'!AC2</f>
        <v>45773</v>
      </c>
      <c r="AD3" s="79">
        <f>'[3]勤務表 (2)'!AD2</f>
        <v>45774</v>
      </c>
      <c r="AE3" s="79">
        <f>'[3]勤務表 (2)'!AE2</f>
        <v>45775</v>
      </c>
      <c r="AF3" s="79">
        <f>'[3]勤務表 (2)'!AF2</f>
        <v>45776</v>
      </c>
      <c r="AG3" s="79">
        <f>'[3]勤務表 (2)'!AG2</f>
        <v>45777</v>
      </c>
      <c r="AH3" s="79" t="str">
        <f>'[3]勤務表 (2)'!AH2</f>
        <v/>
      </c>
      <c r="AJ3" s="5">
        <f>AJ2</f>
        <v>43770</v>
      </c>
      <c r="AK3" s="6">
        <f>AK2</f>
        <v>43771</v>
      </c>
      <c r="AL3" s="6">
        <f>AL2</f>
        <v>43772</v>
      </c>
      <c r="AM3" s="6">
        <f t="shared" ref="AM3:BN3" si="0">AM2</f>
        <v>43773</v>
      </c>
      <c r="AN3" s="6">
        <f t="shared" si="0"/>
        <v>43774</v>
      </c>
      <c r="AO3" s="6">
        <f t="shared" si="0"/>
        <v>43775</v>
      </c>
      <c r="AP3" s="6">
        <f t="shared" si="0"/>
        <v>43776</v>
      </c>
      <c r="AQ3" s="6">
        <f t="shared" si="0"/>
        <v>43777</v>
      </c>
      <c r="AR3" s="6">
        <f t="shared" si="0"/>
        <v>43778</v>
      </c>
      <c r="AS3" s="6">
        <f t="shared" si="0"/>
        <v>43779</v>
      </c>
      <c r="AT3" s="6">
        <f t="shared" si="0"/>
        <v>43780</v>
      </c>
      <c r="AU3" s="6">
        <f t="shared" si="0"/>
        <v>43781</v>
      </c>
      <c r="AV3" s="6">
        <f t="shared" si="0"/>
        <v>43782</v>
      </c>
      <c r="AW3" s="6">
        <f t="shared" si="0"/>
        <v>43783</v>
      </c>
      <c r="AX3" s="6">
        <f t="shared" si="0"/>
        <v>43784</v>
      </c>
      <c r="AY3" s="6">
        <f t="shared" si="0"/>
        <v>43785</v>
      </c>
      <c r="AZ3" s="6">
        <f t="shared" si="0"/>
        <v>43786</v>
      </c>
      <c r="BA3" s="6">
        <f t="shared" si="0"/>
        <v>43787</v>
      </c>
      <c r="BB3" s="6">
        <f t="shared" si="0"/>
        <v>43788</v>
      </c>
      <c r="BC3" s="6">
        <f t="shared" si="0"/>
        <v>43789</v>
      </c>
      <c r="BD3" s="6">
        <f t="shared" si="0"/>
        <v>43790</v>
      </c>
      <c r="BE3" s="6">
        <f t="shared" si="0"/>
        <v>43791</v>
      </c>
      <c r="BF3" s="6">
        <f t="shared" si="0"/>
        <v>43792</v>
      </c>
      <c r="BG3" s="6">
        <f t="shared" si="0"/>
        <v>43793</v>
      </c>
      <c r="BH3" s="6">
        <f t="shared" si="0"/>
        <v>43794</v>
      </c>
      <c r="BI3" s="6">
        <f t="shared" si="0"/>
        <v>43795</v>
      </c>
      <c r="BJ3" s="6">
        <f t="shared" si="0"/>
        <v>43796</v>
      </c>
      <c r="BK3" s="6">
        <f t="shared" si="0"/>
        <v>43797</v>
      </c>
      <c r="BL3" s="6">
        <f t="shared" si="0"/>
        <v>43798</v>
      </c>
      <c r="BM3" s="6">
        <f t="shared" si="0"/>
        <v>43799</v>
      </c>
      <c r="BN3" s="7" t="str">
        <f t="shared" si="0"/>
        <v/>
      </c>
      <c r="BR3" s="12"/>
    </row>
    <row r="4" spans="1:70" ht="13.15" customHeight="1" x14ac:dyDescent="0.2">
      <c r="A4" s="9">
        <f>'[3]勤務表 (2)'!A3</f>
        <v>1</v>
      </c>
      <c r="B4" s="9" t="str">
        <f>'[3]勤務表 (2)'!B3</f>
        <v>51774</v>
      </c>
      <c r="C4" s="74" t="str">
        <f>'[3]勤務表 (2)'!C3</f>
        <v>山村 博</v>
      </c>
      <c r="D4" s="26" t="str">
        <f>'[3]勤務表 (2)'!D3</f>
        <v/>
      </c>
      <c r="E4" s="26" t="str">
        <f>'[3]勤務表 (2)'!E3</f>
        <v/>
      </c>
      <c r="F4" s="26" t="str">
        <f>'[3]勤務表 (2)'!F3</f>
        <v/>
      </c>
      <c r="G4" s="26" t="str">
        <f>'[3]勤務表 (2)'!G3</f>
        <v/>
      </c>
      <c r="H4" s="26" t="str">
        <f>'[3]勤務表 (2)'!H3</f>
        <v>○</v>
      </c>
      <c r="I4" s="26" t="str">
        <f>'[3]勤務表 (2)'!I3</f>
        <v>●</v>
      </c>
      <c r="J4" s="26" t="str">
        <f>'[3]勤務表 (2)'!J3</f>
        <v/>
      </c>
      <c r="K4" s="26" t="str">
        <f>'[3]勤務表 (2)'!K3</f>
        <v/>
      </c>
      <c r="L4" s="26" t="str">
        <f>'[3]勤務表 (2)'!L3</f>
        <v/>
      </c>
      <c r="M4" s="26" t="str">
        <f>'[3]勤務表 (2)'!M3</f>
        <v/>
      </c>
      <c r="N4" s="26" t="str">
        <f>'[3]勤務表 (2)'!N3</f>
        <v/>
      </c>
      <c r="O4" s="26" t="str">
        <f>'[3]勤務表 (2)'!O3</f>
        <v>○</v>
      </c>
      <c r="P4" s="26" t="str">
        <f>'[3]勤務表 (2)'!P3</f>
        <v>●</v>
      </c>
      <c r="Q4" s="26" t="str">
        <f>'[3]勤務表 (2)'!Q3</f>
        <v/>
      </c>
      <c r="R4" s="26" t="str">
        <f>'[3]勤務表 (2)'!R3</f>
        <v/>
      </c>
      <c r="S4" s="26" t="str">
        <f>'[3]勤務表 (2)'!S3</f>
        <v/>
      </c>
      <c r="T4" s="26" t="str">
        <f>'[3]勤務表 (2)'!T3</f>
        <v/>
      </c>
      <c r="U4" s="26" t="str">
        <f>'[3]勤務表 (2)'!U3</f>
        <v/>
      </c>
      <c r="V4" s="26" t="str">
        <f>'[3]勤務表 (2)'!V3</f>
        <v>○</v>
      </c>
      <c r="W4" s="26" t="str">
        <f>'[3]勤務表 (2)'!W3</f>
        <v>●</v>
      </c>
      <c r="X4" s="26" t="str">
        <f>'[3]勤務表 (2)'!X3</f>
        <v/>
      </c>
      <c r="Y4" s="26" t="str">
        <f>'[3]勤務表 (2)'!Y3</f>
        <v/>
      </c>
      <c r="Z4" s="26" t="str">
        <f>'[3]勤務表 (2)'!Z3</f>
        <v/>
      </c>
      <c r="AA4" s="26" t="str">
        <f>'[3]勤務表 (2)'!AA3</f>
        <v/>
      </c>
      <c r="AB4" s="26" t="str">
        <f>'[3]勤務表 (2)'!AB3</f>
        <v/>
      </c>
      <c r="AC4" s="26" t="str">
        <f>'[3]勤務表 (2)'!AC3</f>
        <v>○</v>
      </c>
      <c r="AD4" s="26" t="str">
        <f>'[3]勤務表 (2)'!AD3</f>
        <v>●</v>
      </c>
      <c r="AE4" s="26" t="str">
        <f>'[3]勤務表 (2)'!AE3</f>
        <v/>
      </c>
      <c r="AF4" s="26" t="str">
        <f>'[3]勤務表 (2)'!AF3</f>
        <v/>
      </c>
      <c r="AG4" s="26" t="str">
        <f>'[3]勤務表 (2)'!AG3</f>
        <v/>
      </c>
      <c r="AH4" s="26" t="str">
        <f>'[3]勤務表 (2)'!AH3</f>
        <v/>
      </c>
      <c r="AJ4" s="12">
        <f>IF(D4&lt;&gt;勤務変更!D4,1,0)</f>
        <v>1</v>
      </c>
      <c r="AK4" s="12">
        <f>IF(E4&lt;&gt;勤務変更!E4,1,0)</f>
        <v>0</v>
      </c>
      <c r="AL4" s="12">
        <f>IF(F4&lt;&gt;勤務変更!F4,1,0)</f>
        <v>0</v>
      </c>
      <c r="AM4" s="12">
        <f>IF(G4&lt;&gt;勤務変更!G4,1,0)</f>
        <v>0</v>
      </c>
      <c r="AN4" s="12">
        <f>IF(H4&lt;&gt;勤務変更!H4,1,0)</f>
        <v>0</v>
      </c>
      <c r="AO4" s="12">
        <f>IF(I4&lt;&gt;勤務変更!I4,1,0)</f>
        <v>0</v>
      </c>
      <c r="AP4" s="12">
        <f>IF(J4&lt;&gt;勤務変更!J4,1,0)</f>
        <v>0</v>
      </c>
      <c r="AQ4" s="12">
        <f>IF(K4&lt;&gt;勤務変更!K4,1,0)</f>
        <v>0</v>
      </c>
      <c r="AR4" s="12">
        <f>IF(L4&lt;&gt;勤務変更!L4,1,0)</f>
        <v>0</v>
      </c>
      <c r="AS4" s="12">
        <f>IF(M4&lt;&gt;勤務変更!M4,1,0)</f>
        <v>0</v>
      </c>
      <c r="AT4" s="12">
        <f>IF(N4&lt;&gt;勤務変更!N4,1,0)</f>
        <v>0</v>
      </c>
      <c r="AU4" s="12">
        <f>IF(O4&lt;&gt;勤務変更!O4,1,0)</f>
        <v>0</v>
      </c>
      <c r="AV4" s="12">
        <f>IF(P4&lt;&gt;勤務変更!P4,1,0)</f>
        <v>0</v>
      </c>
      <c r="AW4" s="12">
        <f>IF(Q4&lt;&gt;勤務変更!Q4,1,0)</f>
        <v>0</v>
      </c>
      <c r="AX4" s="12">
        <f>IF(R4&lt;&gt;勤務変更!R4,1,0)</f>
        <v>0</v>
      </c>
      <c r="AY4" s="12">
        <f>IF(S4&lt;&gt;勤務変更!S4,1,0)</f>
        <v>0</v>
      </c>
      <c r="AZ4" s="12">
        <f>IF(T4&lt;&gt;勤務変更!T4,1,0)</f>
        <v>0</v>
      </c>
      <c r="BA4" s="12">
        <f>IF(U4&lt;&gt;勤務変更!U4,1,0)</f>
        <v>0</v>
      </c>
      <c r="BB4" s="12">
        <f>IF(V4&lt;&gt;勤務変更!V4,1,0)</f>
        <v>0</v>
      </c>
      <c r="BC4" s="12">
        <f>IF(W4&lt;&gt;勤務変更!W4,1,0)</f>
        <v>0</v>
      </c>
      <c r="BD4" s="12">
        <f>IF(X4&lt;&gt;勤務変更!X4,1,0)</f>
        <v>0</v>
      </c>
      <c r="BE4" s="12">
        <f>IF(Y4&lt;&gt;勤務変更!Y4,1,0)</f>
        <v>0</v>
      </c>
      <c r="BF4" s="12">
        <f>IF(Z4&lt;&gt;勤務変更!Z4,1,0)</f>
        <v>0</v>
      </c>
      <c r="BG4" s="12">
        <f>IF(AA4&lt;&gt;勤務変更!AA4,1,0)</f>
        <v>0</v>
      </c>
      <c r="BH4" s="12">
        <f>IF(AB4&lt;&gt;勤務変更!AB4,1,0)</f>
        <v>0</v>
      </c>
      <c r="BI4" s="12">
        <f>IF(AC4&lt;&gt;勤務変更!AC4,1,0)</f>
        <v>0</v>
      </c>
      <c r="BJ4" s="12">
        <f>IF(AD4&lt;&gt;勤務変更!AD4,1,0)</f>
        <v>0</v>
      </c>
      <c r="BK4" s="12">
        <f>IF(AE4&lt;&gt;勤務変更!AE4,1,0)</f>
        <v>0</v>
      </c>
      <c r="BL4" s="12">
        <f>IF(AF4&lt;&gt;勤務変更!AF4,1,0)</f>
        <v>0</v>
      </c>
      <c r="BM4" s="12">
        <f>IF(AG4&lt;&gt;勤務変更!AG4,1,0)</f>
        <v>0</v>
      </c>
      <c r="BN4" s="12">
        <f>IF(AH4&lt;&gt;勤務変更!AH4,1,0)</f>
        <v>0</v>
      </c>
      <c r="BO4" s="12">
        <f>SUM(AJ4:BN4)</f>
        <v>1</v>
      </c>
      <c r="BP4" s="12">
        <f>IF(BR4="","",COUNTA(BR$4:BR4)-COUNTBLANK(BR$4:BR4))</f>
        <v>1</v>
      </c>
      <c r="BQ4" s="12" t="str">
        <f>IF(BO4&lt;&gt;0,B4,"")</f>
        <v>51774</v>
      </c>
      <c r="BR4" s="12" t="str">
        <f>IF(BO4&lt;&gt;0,C4,"")</f>
        <v>山村 博</v>
      </c>
    </row>
    <row r="5" spans="1:70" ht="13.15" customHeight="1" x14ac:dyDescent="0.2">
      <c r="A5" s="9">
        <f>'[3]勤務表 (2)'!A4</f>
        <v>2</v>
      </c>
      <c r="B5" s="9" t="str">
        <f>'[3]勤務表 (2)'!B4</f>
        <v>35665</v>
      </c>
      <c r="C5" s="74" t="str">
        <f>'[3]勤務表 (2)'!C4</f>
        <v>山下 修</v>
      </c>
      <c r="D5" s="26" t="str">
        <f>'[3]勤務表 (2)'!D4</f>
        <v/>
      </c>
      <c r="E5" s="26" t="str">
        <f>'[3]勤務表 (2)'!E4</f>
        <v/>
      </c>
      <c r="F5" s="26" t="str">
        <f>'[3]勤務表 (2)'!F4</f>
        <v/>
      </c>
      <c r="G5" s="26" t="str">
        <f>'[3]勤務表 (2)'!G4</f>
        <v/>
      </c>
      <c r="H5" s="26" t="str">
        <f>'[3]勤務表 (2)'!H4</f>
        <v>○</v>
      </c>
      <c r="I5" s="26" t="str">
        <f>'[3]勤務表 (2)'!I4</f>
        <v>●</v>
      </c>
      <c r="J5" s="26" t="str">
        <f>'[3]勤務表 (2)'!J4</f>
        <v/>
      </c>
      <c r="K5" s="26" t="str">
        <f>'[3]勤務表 (2)'!K4</f>
        <v/>
      </c>
      <c r="L5" s="26" t="str">
        <f>'[3]勤務表 (2)'!L4</f>
        <v/>
      </c>
      <c r="M5" s="26" t="str">
        <f>'[3]勤務表 (2)'!M4</f>
        <v/>
      </c>
      <c r="N5" s="26" t="str">
        <f>'[3]勤務表 (2)'!N4</f>
        <v/>
      </c>
      <c r="O5" s="26" t="str">
        <f>'[3]勤務表 (2)'!O4</f>
        <v>○</v>
      </c>
      <c r="P5" s="26" t="str">
        <f>'[3]勤務表 (2)'!P4</f>
        <v>●</v>
      </c>
      <c r="Q5" s="26" t="str">
        <f>'[3]勤務表 (2)'!Q4</f>
        <v/>
      </c>
      <c r="R5" s="26" t="str">
        <f>'[3]勤務表 (2)'!R4</f>
        <v/>
      </c>
      <c r="S5" s="26" t="str">
        <f>'[3]勤務表 (2)'!S4</f>
        <v/>
      </c>
      <c r="T5" s="26" t="str">
        <f>'[3]勤務表 (2)'!T4</f>
        <v/>
      </c>
      <c r="U5" s="26" t="str">
        <f>'[3]勤務表 (2)'!U4</f>
        <v/>
      </c>
      <c r="V5" s="26" t="str">
        <f>'[3]勤務表 (2)'!V4</f>
        <v>○</v>
      </c>
      <c r="W5" s="26" t="str">
        <f>'[3]勤務表 (2)'!W4</f>
        <v>●</v>
      </c>
      <c r="X5" s="26" t="str">
        <f>'[3]勤務表 (2)'!X4</f>
        <v/>
      </c>
      <c r="Y5" s="26" t="str">
        <f>'[3]勤務表 (2)'!Y4</f>
        <v/>
      </c>
      <c r="Z5" s="26" t="str">
        <f>'[3]勤務表 (2)'!Z4</f>
        <v/>
      </c>
      <c r="AA5" s="26" t="str">
        <f>'[3]勤務表 (2)'!AA4</f>
        <v/>
      </c>
      <c r="AB5" s="26" t="str">
        <f>'[3]勤務表 (2)'!AB4</f>
        <v/>
      </c>
      <c r="AC5" s="26" t="str">
        <f>'[3]勤務表 (2)'!AC4</f>
        <v>○</v>
      </c>
      <c r="AD5" s="26" t="str">
        <f>'[3]勤務表 (2)'!AD4</f>
        <v>●</v>
      </c>
      <c r="AE5" s="26" t="str">
        <f>'[3]勤務表 (2)'!AE4</f>
        <v/>
      </c>
      <c r="AF5" s="26" t="str">
        <f>'[3]勤務表 (2)'!AF4</f>
        <v/>
      </c>
      <c r="AG5" s="26" t="str">
        <f>'[3]勤務表 (2)'!AG4</f>
        <v/>
      </c>
      <c r="AH5" s="26" t="str">
        <f>'[3]勤務表 (2)'!AH4</f>
        <v/>
      </c>
      <c r="AJ5" s="12">
        <f>IF(D5&lt;&gt;勤務変更!D5,1,0)</f>
        <v>0</v>
      </c>
      <c r="AK5" s="12">
        <f>IF(E5&lt;&gt;勤務変更!E5,1,0)</f>
        <v>0</v>
      </c>
      <c r="AL5" s="12">
        <f>IF(F5&lt;&gt;勤務変更!F5,1,0)</f>
        <v>0</v>
      </c>
      <c r="AM5" s="12">
        <f>IF(G5&lt;&gt;勤務変更!G5,1,0)</f>
        <v>0</v>
      </c>
      <c r="AN5" s="12">
        <f>IF(H5&lt;&gt;勤務変更!H5,1,0)</f>
        <v>0</v>
      </c>
      <c r="AO5" s="12">
        <f>IF(I5&lt;&gt;勤務変更!I5,1,0)</f>
        <v>0</v>
      </c>
      <c r="AP5" s="12">
        <f>IF(J5&lt;&gt;勤務変更!J5,1,0)</f>
        <v>0</v>
      </c>
      <c r="AQ5" s="12">
        <f>IF(K5&lt;&gt;勤務変更!K5,1,0)</f>
        <v>0</v>
      </c>
      <c r="AR5" s="12">
        <f>IF(L5&lt;&gt;勤務変更!L5,1,0)</f>
        <v>0</v>
      </c>
      <c r="AS5" s="12">
        <f>IF(M5&lt;&gt;勤務変更!M5,1,0)</f>
        <v>0</v>
      </c>
      <c r="AT5" s="12">
        <f>IF(N5&lt;&gt;勤務変更!N5,1,0)</f>
        <v>0</v>
      </c>
      <c r="AU5" s="12">
        <f>IF(O5&lt;&gt;勤務変更!O5,1,0)</f>
        <v>0</v>
      </c>
      <c r="AV5" s="12">
        <f>IF(P5&lt;&gt;勤務変更!P5,1,0)</f>
        <v>0</v>
      </c>
      <c r="AW5" s="12">
        <f>IF(Q5&lt;&gt;勤務変更!Q5,1,0)</f>
        <v>0</v>
      </c>
      <c r="AX5" s="12">
        <f>IF(R5&lt;&gt;勤務変更!R5,1,0)</f>
        <v>0</v>
      </c>
      <c r="AY5" s="12">
        <f>IF(S5&lt;&gt;勤務変更!S5,1,0)</f>
        <v>0</v>
      </c>
      <c r="AZ5" s="12">
        <f>IF(T5&lt;&gt;勤務変更!T5,1,0)</f>
        <v>0</v>
      </c>
      <c r="BA5" s="12">
        <f>IF(U5&lt;&gt;勤務変更!U5,1,0)</f>
        <v>0</v>
      </c>
      <c r="BB5" s="12">
        <f>IF(V5&lt;&gt;勤務変更!V5,1,0)</f>
        <v>0</v>
      </c>
      <c r="BC5" s="12">
        <f>IF(W5&lt;&gt;勤務変更!W5,1,0)</f>
        <v>0</v>
      </c>
      <c r="BD5" s="12">
        <f>IF(X5&lt;&gt;勤務変更!X5,1,0)</f>
        <v>0</v>
      </c>
      <c r="BE5" s="12">
        <f>IF(Y5&lt;&gt;勤務変更!Y5,1,0)</f>
        <v>0</v>
      </c>
      <c r="BF5" s="12">
        <f>IF(Z5&lt;&gt;勤務変更!Z5,1,0)</f>
        <v>0</v>
      </c>
      <c r="BG5" s="12">
        <f>IF(AA5&lt;&gt;勤務変更!AA5,1,0)</f>
        <v>0</v>
      </c>
      <c r="BH5" s="12">
        <f>IF(AB5&lt;&gt;勤務変更!AB5,1,0)</f>
        <v>0</v>
      </c>
      <c r="BI5" s="12">
        <f>IF(AC5&lt;&gt;勤務変更!AC5,1,0)</f>
        <v>0</v>
      </c>
      <c r="BJ5" s="12">
        <f>IF(AD5&lt;&gt;勤務変更!AD5,1,0)</f>
        <v>0</v>
      </c>
      <c r="BK5" s="12">
        <f>IF(AE5&lt;&gt;勤務変更!AE5,1,0)</f>
        <v>0</v>
      </c>
      <c r="BL5" s="12">
        <f>IF(AF5&lt;&gt;勤務変更!AF5,1,0)</f>
        <v>0</v>
      </c>
      <c r="BM5" s="12">
        <f>IF(AG5&lt;&gt;勤務変更!AG5,1,0)</f>
        <v>0</v>
      </c>
      <c r="BN5" s="12">
        <f>IF(AH5&lt;&gt;勤務変更!AH5,1,0)</f>
        <v>0</v>
      </c>
      <c r="BO5" s="12">
        <f t="shared" ref="BO5:BO46" si="1">SUM(AJ5:BN5)</f>
        <v>0</v>
      </c>
      <c r="BP5" s="12" t="str">
        <f>IF(BR5="","",COUNTA(BR$4:BR5)-COUNTBLANK(BR$4:BR5))</f>
        <v/>
      </c>
      <c r="BQ5" s="12" t="str">
        <f t="shared" ref="BQ5:BQ54" si="2">IF(BO5&lt;&gt;0,B5,"")</f>
        <v/>
      </c>
      <c r="BR5" s="12" t="str">
        <f t="shared" ref="BR5:BR46" si="3">IF(BO5&lt;&gt;0,C5,"")</f>
        <v/>
      </c>
    </row>
    <row r="6" spans="1:70" ht="13.15" customHeight="1" x14ac:dyDescent="0.2">
      <c r="A6" s="9">
        <f>'[3]勤務表 (2)'!A5</f>
        <v>3</v>
      </c>
      <c r="B6" s="9" t="str">
        <f>'[3]勤務表 (2)'!B5</f>
        <v>62993</v>
      </c>
      <c r="C6" s="74" t="str">
        <f>'[3]勤務表 (2)'!C5</f>
        <v>平田 恵哉</v>
      </c>
      <c r="D6" s="26" t="str">
        <f>'[3]勤務表 (2)'!D5</f>
        <v/>
      </c>
      <c r="E6" s="26" t="str">
        <f>'[3]勤務表 (2)'!E5</f>
        <v/>
      </c>
      <c r="F6" s="26" t="str">
        <f>'[3]勤務表 (2)'!F5</f>
        <v/>
      </c>
      <c r="G6" s="26" t="str">
        <f>'[3]勤務表 (2)'!G5</f>
        <v/>
      </c>
      <c r="H6" s="26" t="str">
        <f>'[3]勤務表 (2)'!H5</f>
        <v>／</v>
      </c>
      <c r="I6" s="26" t="str">
        <f>'[3]勤務表 (2)'!I5</f>
        <v>●</v>
      </c>
      <c r="J6" s="26" t="str">
        <f>'[3]勤務表 (2)'!J5</f>
        <v/>
      </c>
      <c r="K6" s="26" t="str">
        <f>'[3]勤務表 (2)'!K5</f>
        <v>当</v>
      </c>
      <c r="L6" s="26" t="str">
        <f>'[3]勤務表 (2)'!L5</f>
        <v>明</v>
      </c>
      <c r="M6" s="26" t="str">
        <f>'[3]勤務表 (2)'!M5</f>
        <v/>
      </c>
      <c r="N6" s="26" t="str">
        <f>'[3]勤務表 (2)'!N5</f>
        <v/>
      </c>
      <c r="O6" s="26" t="str">
        <f>'[3]勤務表 (2)'!O5</f>
        <v>○</v>
      </c>
      <c r="P6" s="26" t="str">
        <f>'[3]勤務表 (2)'!P5</f>
        <v>●</v>
      </c>
      <c r="Q6" s="26" t="str">
        <f>'[3]勤務表 (2)'!Q5</f>
        <v/>
      </c>
      <c r="R6" s="26" t="str">
        <f>'[3]勤務表 (2)'!R5</f>
        <v/>
      </c>
      <c r="S6" s="26" t="str">
        <f>'[3]勤務表 (2)'!S5</f>
        <v/>
      </c>
      <c r="T6" s="26" t="str">
        <f>'[3]勤務表 (2)'!T5</f>
        <v/>
      </c>
      <c r="U6" s="26" t="str">
        <f>'[3]勤務表 (2)'!U5</f>
        <v/>
      </c>
      <c r="V6" s="26" t="str">
        <f>'[3]勤務表 (2)'!V5</f>
        <v>／</v>
      </c>
      <c r="W6" s="26" t="str">
        <f>'[3]勤務表 (2)'!W5</f>
        <v>●</v>
      </c>
      <c r="X6" s="26" t="str">
        <f>'[3]勤務表 (2)'!X5</f>
        <v/>
      </c>
      <c r="Y6" s="26" t="str">
        <f>'[3]勤務表 (2)'!Y5</f>
        <v/>
      </c>
      <c r="Z6" s="26" t="str">
        <f>'[3]勤務表 (2)'!Z5</f>
        <v/>
      </c>
      <c r="AA6" s="26" t="str">
        <f>'[3]勤務表 (2)'!AA5</f>
        <v/>
      </c>
      <c r="AB6" s="26" t="str">
        <f>'[3]勤務表 (2)'!AB5</f>
        <v/>
      </c>
      <c r="AC6" s="26" t="str">
        <f>'[3]勤務表 (2)'!AC5</f>
        <v>○</v>
      </c>
      <c r="AD6" s="26" t="str">
        <f>'[3]勤務表 (2)'!AD5</f>
        <v/>
      </c>
      <c r="AE6" s="26" t="str">
        <f>'[3]勤務表 (2)'!AE5</f>
        <v/>
      </c>
      <c r="AF6" s="26" t="str">
        <f>'[3]勤務表 (2)'!AF5</f>
        <v>当</v>
      </c>
      <c r="AG6" s="26" t="str">
        <f>'[3]勤務表 (2)'!AG5</f>
        <v>明</v>
      </c>
      <c r="AH6" s="26" t="str">
        <f>'[3]勤務表 (2)'!AH5</f>
        <v/>
      </c>
      <c r="AJ6" s="12">
        <f>IF(D6&lt;&gt;勤務変更!D6,1,0)</f>
        <v>0</v>
      </c>
      <c r="AK6" s="12">
        <f>IF(E6&lt;&gt;勤務変更!E6,1,0)</f>
        <v>0</v>
      </c>
      <c r="AL6" s="12">
        <f>IF(F6&lt;&gt;勤務変更!F6,1,0)</f>
        <v>0</v>
      </c>
      <c r="AM6" s="12">
        <f>IF(G6&lt;&gt;勤務変更!G6,1,0)</f>
        <v>0</v>
      </c>
      <c r="AN6" s="12">
        <f>IF(H6&lt;&gt;勤務変更!H6,1,0)</f>
        <v>0</v>
      </c>
      <c r="AO6" s="12">
        <f>IF(I6&lt;&gt;勤務変更!I6,1,0)</f>
        <v>0</v>
      </c>
      <c r="AP6" s="12">
        <f>IF(J6&lt;&gt;勤務変更!J6,1,0)</f>
        <v>0</v>
      </c>
      <c r="AQ6" s="12">
        <f>IF(K6&lt;&gt;勤務変更!K6,1,0)</f>
        <v>0</v>
      </c>
      <c r="AR6" s="12">
        <f>IF(L6&lt;&gt;勤務変更!L6,1,0)</f>
        <v>0</v>
      </c>
      <c r="AS6" s="12">
        <f>IF(M6&lt;&gt;勤務変更!M6,1,0)</f>
        <v>0</v>
      </c>
      <c r="AT6" s="12">
        <f>IF(N6&lt;&gt;勤務変更!N6,1,0)</f>
        <v>0</v>
      </c>
      <c r="AU6" s="12">
        <f>IF(O6&lt;&gt;勤務変更!O6,1,0)</f>
        <v>0</v>
      </c>
      <c r="AV6" s="12">
        <f>IF(P6&lt;&gt;勤務変更!P6,1,0)</f>
        <v>0</v>
      </c>
      <c r="AW6" s="12">
        <f>IF(Q6&lt;&gt;勤務変更!Q6,1,0)</f>
        <v>0</v>
      </c>
      <c r="AX6" s="12">
        <f>IF(R6&lt;&gt;勤務変更!R6,1,0)</f>
        <v>0</v>
      </c>
      <c r="AY6" s="12">
        <f>IF(S6&lt;&gt;勤務変更!S6,1,0)</f>
        <v>0</v>
      </c>
      <c r="AZ6" s="12">
        <f>IF(T6&lt;&gt;勤務変更!T6,1,0)</f>
        <v>0</v>
      </c>
      <c r="BA6" s="12">
        <f>IF(U6&lt;&gt;勤務変更!U6,1,0)</f>
        <v>0</v>
      </c>
      <c r="BB6" s="12">
        <f>IF(V6&lt;&gt;勤務変更!V6,1,0)</f>
        <v>0</v>
      </c>
      <c r="BC6" s="12">
        <f>IF(W6&lt;&gt;勤務変更!W6,1,0)</f>
        <v>0</v>
      </c>
      <c r="BD6" s="12">
        <f>IF(X6&lt;&gt;勤務変更!X6,1,0)</f>
        <v>0</v>
      </c>
      <c r="BE6" s="12">
        <f>IF(Y6&lt;&gt;勤務変更!Y6,1,0)</f>
        <v>0</v>
      </c>
      <c r="BF6" s="12">
        <f>IF(Z6&lt;&gt;勤務変更!Z6,1,0)</f>
        <v>0</v>
      </c>
      <c r="BG6" s="12">
        <f>IF(AA6&lt;&gt;勤務変更!AA6,1,0)</f>
        <v>0</v>
      </c>
      <c r="BH6" s="12">
        <f>IF(AB6&lt;&gt;勤務変更!AB6,1,0)</f>
        <v>0</v>
      </c>
      <c r="BI6" s="12">
        <f>IF(AC6&lt;&gt;勤務変更!AC6,1,0)</f>
        <v>0</v>
      </c>
      <c r="BJ6" s="12">
        <f>IF(AD6&lt;&gt;勤務変更!AD6,1,0)</f>
        <v>0</v>
      </c>
      <c r="BK6" s="12">
        <f>IF(AE6&lt;&gt;勤務変更!AE6,1,0)</f>
        <v>0</v>
      </c>
      <c r="BL6" s="12">
        <f>IF(AF6&lt;&gt;勤務変更!AF6,1,0)</f>
        <v>0</v>
      </c>
      <c r="BM6" s="12">
        <f>IF(AG6&lt;&gt;勤務変更!AG6,1,0)</f>
        <v>0</v>
      </c>
      <c r="BN6" s="12">
        <f>IF(AH6&lt;&gt;勤務変更!AH6,1,0)</f>
        <v>0</v>
      </c>
      <c r="BO6" s="12">
        <f t="shared" si="1"/>
        <v>0</v>
      </c>
      <c r="BP6" s="12" t="str">
        <f>IF(BR6="","",COUNTA(BR$4:BR6)-COUNTBLANK(BR$4:BR6))</f>
        <v/>
      </c>
      <c r="BQ6" s="12" t="str">
        <f t="shared" si="2"/>
        <v/>
      </c>
      <c r="BR6" s="12" t="str">
        <f t="shared" si="3"/>
        <v/>
      </c>
    </row>
    <row r="7" spans="1:70" ht="13.15" customHeight="1" x14ac:dyDescent="0.2">
      <c r="A7" s="9">
        <f>'[3]勤務表 (2)'!A6</f>
        <v>4</v>
      </c>
      <c r="B7" s="9" t="str">
        <f>'[3]勤務表 (2)'!B6</f>
        <v>88014</v>
      </c>
      <c r="C7" s="74" t="str">
        <f>'[3]勤務表 (2)'!C6</f>
        <v>長田 弘二</v>
      </c>
      <c r="D7" s="26" t="str">
        <f>'[3]勤務表 (2)'!D6</f>
        <v/>
      </c>
      <c r="E7" s="26" t="str">
        <f>'[3]勤務表 (2)'!E6</f>
        <v/>
      </c>
      <c r="F7" s="26" t="str">
        <f>'[3]勤務表 (2)'!F6</f>
        <v>当</v>
      </c>
      <c r="G7" s="26" t="str">
        <f>'[3]勤務表 (2)'!G6</f>
        <v>明</v>
      </c>
      <c r="H7" s="26" t="str">
        <f>'[3]勤務表 (2)'!H6</f>
        <v>○</v>
      </c>
      <c r="I7" s="26" t="str">
        <f>'[3]勤務表 (2)'!I6</f>
        <v>●</v>
      </c>
      <c r="J7" s="26" t="str">
        <f>'[3]勤務表 (2)'!J6</f>
        <v/>
      </c>
      <c r="K7" s="26" t="str">
        <f>'[3]勤務表 (2)'!K6</f>
        <v/>
      </c>
      <c r="L7" s="26" t="str">
        <f>'[3]勤務表 (2)'!L6</f>
        <v/>
      </c>
      <c r="M7" s="26" t="str">
        <f>'[3]勤務表 (2)'!M6</f>
        <v/>
      </c>
      <c r="N7" s="26" t="str">
        <f>'[3]勤務表 (2)'!N6</f>
        <v/>
      </c>
      <c r="O7" s="26" t="str">
        <f>'[3]勤務表 (2)'!O6</f>
        <v>／</v>
      </c>
      <c r="P7" s="26" t="str">
        <f>'[3]勤務表 (2)'!P6</f>
        <v>●</v>
      </c>
      <c r="Q7" s="26" t="str">
        <f>'[3]勤務表 (2)'!Q6</f>
        <v/>
      </c>
      <c r="R7" s="26" t="str">
        <f>'[3]勤務表 (2)'!R6</f>
        <v/>
      </c>
      <c r="S7" s="26" t="str">
        <f>'[3]勤務表 (2)'!S6</f>
        <v/>
      </c>
      <c r="T7" s="26" t="str">
        <f>'[3]勤務表 (2)'!T6</f>
        <v/>
      </c>
      <c r="U7" s="26" t="str">
        <f>'[3]勤務表 (2)'!U6</f>
        <v/>
      </c>
      <c r="V7" s="26" t="str">
        <f>'[3]勤務表 (2)'!V6</f>
        <v>○</v>
      </c>
      <c r="W7" s="26" t="str">
        <f>'[3]勤務表 (2)'!W6</f>
        <v>●</v>
      </c>
      <c r="X7" s="26" t="str">
        <f>'[3]勤務表 (2)'!X6</f>
        <v>当</v>
      </c>
      <c r="Y7" s="26" t="str">
        <f>'[3]勤務表 (2)'!Y6</f>
        <v>明</v>
      </c>
      <c r="Z7" s="26" t="str">
        <f>'[3]勤務表 (2)'!Z6</f>
        <v/>
      </c>
      <c r="AA7" s="26" t="str">
        <f>'[3]勤務表 (2)'!AA6</f>
        <v/>
      </c>
      <c r="AB7" s="26" t="str">
        <f>'[3]勤務表 (2)'!AB6</f>
        <v/>
      </c>
      <c r="AC7" s="26" t="str">
        <f>'[3]勤務表 (2)'!AC6</f>
        <v>／</v>
      </c>
      <c r="AD7" s="26" t="str">
        <f>'[3]勤務表 (2)'!AD6</f>
        <v>●</v>
      </c>
      <c r="AE7" s="26" t="str">
        <f>'[3]勤務表 (2)'!AE6</f>
        <v/>
      </c>
      <c r="AF7" s="26" t="str">
        <f>'[3]勤務表 (2)'!AF6</f>
        <v/>
      </c>
      <c r="AG7" s="26" t="str">
        <f>'[3]勤務表 (2)'!AG6</f>
        <v/>
      </c>
      <c r="AH7" s="26" t="str">
        <f>'[3]勤務表 (2)'!AH6</f>
        <v/>
      </c>
      <c r="AJ7" s="12">
        <f>IF(D7&lt;&gt;勤務変更!D7,1,0)</f>
        <v>0</v>
      </c>
      <c r="AK7" s="12">
        <f>IF(E7&lt;&gt;勤務変更!E7,1,0)</f>
        <v>0</v>
      </c>
      <c r="AL7" s="12">
        <f>IF(F7&lt;&gt;勤務変更!F7,1,0)</f>
        <v>0</v>
      </c>
      <c r="AM7" s="12">
        <f>IF(G7&lt;&gt;勤務変更!G7,1,0)</f>
        <v>0</v>
      </c>
      <c r="AN7" s="12">
        <f>IF(H7&lt;&gt;勤務変更!H7,1,0)</f>
        <v>0</v>
      </c>
      <c r="AO7" s="12">
        <f>IF(I7&lt;&gt;勤務変更!I7,1,0)</f>
        <v>0</v>
      </c>
      <c r="AP7" s="12">
        <f>IF(J7&lt;&gt;勤務変更!J7,1,0)</f>
        <v>0</v>
      </c>
      <c r="AQ7" s="12">
        <f>IF(K7&lt;&gt;勤務変更!K7,1,0)</f>
        <v>0</v>
      </c>
      <c r="AR7" s="12">
        <f>IF(L7&lt;&gt;勤務変更!L7,1,0)</f>
        <v>0</v>
      </c>
      <c r="AS7" s="12">
        <f>IF(M7&lt;&gt;勤務変更!M7,1,0)</f>
        <v>0</v>
      </c>
      <c r="AT7" s="12">
        <f>IF(N7&lt;&gt;勤務変更!N7,1,0)</f>
        <v>0</v>
      </c>
      <c r="AU7" s="12">
        <f>IF(O7&lt;&gt;勤務変更!O7,1,0)</f>
        <v>0</v>
      </c>
      <c r="AV7" s="12">
        <f>IF(P7&lt;&gt;勤務変更!P7,1,0)</f>
        <v>0</v>
      </c>
      <c r="AW7" s="12">
        <f>IF(Q7&lt;&gt;勤務変更!Q7,1,0)</f>
        <v>0</v>
      </c>
      <c r="AX7" s="12">
        <f>IF(R7&lt;&gt;勤務変更!R7,1,0)</f>
        <v>0</v>
      </c>
      <c r="AY7" s="12">
        <f>IF(S7&lt;&gt;勤務変更!S7,1,0)</f>
        <v>0</v>
      </c>
      <c r="AZ7" s="12">
        <f>IF(T7&lt;&gt;勤務変更!T7,1,0)</f>
        <v>0</v>
      </c>
      <c r="BA7" s="12">
        <f>IF(U7&lt;&gt;勤務変更!U7,1,0)</f>
        <v>0</v>
      </c>
      <c r="BB7" s="12">
        <f>IF(V7&lt;&gt;勤務変更!V7,1,0)</f>
        <v>0</v>
      </c>
      <c r="BC7" s="12">
        <f>IF(W7&lt;&gt;勤務変更!W7,1,0)</f>
        <v>0</v>
      </c>
      <c r="BD7" s="12">
        <f>IF(X7&lt;&gt;勤務変更!X7,1,0)</f>
        <v>0</v>
      </c>
      <c r="BE7" s="12">
        <f>IF(Y7&lt;&gt;勤務変更!Y7,1,0)</f>
        <v>0</v>
      </c>
      <c r="BF7" s="12">
        <f>IF(Z7&lt;&gt;勤務変更!Z7,1,0)</f>
        <v>0</v>
      </c>
      <c r="BG7" s="12">
        <f>IF(AA7&lt;&gt;勤務変更!AA7,1,0)</f>
        <v>0</v>
      </c>
      <c r="BH7" s="12">
        <f>IF(AB7&lt;&gt;勤務変更!AB7,1,0)</f>
        <v>0</v>
      </c>
      <c r="BI7" s="12">
        <f>IF(AC7&lt;&gt;勤務変更!AC7,1,0)</f>
        <v>0</v>
      </c>
      <c r="BJ7" s="12">
        <f>IF(AD7&lt;&gt;勤務変更!AD7,1,0)</f>
        <v>0</v>
      </c>
      <c r="BK7" s="12">
        <f>IF(AE7&lt;&gt;勤務変更!AE7,1,0)</f>
        <v>0</v>
      </c>
      <c r="BL7" s="12">
        <f>IF(AF7&lt;&gt;勤務変更!AF7,1,0)</f>
        <v>0</v>
      </c>
      <c r="BM7" s="12">
        <f>IF(AG7&lt;&gt;勤務変更!AG7,1,0)</f>
        <v>0</v>
      </c>
      <c r="BN7" s="12">
        <f>IF(AH7&lt;&gt;勤務変更!AH7,1,0)</f>
        <v>0</v>
      </c>
      <c r="BO7" s="12">
        <f t="shared" si="1"/>
        <v>0</v>
      </c>
      <c r="BP7" s="12" t="str">
        <f>IF(BR7="","",COUNTA(BR$4:BR7)-COUNTBLANK(BR$4:BR7))</f>
        <v/>
      </c>
      <c r="BQ7" s="12" t="str">
        <f t="shared" si="2"/>
        <v/>
      </c>
      <c r="BR7" s="12" t="str">
        <f t="shared" si="3"/>
        <v/>
      </c>
    </row>
    <row r="8" spans="1:70" ht="13.15" customHeight="1" x14ac:dyDescent="0.2">
      <c r="A8" s="9">
        <f>'[3]勤務表 (2)'!A7</f>
        <v>5</v>
      </c>
      <c r="B8" s="9" t="str">
        <f>'[3]勤務表 (2)'!B7</f>
        <v>29056</v>
      </c>
      <c r="C8" s="74" t="str">
        <f>'[3]勤務表 (2)'!C7</f>
        <v>中井 士郎</v>
      </c>
      <c r="D8" s="26" t="str">
        <f>'[3]勤務表 (2)'!D7</f>
        <v/>
      </c>
      <c r="E8" s="26" t="str">
        <f>'[3]勤務表 (2)'!E7</f>
        <v/>
      </c>
      <c r="F8" s="26" t="str">
        <f>'[3]勤務表 (2)'!F7</f>
        <v/>
      </c>
      <c r="G8" s="26" t="str">
        <f>'[3]勤務表 (2)'!G7</f>
        <v/>
      </c>
      <c r="H8" s="26" t="str">
        <f>'[3]勤務表 (2)'!H7</f>
        <v>○</v>
      </c>
      <c r="I8" s="26" t="str">
        <f>'[3]勤務表 (2)'!I7</f>
        <v>●</v>
      </c>
      <c r="J8" s="26" t="str">
        <f>'[3]勤務表 (2)'!J7</f>
        <v/>
      </c>
      <c r="K8" s="26" t="str">
        <f>'[3]勤務表 (2)'!K7</f>
        <v/>
      </c>
      <c r="L8" s="26" t="str">
        <f>'[3]勤務表 (2)'!L7</f>
        <v/>
      </c>
      <c r="M8" s="26" t="str">
        <f>'[3]勤務表 (2)'!M7</f>
        <v/>
      </c>
      <c r="N8" s="26" t="str">
        <f>'[3]勤務表 (2)'!N7</f>
        <v/>
      </c>
      <c r="O8" s="26" t="str">
        <f>'[3]勤務表 (2)'!O7</f>
        <v>○</v>
      </c>
      <c r="P8" s="26" t="str">
        <f>'[3]勤務表 (2)'!P7</f>
        <v>●</v>
      </c>
      <c r="Q8" s="26" t="str">
        <f>'[3]勤務表 (2)'!Q7</f>
        <v/>
      </c>
      <c r="R8" s="26" t="str">
        <f>'[3]勤務表 (2)'!R7</f>
        <v/>
      </c>
      <c r="S8" s="26" t="str">
        <f>'[3]勤務表 (2)'!S7</f>
        <v/>
      </c>
      <c r="T8" s="26" t="str">
        <f>'[3]勤務表 (2)'!T7</f>
        <v/>
      </c>
      <c r="U8" s="26" t="str">
        <f>'[3]勤務表 (2)'!U7</f>
        <v/>
      </c>
      <c r="V8" s="26" t="str">
        <f>'[3]勤務表 (2)'!V7</f>
        <v>○</v>
      </c>
      <c r="W8" s="26" t="str">
        <f>'[3]勤務表 (2)'!W7</f>
        <v>●</v>
      </c>
      <c r="X8" s="26" t="str">
        <f>'[3]勤務表 (2)'!X7</f>
        <v/>
      </c>
      <c r="Y8" s="26" t="str">
        <f>'[3]勤務表 (2)'!Y7</f>
        <v/>
      </c>
      <c r="Z8" s="26" t="str">
        <f>'[3]勤務表 (2)'!Z7</f>
        <v/>
      </c>
      <c r="AA8" s="26" t="str">
        <f>'[3]勤務表 (2)'!AA7</f>
        <v/>
      </c>
      <c r="AB8" s="26" t="str">
        <f>'[3]勤務表 (2)'!AB7</f>
        <v/>
      </c>
      <c r="AC8" s="26" t="str">
        <f>'[3]勤務表 (2)'!AC7</f>
        <v>○</v>
      </c>
      <c r="AD8" s="26" t="str">
        <f>'[3]勤務表 (2)'!AD7</f>
        <v>●</v>
      </c>
      <c r="AE8" s="26" t="str">
        <f>'[3]勤務表 (2)'!AE7</f>
        <v/>
      </c>
      <c r="AF8" s="26" t="str">
        <f>'[3]勤務表 (2)'!AF7</f>
        <v/>
      </c>
      <c r="AG8" s="26" t="str">
        <f>'[3]勤務表 (2)'!AG7</f>
        <v/>
      </c>
      <c r="AH8" s="26" t="str">
        <f>'[3]勤務表 (2)'!AH7</f>
        <v/>
      </c>
      <c r="AJ8" s="12">
        <f>IF(D8&lt;&gt;勤務変更!D8,1,0)</f>
        <v>0</v>
      </c>
      <c r="AK8" s="12">
        <f>IF(E8&lt;&gt;勤務変更!E8,1,0)</f>
        <v>0</v>
      </c>
      <c r="AL8" s="12">
        <f>IF(F8&lt;&gt;勤務変更!F8,1,0)</f>
        <v>0</v>
      </c>
      <c r="AM8" s="12">
        <f>IF(G8&lt;&gt;勤務変更!G8,1,0)</f>
        <v>0</v>
      </c>
      <c r="AN8" s="12">
        <f>IF(H8&lt;&gt;勤務変更!H8,1,0)</f>
        <v>0</v>
      </c>
      <c r="AO8" s="12">
        <f>IF(I8&lt;&gt;勤務変更!I8,1,0)</f>
        <v>0</v>
      </c>
      <c r="AP8" s="12">
        <f>IF(J8&lt;&gt;勤務変更!J8,1,0)</f>
        <v>0</v>
      </c>
      <c r="AQ8" s="12">
        <f>IF(K8&lt;&gt;勤務変更!K8,1,0)</f>
        <v>0</v>
      </c>
      <c r="AR8" s="12">
        <f>IF(L8&lt;&gt;勤務変更!L8,1,0)</f>
        <v>0</v>
      </c>
      <c r="AS8" s="12">
        <f>IF(M8&lt;&gt;勤務変更!M8,1,0)</f>
        <v>0</v>
      </c>
      <c r="AT8" s="12">
        <f>IF(N8&lt;&gt;勤務変更!N8,1,0)</f>
        <v>0</v>
      </c>
      <c r="AU8" s="12">
        <f>IF(O8&lt;&gt;勤務変更!O8,1,0)</f>
        <v>0</v>
      </c>
      <c r="AV8" s="12">
        <f>IF(P8&lt;&gt;勤務変更!P8,1,0)</f>
        <v>0</v>
      </c>
      <c r="AW8" s="12">
        <f>IF(Q8&lt;&gt;勤務変更!Q8,1,0)</f>
        <v>0</v>
      </c>
      <c r="AX8" s="12">
        <f>IF(R8&lt;&gt;勤務変更!R8,1,0)</f>
        <v>0</v>
      </c>
      <c r="AY8" s="12">
        <f>IF(S8&lt;&gt;勤務変更!S8,1,0)</f>
        <v>0</v>
      </c>
      <c r="AZ8" s="12">
        <f>IF(T8&lt;&gt;勤務変更!T8,1,0)</f>
        <v>0</v>
      </c>
      <c r="BA8" s="12">
        <f>IF(U8&lt;&gt;勤務変更!U8,1,0)</f>
        <v>0</v>
      </c>
      <c r="BB8" s="12">
        <f>IF(V8&lt;&gt;勤務変更!V8,1,0)</f>
        <v>0</v>
      </c>
      <c r="BC8" s="12">
        <f>IF(W8&lt;&gt;勤務変更!W8,1,0)</f>
        <v>0</v>
      </c>
      <c r="BD8" s="12">
        <f>IF(X8&lt;&gt;勤務変更!X8,1,0)</f>
        <v>0</v>
      </c>
      <c r="BE8" s="12">
        <f>IF(Y8&lt;&gt;勤務変更!Y8,1,0)</f>
        <v>0</v>
      </c>
      <c r="BF8" s="12">
        <f>IF(Z8&lt;&gt;勤務変更!Z8,1,0)</f>
        <v>0</v>
      </c>
      <c r="BG8" s="12">
        <f>IF(AA8&lt;&gt;勤務変更!AA8,1,0)</f>
        <v>0</v>
      </c>
      <c r="BH8" s="12">
        <f>IF(AB8&lt;&gt;勤務変更!AB8,1,0)</f>
        <v>0</v>
      </c>
      <c r="BI8" s="12">
        <f>IF(AC8&lt;&gt;勤務変更!AC8,1,0)</f>
        <v>0</v>
      </c>
      <c r="BJ8" s="12">
        <f>IF(AD8&lt;&gt;勤務変更!AD8,1,0)</f>
        <v>0</v>
      </c>
      <c r="BK8" s="12">
        <f>IF(AE8&lt;&gt;勤務変更!AE8,1,0)</f>
        <v>0</v>
      </c>
      <c r="BL8" s="12">
        <f>IF(AF8&lt;&gt;勤務変更!AF8,1,0)</f>
        <v>0</v>
      </c>
      <c r="BM8" s="12">
        <f>IF(AG8&lt;&gt;勤務変更!AG8,1,0)</f>
        <v>0</v>
      </c>
      <c r="BN8" s="12">
        <f>IF(AH8&lt;&gt;勤務変更!AH8,1,0)</f>
        <v>0</v>
      </c>
      <c r="BO8" s="12">
        <f t="shared" si="1"/>
        <v>0</v>
      </c>
      <c r="BP8" s="12" t="str">
        <f>IF(BR8="","",COUNTA(BR$4:BR8)-COUNTBLANK(BR$4:BR8))</f>
        <v/>
      </c>
      <c r="BQ8" s="12" t="str">
        <f t="shared" si="2"/>
        <v/>
      </c>
      <c r="BR8" s="12" t="str">
        <f t="shared" si="3"/>
        <v/>
      </c>
    </row>
    <row r="9" spans="1:70" ht="13.15" customHeight="1" x14ac:dyDescent="0.2">
      <c r="A9" s="9">
        <f>'[3]勤務表 (2)'!A8</f>
        <v>6</v>
      </c>
      <c r="B9" s="9" t="str">
        <f>'[3]勤務表 (2)'!B8</f>
        <v>31176</v>
      </c>
      <c r="C9" s="74" t="str">
        <f>'[3]勤務表 (2)'!C8</f>
        <v>北 洋一</v>
      </c>
      <c r="D9" s="26" t="str">
        <f>'[3]勤務表 (2)'!D8</f>
        <v/>
      </c>
      <c r="E9" s="26" t="str">
        <f>'[3]勤務表 (2)'!E8</f>
        <v/>
      </c>
      <c r="F9" s="26" t="str">
        <f>'[3]勤務表 (2)'!F8</f>
        <v/>
      </c>
      <c r="G9" s="26" t="str">
        <f>'[3]勤務表 (2)'!G8</f>
        <v/>
      </c>
      <c r="H9" s="26" t="str">
        <f>'[3]勤務表 (2)'!H8</f>
        <v>○</v>
      </c>
      <c r="I9" s="26" t="str">
        <f>'[3]勤務表 (2)'!I8</f>
        <v>●</v>
      </c>
      <c r="J9" s="26" t="str">
        <f>'[3]勤務表 (2)'!J8</f>
        <v/>
      </c>
      <c r="K9" s="26" t="str">
        <f>'[3]勤務表 (2)'!K8</f>
        <v/>
      </c>
      <c r="L9" s="26" t="str">
        <f>'[3]勤務表 (2)'!L8</f>
        <v/>
      </c>
      <c r="M9" s="26" t="str">
        <f>'[3]勤務表 (2)'!M8</f>
        <v/>
      </c>
      <c r="N9" s="26" t="str">
        <f>'[3]勤務表 (2)'!N8</f>
        <v/>
      </c>
      <c r="O9" s="26" t="str">
        <f>'[3]勤務表 (2)'!O8</f>
        <v>○</v>
      </c>
      <c r="P9" s="26" t="str">
        <f>'[3]勤務表 (2)'!P8</f>
        <v>●</v>
      </c>
      <c r="Q9" s="26" t="str">
        <f>'[3]勤務表 (2)'!Q8</f>
        <v/>
      </c>
      <c r="R9" s="26" t="str">
        <f>'[3]勤務表 (2)'!R8</f>
        <v/>
      </c>
      <c r="S9" s="26" t="str">
        <f>'[3]勤務表 (2)'!S8</f>
        <v/>
      </c>
      <c r="T9" s="26" t="str">
        <f>'[3]勤務表 (2)'!T8</f>
        <v/>
      </c>
      <c r="U9" s="26" t="str">
        <f>'[3]勤務表 (2)'!U8</f>
        <v/>
      </c>
      <c r="V9" s="26" t="str">
        <f>'[3]勤務表 (2)'!V8</f>
        <v>○</v>
      </c>
      <c r="W9" s="26" t="str">
        <f>'[3]勤務表 (2)'!W8</f>
        <v>●</v>
      </c>
      <c r="X9" s="26" t="str">
        <f>'[3]勤務表 (2)'!X8</f>
        <v/>
      </c>
      <c r="Y9" s="26" t="str">
        <f>'[3]勤務表 (2)'!Y8</f>
        <v/>
      </c>
      <c r="Z9" s="26" t="str">
        <f>'[3]勤務表 (2)'!Z8</f>
        <v/>
      </c>
      <c r="AA9" s="26" t="str">
        <f>'[3]勤務表 (2)'!AA8</f>
        <v/>
      </c>
      <c r="AB9" s="26" t="str">
        <f>'[3]勤務表 (2)'!AB8</f>
        <v/>
      </c>
      <c r="AC9" s="26" t="str">
        <f>'[3]勤務表 (2)'!AC8</f>
        <v>○</v>
      </c>
      <c r="AD9" s="26" t="str">
        <f>'[3]勤務表 (2)'!AD8</f>
        <v>●</v>
      </c>
      <c r="AE9" s="26" t="str">
        <f>'[3]勤務表 (2)'!AE8</f>
        <v/>
      </c>
      <c r="AF9" s="26" t="str">
        <f>'[3]勤務表 (2)'!AF8</f>
        <v/>
      </c>
      <c r="AG9" s="26" t="str">
        <f>'[3]勤務表 (2)'!AG8</f>
        <v/>
      </c>
      <c r="AH9" s="26" t="str">
        <f>'[3]勤務表 (2)'!AH8</f>
        <v/>
      </c>
      <c r="AJ9" s="12">
        <f>IF(D9&lt;&gt;勤務変更!D9,1,0)</f>
        <v>0</v>
      </c>
      <c r="AK9" s="12">
        <f>IF(E9&lt;&gt;勤務変更!E9,1,0)</f>
        <v>0</v>
      </c>
      <c r="AL9" s="12">
        <f>IF(F9&lt;&gt;勤務変更!F9,1,0)</f>
        <v>0</v>
      </c>
      <c r="AM9" s="12">
        <f>IF(G9&lt;&gt;勤務変更!G9,1,0)</f>
        <v>0</v>
      </c>
      <c r="AN9" s="12">
        <f>IF(H9&lt;&gt;勤務変更!H9,1,0)</f>
        <v>0</v>
      </c>
      <c r="AO9" s="12">
        <f>IF(I9&lt;&gt;勤務変更!I9,1,0)</f>
        <v>0</v>
      </c>
      <c r="AP9" s="12">
        <f>IF(J9&lt;&gt;勤務変更!J9,1,0)</f>
        <v>0</v>
      </c>
      <c r="AQ9" s="12">
        <f>IF(K9&lt;&gt;勤務変更!K9,1,0)</f>
        <v>0</v>
      </c>
      <c r="AR9" s="12">
        <f>IF(L9&lt;&gt;勤務変更!L9,1,0)</f>
        <v>0</v>
      </c>
      <c r="AS9" s="12">
        <f>IF(M9&lt;&gt;勤務変更!M9,1,0)</f>
        <v>0</v>
      </c>
      <c r="AT9" s="12">
        <f>IF(N9&lt;&gt;勤務変更!N9,1,0)</f>
        <v>0</v>
      </c>
      <c r="AU9" s="12">
        <f>IF(O9&lt;&gt;勤務変更!O9,1,0)</f>
        <v>0</v>
      </c>
      <c r="AV9" s="12">
        <f>IF(P9&lt;&gt;勤務変更!P9,1,0)</f>
        <v>0</v>
      </c>
      <c r="AW9" s="12">
        <f>IF(Q9&lt;&gt;勤務変更!Q9,1,0)</f>
        <v>0</v>
      </c>
      <c r="AX9" s="12">
        <f>IF(R9&lt;&gt;勤務変更!R9,1,0)</f>
        <v>0</v>
      </c>
      <c r="AY9" s="12">
        <f>IF(S9&lt;&gt;勤務変更!S9,1,0)</f>
        <v>0</v>
      </c>
      <c r="AZ9" s="12">
        <f>IF(T9&lt;&gt;勤務変更!T9,1,0)</f>
        <v>0</v>
      </c>
      <c r="BA9" s="12">
        <f>IF(U9&lt;&gt;勤務変更!U9,1,0)</f>
        <v>0</v>
      </c>
      <c r="BB9" s="12">
        <f>IF(V9&lt;&gt;勤務変更!V9,1,0)</f>
        <v>0</v>
      </c>
      <c r="BC9" s="12">
        <f>IF(W9&lt;&gt;勤務変更!W9,1,0)</f>
        <v>0</v>
      </c>
      <c r="BD9" s="12">
        <f>IF(X9&lt;&gt;勤務変更!X9,1,0)</f>
        <v>0</v>
      </c>
      <c r="BE9" s="12">
        <f>IF(Y9&lt;&gt;勤務変更!Y9,1,0)</f>
        <v>0</v>
      </c>
      <c r="BF9" s="12">
        <f>IF(Z9&lt;&gt;勤務変更!Z9,1,0)</f>
        <v>0</v>
      </c>
      <c r="BG9" s="12">
        <f>IF(AA9&lt;&gt;勤務変更!AA9,1,0)</f>
        <v>0</v>
      </c>
      <c r="BH9" s="12">
        <f>IF(AB9&lt;&gt;勤務変更!AB9,1,0)</f>
        <v>0</v>
      </c>
      <c r="BI9" s="12">
        <f>IF(AC9&lt;&gt;勤務変更!AC9,1,0)</f>
        <v>0</v>
      </c>
      <c r="BJ9" s="12">
        <f>IF(AD9&lt;&gt;勤務変更!AD9,1,0)</f>
        <v>0</v>
      </c>
      <c r="BK9" s="12">
        <f>IF(AE9&lt;&gt;勤務変更!AE9,1,0)</f>
        <v>0</v>
      </c>
      <c r="BL9" s="12">
        <f>IF(AF9&lt;&gt;勤務変更!AF9,1,0)</f>
        <v>0</v>
      </c>
      <c r="BM9" s="12">
        <f>IF(AG9&lt;&gt;勤務変更!AG9,1,0)</f>
        <v>0</v>
      </c>
      <c r="BN9" s="12">
        <f>IF(AH9&lt;&gt;勤務変更!AH9,1,0)</f>
        <v>0</v>
      </c>
      <c r="BO9" s="12">
        <f t="shared" si="1"/>
        <v>0</v>
      </c>
      <c r="BP9" s="12" t="str">
        <f>IF(BR9="","",COUNTA(BR$4:BR9)-COUNTBLANK(BR$4:BR9))</f>
        <v/>
      </c>
      <c r="BQ9" s="12" t="str">
        <f t="shared" si="2"/>
        <v/>
      </c>
      <c r="BR9" s="12" t="str">
        <f t="shared" si="3"/>
        <v/>
      </c>
    </row>
    <row r="10" spans="1:70" ht="13.15" customHeight="1" x14ac:dyDescent="0.2">
      <c r="A10" s="9">
        <f>'[3]勤務表 (2)'!A9</f>
        <v>7</v>
      </c>
      <c r="B10" s="9" t="str">
        <f>'[3]勤務表 (2)'!B9</f>
        <v>33473</v>
      </c>
      <c r="C10" s="74" t="str">
        <f>'[3]勤務表 (2)'!C9</f>
        <v>中村 映水</v>
      </c>
      <c r="D10" s="26" t="str">
        <f>'[3]勤務表 (2)'!D9</f>
        <v/>
      </c>
      <c r="E10" s="26" t="str">
        <f>'[3]勤務表 (2)'!E9</f>
        <v/>
      </c>
      <c r="F10" s="26" t="str">
        <f>'[3]勤務表 (2)'!F9</f>
        <v/>
      </c>
      <c r="G10" s="26" t="str">
        <f>'[3]勤務表 (2)'!G9</f>
        <v/>
      </c>
      <c r="H10" s="26" t="str">
        <f>'[3]勤務表 (2)'!H9</f>
        <v>○</v>
      </c>
      <c r="I10" s="26" t="str">
        <f>'[3]勤務表 (2)'!I9</f>
        <v>●</v>
      </c>
      <c r="J10" s="26" t="str">
        <f>'[3]勤務表 (2)'!J9</f>
        <v/>
      </c>
      <c r="K10" s="26" t="str">
        <f>'[3]勤務表 (2)'!K9</f>
        <v/>
      </c>
      <c r="L10" s="26" t="str">
        <f>'[3]勤務表 (2)'!L9</f>
        <v/>
      </c>
      <c r="M10" s="26" t="str">
        <f>'[3]勤務表 (2)'!M9</f>
        <v/>
      </c>
      <c r="N10" s="26" t="str">
        <f>'[3]勤務表 (2)'!N9</f>
        <v/>
      </c>
      <c r="O10" s="26" t="str">
        <f>'[3]勤務表 (2)'!O9</f>
        <v>○</v>
      </c>
      <c r="P10" s="26" t="str">
        <f>'[3]勤務表 (2)'!P9</f>
        <v>●</v>
      </c>
      <c r="Q10" s="26" t="str">
        <f>'[3]勤務表 (2)'!Q9</f>
        <v/>
      </c>
      <c r="R10" s="26" t="str">
        <f>'[3]勤務表 (2)'!R9</f>
        <v/>
      </c>
      <c r="S10" s="26" t="str">
        <f>'[3]勤務表 (2)'!S9</f>
        <v/>
      </c>
      <c r="T10" s="26" t="str">
        <f>'[3]勤務表 (2)'!T9</f>
        <v/>
      </c>
      <c r="U10" s="26" t="str">
        <f>'[3]勤務表 (2)'!U9</f>
        <v/>
      </c>
      <c r="V10" s="26" t="str">
        <f>'[3]勤務表 (2)'!V9</f>
        <v>○</v>
      </c>
      <c r="W10" s="26" t="str">
        <f>'[3]勤務表 (2)'!W9</f>
        <v>●</v>
      </c>
      <c r="X10" s="26" t="str">
        <f>'[3]勤務表 (2)'!X9</f>
        <v/>
      </c>
      <c r="Y10" s="26" t="str">
        <f>'[3]勤務表 (2)'!Y9</f>
        <v/>
      </c>
      <c r="Z10" s="26" t="str">
        <f>'[3]勤務表 (2)'!Z9</f>
        <v/>
      </c>
      <c r="AA10" s="26" t="str">
        <f>'[3]勤務表 (2)'!AA9</f>
        <v/>
      </c>
      <c r="AB10" s="26" t="str">
        <f>'[3]勤務表 (2)'!AB9</f>
        <v/>
      </c>
      <c r="AC10" s="26" t="str">
        <f>'[3]勤務表 (2)'!AC9</f>
        <v>○</v>
      </c>
      <c r="AD10" s="26" t="str">
        <f>'[3]勤務表 (2)'!AD9</f>
        <v>●</v>
      </c>
      <c r="AE10" s="26" t="str">
        <f>'[3]勤務表 (2)'!AE9</f>
        <v/>
      </c>
      <c r="AF10" s="26" t="str">
        <f>'[3]勤務表 (2)'!AF9</f>
        <v/>
      </c>
      <c r="AG10" s="26" t="str">
        <f>'[3]勤務表 (2)'!AG9</f>
        <v/>
      </c>
      <c r="AH10" s="26" t="str">
        <f>'[3]勤務表 (2)'!AH9</f>
        <v/>
      </c>
      <c r="AJ10" s="12">
        <f>IF(D10&lt;&gt;勤務変更!D10,1,0)</f>
        <v>0</v>
      </c>
      <c r="AK10" s="12">
        <f>IF(E10&lt;&gt;勤務変更!E10,1,0)</f>
        <v>0</v>
      </c>
      <c r="AL10" s="12">
        <f>IF(F10&lt;&gt;勤務変更!F10,1,0)</f>
        <v>0</v>
      </c>
      <c r="AM10" s="12">
        <f>IF(G10&lt;&gt;勤務変更!G10,1,0)</f>
        <v>0</v>
      </c>
      <c r="AN10" s="12">
        <f>IF(H10&lt;&gt;勤務変更!H10,1,0)</f>
        <v>0</v>
      </c>
      <c r="AO10" s="12">
        <f>IF(I10&lt;&gt;勤務変更!I10,1,0)</f>
        <v>0</v>
      </c>
      <c r="AP10" s="12">
        <f>IF(J10&lt;&gt;勤務変更!J10,1,0)</f>
        <v>0</v>
      </c>
      <c r="AQ10" s="12">
        <f>IF(K10&lt;&gt;勤務変更!K10,1,0)</f>
        <v>0</v>
      </c>
      <c r="AR10" s="12">
        <f>IF(L10&lt;&gt;勤務変更!L10,1,0)</f>
        <v>0</v>
      </c>
      <c r="AS10" s="12">
        <f>IF(M10&lt;&gt;勤務変更!M10,1,0)</f>
        <v>0</v>
      </c>
      <c r="AT10" s="12">
        <f>IF(N10&lt;&gt;勤務変更!N10,1,0)</f>
        <v>0</v>
      </c>
      <c r="AU10" s="12">
        <f>IF(O10&lt;&gt;勤務変更!O10,1,0)</f>
        <v>0</v>
      </c>
      <c r="AV10" s="12">
        <f>IF(P10&lt;&gt;勤務変更!P10,1,0)</f>
        <v>0</v>
      </c>
      <c r="AW10" s="12">
        <f>IF(Q10&lt;&gt;勤務変更!Q10,1,0)</f>
        <v>0</v>
      </c>
      <c r="AX10" s="12">
        <f>IF(R10&lt;&gt;勤務変更!R10,1,0)</f>
        <v>0</v>
      </c>
      <c r="AY10" s="12">
        <f>IF(S10&lt;&gt;勤務変更!S10,1,0)</f>
        <v>0</v>
      </c>
      <c r="AZ10" s="12">
        <f>IF(T10&lt;&gt;勤務変更!T10,1,0)</f>
        <v>0</v>
      </c>
      <c r="BA10" s="12">
        <f>IF(U10&lt;&gt;勤務変更!U10,1,0)</f>
        <v>0</v>
      </c>
      <c r="BB10" s="12">
        <f>IF(V10&lt;&gt;勤務変更!V10,1,0)</f>
        <v>0</v>
      </c>
      <c r="BC10" s="12">
        <f>IF(W10&lt;&gt;勤務変更!W10,1,0)</f>
        <v>0</v>
      </c>
      <c r="BD10" s="12">
        <f>IF(X10&lt;&gt;勤務変更!X10,1,0)</f>
        <v>0</v>
      </c>
      <c r="BE10" s="12">
        <f>IF(Y10&lt;&gt;勤務変更!Y10,1,0)</f>
        <v>0</v>
      </c>
      <c r="BF10" s="12">
        <f>IF(Z10&lt;&gt;勤務変更!Z10,1,0)</f>
        <v>0</v>
      </c>
      <c r="BG10" s="12">
        <f>IF(AA10&lt;&gt;勤務変更!AA10,1,0)</f>
        <v>0</v>
      </c>
      <c r="BH10" s="12">
        <f>IF(AB10&lt;&gt;勤務変更!AB10,1,0)</f>
        <v>0</v>
      </c>
      <c r="BI10" s="12">
        <f>IF(AC10&lt;&gt;勤務変更!AC10,1,0)</f>
        <v>0</v>
      </c>
      <c r="BJ10" s="12">
        <f>IF(AD10&lt;&gt;勤務変更!AD10,1,0)</f>
        <v>0</v>
      </c>
      <c r="BK10" s="12">
        <f>IF(AE10&lt;&gt;勤務変更!AE10,1,0)</f>
        <v>0</v>
      </c>
      <c r="BL10" s="12">
        <f>IF(AF10&lt;&gt;勤務変更!AF10,1,0)</f>
        <v>0</v>
      </c>
      <c r="BM10" s="12">
        <f>IF(AG10&lt;&gt;勤務変更!AG10,1,0)</f>
        <v>0</v>
      </c>
      <c r="BN10" s="12">
        <f>IF(AH10&lt;&gt;勤務変更!AH10,1,0)</f>
        <v>0</v>
      </c>
      <c r="BO10" s="12">
        <f t="shared" si="1"/>
        <v>0</v>
      </c>
      <c r="BP10" s="12" t="str">
        <f>IF(BR10="","",COUNTA(BR$4:BR10)-COUNTBLANK(BR$4:BR10))</f>
        <v/>
      </c>
      <c r="BQ10" s="12" t="str">
        <f t="shared" si="2"/>
        <v/>
      </c>
      <c r="BR10" s="12" t="str">
        <f t="shared" si="3"/>
        <v/>
      </c>
    </row>
    <row r="11" spans="1:70" ht="13.15" customHeight="1" x14ac:dyDescent="0.2">
      <c r="A11" s="9">
        <f>'[3]勤務表 (2)'!A10</f>
        <v>8</v>
      </c>
      <c r="B11" s="9" t="str">
        <f>'[3]勤務表 (2)'!B10</f>
        <v>33485</v>
      </c>
      <c r="C11" s="74" t="str">
        <f>'[3]勤務表 (2)'!C10</f>
        <v>平田 真奈美</v>
      </c>
      <c r="D11" s="26" t="str">
        <f>'[3]勤務表 (2)'!D10</f>
        <v/>
      </c>
      <c r="E11" s="26" t="str">
        <f>'[3]勤務表 (2)'!E10</f>
        <v/>
      </c>
      <c r="F11" s="26" t="str">
        <f>'[3]勤務表 (2)'!F10</f>
        <v/>
      </c>
      <c r="G11" s="26" t="str">
        <f>'[3]勤務表 (2)'!G10</f>
        <v/>
      </c>
      <c r="H11" s="26" t="str">
        <f>'[3]勤務表 (2)'!H10</f>
        <v>○</v>
      </c>
      <c r="I11" s="26" t="str">
        <f>'[3]勤務表 (2)'!I10</f>
        <v>●</v>
      </c>
      <c r="J11" s="26" t="str">
        <f>'[3]勤務表 (2)'!J10</f>
        <v/>
      </c>
      <c r="K11" s="26" t="str">
        <f>'[3]勤務表 (2)'!K10</f>
        <v/>
      </c>
      <c r="L11" s="26" t="str">
        <f>'[3]勤務表 (2)'!L10</f>
        <v/>
      </c>
      <c r="M11" s="26" t="str">
        <f>'[3]勤務表 (2)'!M10</f>
        <v/>
      </c>
      <c r="N11" s="26" t="str">
        <f>'[3]勤務表 (2)'!N10</f>
        <v/>
      </c>
      <c r="O11" s="26" t="str">
        <f>'[3]勤務表 (2)'!O10</f>
        <v>○</v>
      </c>
      <c r="P11" s="26" t="str">
        <f>'[3]勤務表 (2)'!P10</f>
        <v>●</v>
      </c>
      <c r="Q11" s="26" t="str">
        <f>'[3]勤務表 (2)'!Q10</f>
        <v/>
      </c>
      <c r="R11" s="26" t="str">
        <f>'[3]勤務表 (2)'!R10</f>
        <v/>
      </c>
      <c r="S11" s="26" t="str">
        <f>'[3]勤務表 (2)'!S10</f>
        <v/>
      </c>
      <c r="T11" s="26" t="str">
        <f>'[3]勤務表 (2)'!T10</f>
        <v/>
      </c>
      <c r="U11" s="26" t="str">
        <f>'[3]勤務表 (2)'!U10</f>
        <v/>
      </c>
      <c r="V11" s="26" t="str">
        <f>'[3]勤務表 (2)'!V10</f>
        <v>○</v>
      </c>
      <c r="W11" s="26" t="str">
        <f>'[3]勤務表 (2)'!W10</f>
        <v>●</v>
      </c>
      <c r="X11" s="26" t="str">
        <f>'[3]勤務表 (2)'!X10</f>
        <v/>
      </c>
      <c r="Y11" s="26" t="str">
        <f>'[3]勤務表 (2)'!Y10</f>
        <v/>
      </c>
      <c r="Z11" s="26" t="str">
        <f>'[3]勤務表 (2)'!Z10</f>
        <v/>
      </c>
      <c r="AA11" s="26" t="str">
        <f>'[3]勤務表 (2)'!AA10</f>
        <v/>
      </c>
      <c r="AB11" s="26" t="str">
        <f>'[3]勤務表 (2)'!AB10</f>
        <v/>
      </c>
      <c r="AC11" s="26" t="str">
        <f>'[3]勤務表 (2)'!AC10</f>
        <v>○</v>
      </c>
      <c r="AD11" s="26" t="str">
        <f>'[3]勤務表 (2)'!AD10</f>
        <v>●</v>
      </c>
      <c r="AE11" s="26" t="str">
        <f>'[3]勤務表 (2)'!AE10</f>
        <v/>
      </c>
      <c r="AF11" s="26" t="str">
        <f>'[3]勤務表 (2)'!AF10</f>
        <v/>
      </c>
      <c r="AG11" s="26" t="str">
        <f>'[3]勤務表 (2)'!AG10</f>
        <v/>
      </c>
      <c r="AH11" s="26" t="str">
        <f>'[3]勤務表 (2)'!AH10</f>
        <v/>
      </c>
      <c r="AJ11" s="12">
        <f>IF(D11&lt;&gt;勤務変更!D11,1,0)</f>
        <v>0</v>
      </c>
      <c r="AK11" s="12">
        <f>IF(E11&lt;&gt;勤務変更!E11,1,0)</f>
        <v>0</v>
      </c>
      <c r="AL11" s="12">
        <f>IF(F11&lt;&gt;勤務変更!F11,1,0)</f>
        <v>0</v>
      </c>
      <c r="AM11" s="12">
        <f>IF(G11&lt;&gt;勤務変更!G11,1,0)</f>
        <v>0</v>
      </c>
      <c r="AN11" s="12">
        <f>IF(H11&lt;&gt;勤務変更!H11,1,0)</f>
        <v>0</v>
      </c>
      <c r="AO11" s="12">
        <f>IF(I11&lt;&gt;勤務変更!I11,1,0)</f>
        <v>0</v>
      </c>
      <c r="AP11" s="12">
        <f>IF(J11&lt;&gt;勤務変更!J11,1,0)</f>
        <v>0</v>
      </c>
      <c r="AQ11" s="12">
        <f>IF(K11&lt;&gt;勤務変更!K11,1,0)</f>
        <v>0</v>
      </c>
      <c r="AR11" s="12">
        <f>IF(L11&lt;&gt;勤務変更!L11,1,0)</f>
        <v>0</v>
      </c>
      <c r="AS11" s="12">
        <f>IF(M11&lt;&gt;勤務変更!M11,1,0)</f>
        <v>0</v>
      </c>
      <c r="AT11" s="12">
        <f>IF(N11&lt;&gt;勤務変更!N11,1,0)</f>
        <v>0</v>
      </c>
      <c r="AU11" s="12">
        <f>IF(O11&lt;&gt;勤務変更!O11,1,0)</f>
        <v>0</v>
      </c>
      <c r="AV11" s="12">
        <f>IF(P11&lt;&gt;勤務変更!P11,1,0)</f>
        <v>0</v>
      </c>
      <c r="AW11" s="12">
        <f>IF(Q11&lt;&gt;勤務変更!Q11,1,0)</f>
        <v>0</v>
      </c>
      <c r="AX11" s="12">
        <f>IF(R11&lt;&gt;勤務変更!R11,1,0)</f>
        <v>0</v>
      </c>
      <c r="AY11" s="12">
        <f>IF(S11&lt;&gt;勤務変更!S11,1,0)</f>
        <v>0</v>
      </c>
      <c r="AZ11" s="12">
        <f>IF(T11&lt;&gt;勤務変更!T11,1,0)</f>
        <v>0</v>
      </c>
      <c r="BA11" s="12">
        <f>IF(U11&lt;&gt;勤務変更!U11,1,0)</f>
        <v>0</v>
      </c>
      <c r="BB11" s="12">
        <f>IF(V11&lt;&gt;勤務変更!V11,1,0)</f>
        <v>0</v>
      </c>
      <c r="BC11" s="12">
        <f>IF(W11&lt;&gt;勤務変更!W11,1,0)</f>
        <v>0</v>
      </c>
      <c r="BD11" s="12">
        <f>IF(X11&lt;&gt;勤務変更!X11,1,0)</f>
        <v>0</v>
      </c>
      <c r="BE11" s="12">
        <f>IF(Y11&lt;&gt;勤務変更!Y11,1,0)</f>
        <v>0</v>
      </c>
      <c r="BF11" s="12">
        <f>IF(Z11&lt;&gt;勤務変更!Z11,1,0)</f>
        <v>0</v>
      </c>
      <c r="BG11" s="12">
        <f>IF(AA11&lt;&gt;勤務変更!AA11,1,0)</f>
        <v>0</v>
      </c>
      <c r="BH11" s="12">
        <f>IF(AB11&lt;&gt;勤務変更!AB11,1,0)</f>
        <v>0</v>
      </c>
      <c r="BI11" s="12">
        <f>IF(AC11&lt;&gt;勤務変更!AC11,1,0)</f>
        <v>0</v>
      </c>
      <c r="BJ11" s="12">
        <f>IF(AD11&lt;&gt;勤務変更!AD11,1,0)</f>
        <v>0</v>
      </c>
      <c r="BK11" s="12">
        <f>IF(AE11&lt;&gt;勤務変更!AE11,1,0)</f>
        <v>0</v>
      </c>
      <c r="BL11" s="12">
        <f>IF(AF11&lt;&gt;勤務変更!AF11,1,0)</f>
        <v>0</v>
      </c>
      <c r="BM11" s="12">
        <f>IF(AG11&lt;&gt;勤務変更!AG11,1,0)</f>
        <v>0</v>
      </c>
      <c r="BN11" s="12">
        <f>IF(AH11&lt;&gt;勤務変更!AH11,1,0)</f>
        <v>0</v>
      </c>
      <c r="BO11" s="12">
        <f t="shared" si="1"/>
        <v>0</v>
      </c>
      <c r="BP11" s="12" t="str">
        <f>IF(BR11="","",COUNTA(BR$4:BR11)-COUNTBLANK(BR$4:BR11))</f>
        <v/>
      </c>
      <c r="BQ11" s="12" t="str">
        <f t="shared" si="2"/>
        <v/>
      </c>
      <c r="BR11" s="12" t="str">
        <f t="shared" si="3"/>
        <v/>
      </c>
    </row>
    <row r="12" spans="1:70" ht="13.15" customHeight="1" x14ac:dyDescent="0.2">
      <c r="A12" s="9">
        <f>'[3]勤務表 (2)'!A11</f>
        <v>9</v>
      </c>
      <c r="B12" s="9" t="str">
        <f>'[3]勤務表 (2)'!B11</f>
        <v>37584</v>
      </c>
      <c r="C12" s="74" t="str">
        <f>'[3]勤務表 (2)'!C11</f>
        <v>大橋 効</v>
      </c>
      <c r="D12" s="26" t="str">
        <f>'[3]勤務表 (2)'!D11</f>
        <v/>
      </c>
      <c r="E12" s="26" t="str">
        <f>'[3]勤務表 (2)'!E11</f>
        <v/>
      </c>
      <c r="F12" s="26" t="str">
        <f>'[3]勤務表 (2)'!F11</f>
        <v/>
      </c>
      <c r="G12" s="26" t="str">
        <f>'[3]勤務表 (2)'!G11</f>
        <v/>
      </c>
      <c r="H12" s="26" t="str">
        <f>'[3]勤務表 (2)'!H11</f>
        <v>○</v>
      </c>
      <c r="I12" s="26" t="str">
        <f>'[3]勤務表 (2)'!I11</f>
        <v>当</v>
      </c>
      <c r="J12" s="26" t="str">
        <f>'[3]勤務表 (2)'!J11</f>
        <v>明</v>
      </c>
      <c r="K12" s="26" t="str">
        <f>'[3]勤務表 (2)'!K11</f>
        <v>●</v>
      </c>
      <c r="L12" s="26" t="str">
        <f>'[3]勤務表 (2)'!L11</f>
        <v/>
      </c>
      <c r="M12" s="26" t="str">
        <f>'[3]勤務表 (2)'!M11</f>
        <v/>
      </c>
      <c r="N12" s="26" t="str">
        <f>'[3]勤務表 (2)'!N11</f>
        <v>当</v>
      </c>
      <c r="O12" s="26" t="str">
        <f>'[3]勤務表 (2)'!O11</f>
        <v>明</v>
      </c>
      <c r="P12" s="26" t="str">
        <f>'[3]勤務表 (2)'!P11</f>
        <v>●</v>
      </c>
      <c r="Q12" s="26" t="str">
        <f>'[3]勤務表 (2)'!Q11</f>
        <v/>
      </c>
      <c r="R12" s="26" t="str">
        <f>'[3]勤務表 (2)'!R11</f>
        <v/>
      </c>
      <c r="S12" s="26" t="str">
        <f>'[3]勤務表 (2)'!S11</f>
        <v/>
      </c>
      <c r="T12" s="26" t="str">
        <f>'[3]勤務表 (2)'!T11</f>
        <v/>
      </c>
      <c r="U12" s="26" t="str">
        <f>'[3]勤務表 (2)'!U11</f>
        <v/>
      </c>
      <c r="V12" s="26" t="str">
        <f>'[3]勤務表 (2)'!V11</f>
        <v>○</v>
      </c>
      <c r="W12" s="26" t="str">
        <f>'[3]勤務表 (2)'!W11</f>
        <v>●</v>
      </c>
      <c r="X12" s="26" t="str">
        <f>'[3]勤務表 (2)'!X11</f>
        <v/>
      </c>
      <c r="Y12" s="26" t="str">
        <f>'[3]勤務表 (2)'!Y11</f>
        <v/>
      </c>
      <c r="Z12" s="26" t="str">
        <f>'[3]勤務表 (2)'!Z11</f>
        <v/>
      </c>
      <c r="AA12" s="26" t="str">
        <f>'[3]勤務表 (2)'!AA11</f>
        <v/>
      </c>
      <c r="AB12" s="26" t="str">
        <f>'[3]勤務表 (2)'!AB11</f>
        <v>当</v>
      </c>
      <c r="AC12" s="26" t="str">
        <f>'[3]勤務表 (2)'!AC11</f>
        <v>明</v>
      </c>
      <c r="AD12" s="26" t="str">
        <f>'[3]勤務表 (2)'!AD11</f>
        <v>●</v>
      </c>
      <c r="AE12" s="26" t="str">
        <f>'[3]勤務表 (2)'!AE11</f>
        <v/>
      </c>
      <c r="AF12" s="26" t="str">
        <f>'[3]勤務表 (2)'!AF11</f>
        <v/>
      </c>
      <c r="AG12" s="26" t="str">
        <f>'[3]勤務表 (2)'!AG11</f>
        <v/>
      </c>
      <c r="AH12" s="26" t="str">
        <f>'[3]勤務表 (2)'!AH11</f>
        <v/>
      </c>
      <c r="AJ12" s="12">
        <f>IF(D12&lt;&gt;勤務変更!D12,1,0)</f>
        <v>0</v>
      </c>
      <c r="AK12" s="12">
        <f>IF(E12&lt;&gt;勤務変更!E12,1,0)</f>
        <v>0</v>
      </c>
      <c r="AL12" s="12">
        <f>IF(F12&lt;&gt;勤務変更!F12,1,0)</f>
        <v>0</v>
      </c>
      <c r="AM12" s="12">
        <f>IF(G12&lt;&gt;勤務変更!G12,1,0)</f>
        <v>0</v>
      </c>
      <c r="AN12" s="12">
        <f>IF(H12&lt;&gt;勤務変更!H12,1,0)</f>
        <v>0</v>
      </c>
      <c r="AO12" s="12">
        <f>IF(I12&lt;&gt;勤務変更!I12,1,0)</f>
        <v>0</v>
      </c>
      <c r="AP12" s="12">
        <f>IF(J12&lt;&gt;勤務変更!J12,1,0)</f>
        <v>0</v>
      </c>
      <c r="AQ12" s="12">
        <f>IF(K12&lt;&gt;勤務変更!K12,1,0)</f>
        <v>0</v>
      </c>
      <c r="AR12" s="12">
        <f>IF(L12&lt;&gt;勤務変更!L12,1,0)</f>
        <v>0</v>
      </c>
      <c r="AS12" s="12">
        <f>IF(M12&lt;&gt;勤務変更!M12,1,0)</f>
        <v>0</v>
      </c>
      <c r="AT12" s="12">
        <f>IF(N12&lt;&gt;勤務変更!N12,1,0)</f>
        <v>0</v>
      </c>
      <c r="AU12" s="12">
        <f>IF(O12&lt;&gt;勤務変更!O12,1,0)</f>
        <v>0</v>
      </c>
      <c r="AV12" s="12">
        <f>IF(P12&lt;&gt;勤務変更!P12,1,0)</f>
        <v>0</v>
      </c>
      <c r="AW12" s="12">
        <f>IF(Q12&lt;&gt;勤務変更!Q12,1,0)</f>
        <v>0</v>
      </c>
      <c r="AX12" s="12">
        <f>IF(R12&lt;&gt;勤務変更!R12,1,0)</f>
        <v>0</v>
      </c>
      <c r="AY12" s="12">
        <f>IF(S12&lt;&gt;勤務変更!S12,1,0)</f>
        <v>0</v>
      </c>
      <c r="AZ12" s="12">
        <f>IF(T12&lt;&gt;勤務変更!T12,1,0)</f>
        <v>0</v>
      </c>
      <c r="BA12" s="12">
        <f>IF(U12&lt;&gt;勤務変更!U12,1,0)</f>
        <v>0</v>
      </c>
      <c r="BB12" s="12">
        <f>IF(V12&lt;&gt;勤務変更!V12,1,0)</f>
        <v>0</v>
      </c>
      <c r="BC12" s="12">
        <f>IF(W12&lt;&gt;勤務変更!W12,1,0)</f>
        <v>0</v>
      </c>
      <c r="BD12" s="12">
        <f>IF(X12&lt;&gt;勤務変更!X12,1,0)</f>
        <v>0</v>
      </c>
      <c r="BE12" s="12">
        <f>IF(Y12&lt;&gt;勤務変更!Y12,1,0)</f>
        <v>0</v>
      </c>
      <c r="BF12" s="12">
        <f>IF(Z12&lt;&gt;勤務変更!Z12,1,0)</f>
        <v>0</v>
      </c>
      <c r="BG12" s="12">
        <f>IF(AA12&lt;&gt;勤務変更!AA12,1,0)</f>
        <v>0</v>
      </c>
      <c r="BH12" s="12">
        <f>IF(AB12&lt;&gt;勤務変更!AB12,1,0)</f>
        <v>0</v>
      </c>
      <c r="BI12" s="12">
        <f>IF(AC12&lt;&gt;勤務変更!AC12,1,0)</f>
        <v>0</v>
      </c>
      <c r="BJ12" s="12">
        <f>IF(AD12&lt;&gt;勤務変更!AD12,1,0)</f>
        <v>0</v>
      </c>
      <c r="BK12" s="12">
        <f>IF(AE12&lt;&gt;勤務変更!AE12,1,0)</f>
        <v>0</v>
      </c>
      <c r="BL12" s="12">
        <f>IF(AF12&lt;&gt;勤務変更!AF12,1,0)</f>
        <v>0</v>
      </c>
      <c r="BM12" s="12">
        <f>IF(AG12&lt;&gt;勤務変更!AG12,1,0)</f>
        <v>0</v>
      </c>
      <c r="BN12" s="12">
        <f>IF(AH12&lt;&gt;勤務変更!AH12,1,0)</f>
        <v>0</v>
      </c>
      <c r="BO12" s="12">
        <f t="shared" si="1"/>
        <v>0</v>
      </c>
      <c r="BP12" s="12" t="str">
        <f>IF(BR12="","",COUNTA(BR$4:BR12)-COUNTBLANK(BR$4:BR12))</f>
        <v/>
      </c>
      <c r="BQ12" s="12" t="str">
        <f t="shared" si="2"/>
        <v/>
      </c>
      <c r="BR12" s="12" t="str">
        <f t="shared" si="3"/>
        <v/>
      </c>
    </row>
    <row r="13" spans="1:70" ht="13.15" customHeight="1" x14ac:dyDescent="0.2">
      <c r="A13" s="9">
        <f>'[3]勤務表 (2)'!A12</f>
        <v>10</v>
      </c>
      <c r="B13" s="9" t="str">
        <f>'[3]勤務表 (2)'!B12</f>
        <v>37601</v>
      </c>
      <c r="C13" s="74" t="str">
        <f>'[3]勤務表 (2)'!C12</f>
        <v>山本 浩之</v>
      </c>
      <c r="D13" s="26" t="str">
        <f>'[3]勤務表 (2)'!D12</f>
        <v/>
      </c>
      <c r="E13" s="26" t="str">
        <f>'[3]勤務表 (2)'!E12</f>
        <v/>
      </c>
      <c r="F13" s="26" t="str">
        <f>'[3]勤務表 (2)'!F12</f>
        <v/>
      </c>
      <c r="G13" s="26" t="str">
        <f>'[3]勤務表 (2)'!G12</f>
        <v/>
      </c>
      <c r="H13" s="26" t="str">
        <f>'[3]勤務表 (2)'!H12</f>
        <v>／</v>
      </c>
      <c r="I13" s="26" t="str">
        <f>'[3]勤務表 (2)'!I12</f>
        <v>●</v>
      </c>
      <c r="J13" s="26" t="str">
        <f>'[3]勤務表 (2)'!J12</f>
        <v/>
      </c>
      <c r="K13" s="26" t="str">
        <f>'[3]勤務表 (2)'!K12</f>
        <v/>
      </c>
      <c r="L13" s="26" t="str">
        <f>'[3]勤務表 (2)'!L12</f>
        <v/>
      </c>
      <c r="M13" s="26" t="str">
        <f>'[3]勤務表 (2)'!M12</f>
        <v>当</v>
      </c>
      <c r="N13" s="26" t="str">
        <f>'[3]勤務表 (2)'!N12</f>
        <v>明</v>
      </c>
      <c r="O13" s="26" t="str">
        <f>'[3]勤務表 (2)'!O12</f>
        <v>○</v>
      </c>
      <c r="P13" s="26" t="str">
        <f>'[3]勤務表 (2)'!P12</f>
        <v>●</v>
      </c>
      <c r="Q13" s="26" t="str">
        <f>'[3]勤務表 (2)'!Q12</f>
        <v/>
      </c>
      <c r="R13" s="26" t="str">
        <f>'[3]勤務表 (2)'!R12</f>
        <v/>
      </c>
      <c r="S13" s="26" t="str">
        <f>'[3]勤務表 (2)'!S12</f>
        <v/>
      </c>
      <c r="T13" s="26" t="str">
        <f>'[3]勤務表 (2)'!T12</f>
        <v/>
      </c>
      <c r="U13" s="26" t="str">
        <f>'[3]勤務表 (2)'!U12</f>
        <v/>
      </c>
      <c r="V13" s="26" t="str">
        <f>'[3]勤務表 (2)'!V12</f>
        <v>／</v>
      </c>
      <c r="W13" s="26" t="str">
        <f>'[3]勤務表 (2)'!W12</f>
        <v>●</v>
      </c>
      <c r="X13" s="26" t="str">
        <f>'[3]勤務表 (2)'!X12</f>
        <v/>
      </c>
      <c r="Y13" s="26" t="str">
        <f>'[3]勤務表 (2)'!Y12</f>
        <v/>
      </c>
      <c r="Z13" s="26" t="str">
        <f>'[3]勤務表 (2)'!Z12</f>
        <v>当</v>
      </c>
      <c r="AA13" s="26" t="str">
        <f>'[3]勤務表 (2)'!AA12</f>
        <v>明</v>
      </c>
      <c r="AB13" s="26" t="str">
        <f>'[3]勤務表 (2)'!AB12</f>
        <v/>
      </c>
      <c r="AC13" s="26" t="str">
        <f>'[3]勤務表 (2)'!AC12</f>
        <v>○</v>
      </c>
      <c r="AD13" s="26" t="str">
        <f>'[3]勤務表 (2)'!AD12</f>
        <v>●</v>
      </c>
      <c r="AE13" s="26" t="str">
        <f>'[3]勤務表 (2)'!AE12</f>
        <v/>
      </c>
      <c r="AF13" s="26" t="str">
        <f>'[3]勤務表 (2)'!AF12</f>
        <v/>
      </c>
      <c r="AG13" s="26" t="str">
        <f>'[3]勤務表 (2)'!AG12</f>
        <v/>
      </c>
      <c r="AH13" s="26" t="str">
        <f>'[3]勤務表 (2)'!AH12</f>
        <v/>
      </c>
      <c r="AJ13" s="12">
        <f>IF(D13&lt;&gt;勤務変更!D13,1,0)</f>
        <v>0</v>
      </c>
      <c r="AK13" s="12">
        <f>IF(E13&lt;&gt;勤務変更!E13,1,0)</f>
        <v>0</v>
      </c>
      <c r="AL13" s="12">
        <f>IF(F13&lt;&gt;勤務変更!F13,1,0)</f>
        <v>0</v>
      </c>
      <c r="AM13" s="12">
        <f>IF(G13&lt;&gt;勤務変更!G13,1,0)</f>
        <v>0</v>
      </c>
      <c r="AN13" s="12">
        <f>IF(H13&lt;&gt;勤務変更!H13,1,0)</f>
        <v>0</v>
      </c>
      <c r="AO13" s="12">
        <f>IF(I13&lt;&gt;勤務変更!I13,1,0)</f>
        <v>0</v>
      </c>
      <c r="AP13" s="12">
        <f>IF(J13&lt;&gt;勤務変更!J13,1,0)</f>
        <v>0</v>
      </c>
      <c r="AQ13" s="12">
        <f>IF(K13&lt;&gt;勤務変更!K13,1,0)</f>
        <v>0</v>
      </c>
      <c r="AR13" s="12">
        <f>IF(L13&lt;&gt;勤務変更!L13,1,0)</f>
        <v>0</v>
      </c>
      <c r="AS13" s="12">
        <f>IF(M13&lt;&gt;勤務変更!M13,1,0)</f>
        <v>0</v>
      </c>
      <c r="AT13" s="12">
        <f>IF(N13&lt;&gt;勤務変更!N13,1,0)</f>
        <v>0</v>
      </c>
      <c r="AU13" s="12">
        <f>IF(O13&lt;&gt;勤務変更!O13,1,0)</f>
        <v>0</v>
      </c>
      <c r="AV13" s="12">
        <f>IF(P13&lt;&gt;勤務変更!P13,1,0)</f>
        <v>0</v>
      </c>
      <c r="AW13" s="12">
        <f>IF(Q13&lt;&gt;勤務変更!Q13,1,0)</f>
        <v>0</v>
      </c>
      <c r="AX13" s="12">
        <f>IF(R13&lt;&gt;勤務変更!R13,1,0)</f>
        <v>0</v>
      </c>
      <c r="AY13" s="12">
        <f>IF(S13&lt;&gt;勤務変更!S13,1,0)</f>
        <v>0</v>
      </c>
      <c r="AZ13" s="12">
        <f>IF(T13&lt;&gt;勤務変更!T13,1,0)</f>
        <v>0</v>
      </c>
      <c r="BA13" s="12">
        <f>IF(U13&lt;&gt;勤務変更!U13,1,0)</f>
        <v>0</v>
      </c>
      <c r="BB13" s="12">
        <f>IF(V13&lt;&gt;勤務変更!V13,1,0)</f>
        <v>0</v>
      </c>
      <c r="BC13" s="12">
        <f>IF(W13&lt;&gt;勤務変更!W13,1,0)</f>
        <v>0</v>
      </c>
      <c r="BD13" s="12">
        <f>IF(X13&lt;&gt;勤務変更!X13,1,0)</f>
        <v>0</v>
      </c>
      <c r="BE13" s="12">
        <f>IF(Y13&lt;&gt;勤務変更!Y13,1,0)</f>
        <v>0</v>
      </c>
      <c r="BF13" s="12">
        <f>IF(Z13&lt;&gt;勤務変更!Z13,1,0)</f>
        <v>0</v>
      </c>
      <c r="BG13" s="12">
        <f>IF(AA13&lt;&gt;勤務変更!AA13,1,0)</f>
        <v>0</v>
      </c>
      <c r="BH13" s="12">
        <f>IF(AB13&lt;&gt;勤務変更!AB13,1,0)</f>
        <v>0</v>
      </c>
      <c r="BI13" s="12">
        <f>IF(AC13&lt;&gt;勤務変更!AC13,1,0)</f>
        <v>0</v>
      </c>
      <c r="BJ13" s="12">
        <f>IF(AD13&lt;&gt;勤務変更!AD13,1,0)</f>
        <v>0</v>
      </c>
      <c r="BK13" s="12">
        <f>IF(AE13&lt;&gt;勤務変更!AE13,1,0)</f>
        <v>0</v>
      </c>
      <c r="BL13" s="12">
        <f>IF(AF13&lt;&gt;勤務変更!AF13,1,0)</f>
        <v>0</v>
      </c>
      <c r="BM13" s="12">
        <f>IF(AG13&lt;&gt;勤務変更!AG13,1,0)</f>
        <v>0</v>
      </c>
      <c r="BN13" s="12">
        <f>IF(AH13&lt;&gt;勤務変更!AH13,1,0)</f>
        <v>0</v>
      </c>
      <c r="BO13" s="12">
        <f t="shared" si="1"/>
        <v>0</v>
      </c>
      <c r="BP13" s="12" t="str">
        <f>IF(BR13="","",COUNTA(BR$4:BR13)-COUNTBLANK(BR$4:BR13))</f>
        <v/>
      </c>
      <c r="BQ13" s="12" t="str">
        <f t="shared" si="2"/>
        <v/>
      </c>
      <c r="BR13" s="12" t="str">
        <f t="shared" si="3"/>
        <v/>
      </c>
    </row>
    <row r="14" spans="1:70" ht="13.15" customHeight="1" x14ac:dyDescent="0.2">
      <c r="A14" s="9">
        <f>'[3]勤務表 (2)'!A13</f>
        <v>11</v>
      </c>
      <c r="B14" s="9" t="str">
        <f>'[3]勤務表 (2)'!B13</f>
        <v>39805</v>
      </c>
      <c r="C14" s="74" t="str">
        <f>'[3]勤務表 (2)'!C13</f>
        <v>南 博之</v>
      </c>
      <c r="D14" s="26" t="str">
        <f>'[3]勤務表 (2)'!D13</f>
        <v/>
      </c>
      <c r="E14" s="26" t="str">
        <f>'[3]勤務表 (2)'!E13</f>
        <v/>
      </c>
      <c r="F14" s="26" t="str">
        <f>'[3]勤務表 (2)'!F13</f>
        <v/>
      </c>
      <c r="G14" s="26" t="str">
        <f>'[3]勤務表 (2)'!G13</f>
        <v/>
      </c>
      <c r="H14" s="26" t="str">
        <f>'[3]勤務表 (2)'!H13</f>
        <v>当</v>
      </c>
      <c r="I14" s="26" t="str">
        <f>'[3]勤務表 (2)'!I13</f>
        <v>明</v>
      </c>
      <c r="J14" s="26" t="str">
        <f>'[3]勤務表 (2)'!J13</f>
        <v>●</v>
      </c>
      <c r="K14" s="26" t="str">
        <f>'[3]勤務表 (2)'!K13</f>
        <v/>
      </c>
      <c r="L14" s="26" t="str">
        <f>'[3]勤務表 (2)'!L13</f>
        <v/>
      </c>
      <c r="M14" s="26" t="str">
        <f>'[3]勤務表 (2)'!M13</f>
        <v/>
      </c>
      <c r="N14" s="26" t="str">
        <f>'[3]勤務表 (2)'!N13</f>
        <v/>
      </c>
      <c r="O14" s="26" t="str">
        <f>'[3]勤務表 (2)'!O13</f>
        <v>○</v>
      </c>
      <c r="P14" s="26" t="str">
        <f>'[3]勤務表 (2)'!P13</f>
        <v>●</v>
      </c>
      <c r="Q14" s="26" t="str">
        <f>'[3]勤務表 (2)'!Q13</f>
        <v/>
      </c>
      <c r="R14" s="26" t="str">
        <f>'[3]勤務表 (2)'!R13</f>
        <v/>
      </c>
      <c r="S14" s="26" t="str">
        <f>'[3]勤務表 (2)'!S13</f>
        <v/>
      </c>
      <c r="T14" s="26" t="str">
        <f>'[3]勤務表 (2)'!T13</f>
        <v/>
      </c>
      <c r="U14" s="26" t="str">
        <f>'[3]勤務表 (2)'!U13</f>
        <v/>
      </c>
      <c r="V14" s="26" t="str">
        <f>'[3]勤務表 (2)'!V13</f>
        <v>／</v>
      </c>
      <c r="W14" s="26" t="str">
        <f>'[3]勤務表 (2)'!W13</f>
        <v>●</v>
      </c>
      <c r="X14" s="26" t="str">
        <f>'[3]勤務表 (2)'!X13</f>
        <v/>
      </c>
      <c r="Y14" s="26" t="str">
        <f>'[3]勤務表 (2)'!Y13</f>
        <v>当</v>
      </c>
      <c r="Z14" s="26" t="str">
        <f>'[3]勤務表 (2)'!Z13</f>
        <v>明</v>
      </c>
      <c r="AA14" s="26" t="str">
        <f>'[3]勤務表 (2)'!AA13</f>
        <v/>
      </c>
      <c r="AB14" s="26" t="str">
        <f>'[3]勤務表 (2)'!AB13</f>
        <v/>
      </c>
      <c r="AC14" s="26" t="str">
        <f>'[3]勤務表 (2)'!AC13</f>
        <v>○</v>
      </c>
      <c r="AD14" s="26" t="str">
        <f>'[3]勤務表 (2)'!AD13</f>
        <v>●</v>
      </c>
      <c r="AE14" s="26" t="str">
        <f>'[3]勤務表 (2)'!AE13</f>
        <v/>
      </c>
      <c r="AF14" s="26" t="str">
        <f>'[3]勤務表 (2)'!AF13</f>
        <v/>
      </c>
      <c r="AG14" s="26" t="str">
        <f>'[3]勤務表 (2)'!AG13</f>
        <v/>
      </c>
      <c r="AH14" s="26" t="str">
        <f>'[3]勤務表 (2)'!AH13</f>
        <v/>
      </c>
      <c r="AJ14" s="12">
        <f>IF(D14&lt;&gt;勤務変更!D14,1,0)</f>
        <v>0</v>
      </c>
      <c r="AK14" s="12">
        <f>IF(E14&lt;&gt;勤務変更!E14,1,0)</f>
        <v>0</v>
      </c>
      <c r="AL14" s="12">
        <f>IF(F14&lt;&gt;勤務変更!F14,1,0)</f>
        <v>0</v>
      </c>
      <c r="AM14" s="12">
        <f>IF(G14&lt;&gt;勤務変更!G14,1,0)</f>
        <v>0</v>
      </c>
      <c r="AN14" s="12">
        <f>IF(H14&lt;&gt;勤務変更!H14,1,0)</f>
        <v>0</v>
      </c>
      <c r="AO14" s="12">
        <f>IF(I14&lt;&gt;勤務変更!I14,1,0)</f>
        <v>0</v>
      </c>
      <c r="AP14" s="12">
        <f>IF(J14&lt;&gt;勤務変更!J14,1,0)</f>
        <v>0</v>
      </c>
      <c r="AQ14" s="12">
        <f>IF(K14&lt;&gt;勤務変更!K14,1,0)</f>
        <v>0</v>
      </c>
      <c r="AR14" s="12">
        <f>IF(L14&lt;&gt;勤務変更!L14,1,0)</f>
        <v>0</v>
      </c>
      <c r="AS14" s="12">
        <f>IF(M14&lt;&gt;勤務変更!M14,1,0)</f>
        <v>0</v>
      </c>
      <c r="AT14" s="12">
        <f>IF(N14&lt;&gt;勤務変更!N14,1,0)</f>
        <v>0</v>
      </c>
      <c r="AU14" s="12">
        <f>IF(O14&lt;&gt;勤務変更!O14,1,0)</f>
        <v>0</v>
      </c>
      <c r="AV14" s="12">
        <f>IF(P14&lt;&gt;勤務変更!P14,1,0)</f>
        <v>0</v>
      </c>
      <c r="AW14" s="12">
        <f>IF(Q14&lt;&gt;勤務変更!Q14,1,0)</f>
        <v>0</v>
      </c>
      <c r="AX14" s="12">
        <f>IF(R14&lt;&gt;勤務変更!R14,1,0)</f>
        <v>0</v>
      </c>
      <c r="AY14" s="12">
        <f>IF(S14&lt;&gt;勤務変更!S14,1,0)</f>
        <v>0</v>
      </c>
      <c r="AZ14" s="12">
        <f>IF(T14&lt;&gt;勤務変更!T14,1,0)</f>
        <v>0</v>
      </c>
      <c r="BA14" s="12">
        <f>IF(U14&lt;&gt;勤務変更!U14,1,0)</f>
        <v>0</v>
      </c>
      <c r="BB14" s="12">
        <f>IF(V14&lt;&gt;勤務変更!V14,1,0)</f>
        <v>0</v>
      </c>
      <c r="BC14" s="12">
        <f>IF(W14&lt;&gt;勤務変更!W14,1,0)</f>
        <v>0</v>
      </c>
      <c r="BD14" s="12">
        <f>IF(X14&lt;&gt;勤務変更!X14,1,0)</f>
        <v>0</v>
      </c>
      <c r="BE14" s="12">
        <f>IF(Y14&lt;&gt;勤務変更!Y14,1,0)</f>
        <v>0</v>
      </c>
      <c r="BF14" s="12">
        <f>IF(Z14&lt;&gt;勤務変更!Z14,1,0)</f>
        <v>0</v>
      </c>
      <c r="BG14" s="12">
        <f>IF(AA14&lt;&gt;勤務変更!AA14,1,0)</f>
        <v>0</v>
      </c>
      <c r="BH14" s="12">
        <f>IF(AB14&lt;&gt;勤務変更!AB14,1,0)</f>
        <v>0</v>
      </c>
      <c r="BI14" s="12">
        <f>IF(AC14&lt;&gt;勤務変更!AC14,1,0)</f>
        <v>0</v>
      </c>
      <c r="BJ14" s="12">
        <f>IF(AD14&lt;&gt;勤務変更!AD14,1,0)</f>
        <v>0</v>
      </c>
      <c r="BK14" s="12">
        <f>IF(AE14&lt;&gt;勤務変更!AE14,1,0)</f>
        <v>0</v>
      </c>
      <c r="BL14" s="12">
        <f>IF(AF14&lt;&gt;勤務変更!AF14,1,0)</f>
        <v>0</v>
      </c>
      <c r="BM14" s="12">
        <f>IF(AG14&lt;&gt;勤務変更!AG14,1,0)</f>
        <v>0</v>
      </c>
      <c r="BN14" s="12">
        <f>IF(AH14&lt;&gt;勤務変更!AH14,1,0)</f>
        <v>0</v>
      </c>
      <c r="BO14" s="12">
        <f t="shared" si="1"/>
        <v>0</v>
      </c>
      <c r="BP14" s="12" t="str">
        <f>IF(BR14="","",COUNTA(BR$4:BR14)-COUNTBLANK(BR$4:BR14))</f>
        <v/>
      </c>
      <c r="BQ14" s="12" t="str">
        <f t="shared" si="2"/>
        <v/>
      </c>
      <c r="BR14" s="12" t="str">
        <f t="shared" si="3"/>
        <v/>
      </c>
    </row>
    <row r="15" spans="1:70" ht="13.15" customHeight="1" x14ac:dyDescent="0.2">
      <c r="A15" s="9">
        <f>'[3]勤務表 (2)'!A14</f>
        <v>12</v>
      </c>
      <c r="B15" s="9" t="str">
        <f>'[3]勤務表 (2)'!B14</f>
        <v>42503</v>
      </c>
      <c r="C15" s="74" t="str">
        <f>'[3]勤務表 (2)'!C14</f>
        <v>澤野 正樹</v>
      </c>
      <c r="D15" s="26" t="str">
        <f>'[3]勤務表 (2)'!D14</f>
        <v/>
      </c>
      <c r="E15" s="26" t="str">
        <f>'[3]勤務表 (2)'!E14</f>
        <v/>
      </c>
      <c r="F15" s="26" t="str">
        <f>'[3]勤務表 (2)'!F14</f>
        <v/>
      </c>
      <c r="G15" s="26" t="str">
        <f>'[3]勤務表 (2)'!G14</f>
        <v/>
      </c>
      <c r="H15" s="26" t="str">
        <f>'[3]勤務表 (2)'!H14</f>
        <v>／</v>
      </c>
      <c r="I15" s="26" t="str">
        <f>'[3]勤務表 (2)'!I14</f>
        <v>●</v>
      </c>
      <c r="J15" s="26" t="str">
        <f>'[3]勤務表 (2)'!J14</f>
        <v/>
      </c>
      <c r="K15" s="26" t="str">
        <f>'[3]勤務表 (2)'!K14</f>
        <v/>
      </c>
      <c r="L15" s="26" t="str">
        <f>'[3]勤務表 (2)'!L14</f>
        <v/>
      </c>
      <c r="M15" s="26" t="str">
        <f>'[3]勤務表 (2)'!M14</f>
        <v/>
      </c>
      <c r="N15" s="26" t="str">
        <f>'[3]勤務表 (2)'!N14</f>
        <v/>
      </c>
      <c r="O15" s="26" t="str">
        <f>'[3]勤務表 (2)'!O14</f>
        <v>○</v>
      </c>
      <c r="P15" s="26" t="str">
        <f>'[3]勤務表 (2)'!P14</f>
        <v/>
      </c>
      <c r="Q15" s="26" t="str">
        <f>'[3]勤務表 (2)'!Q14</f>
        <v>当</v>
      </c>
      <c r="R15" s="26" t="str">
        <f>'[3]勤務表 (2)'!R14</f>
        <v>明</v>
      </c>
      <c r="S15" s="26" t="str">
        <f>'[3]勤務表 (2)'!S14</f>
        <v/>
      </c>
      <c r="T15" s="26" t="str">
        <f>'[3]勤務表 (2)'!T14</f>
        <v/>
      </c>
      <c r="U15" s="26" t="str">
        <f>'[3]勤務表 (2)'!U14</f>
        <v/>
      </c>
      <c r="V15" s="26" t="str">
        <f>'[3]勤務表 (2)'!V14</f>
        <v>当</v>
      </c>
      <c r="W15" s="26" t="str">
        <f>'[3]勤務表 (2)'!W14</f>
        <v>明</v>
      </c>
      <c r="X15" s="26" t="str">
        <f>'[3]勤務表 (2)'!X14</f>
        <v>●</v>
      </c>
      <c r="Y15" s="26" t="str">
        <f>'[3]勤務表 (2)'!Y14</f>
        <v/>
      </c>
      <c r="Z15" s="26" t="str">
        <f>'[3]勤務表 (2)'!Z14</f>
        <v/>
      </c>
      <c r="AA15" s="26" t="str">
        <f>'[3]勤務表 (2)'!AA14</f>
        <v/>
      </c>
      <c r="AB15" s="26" t="str">
        <f>'[3]勤務表 (2)'!AB14</f>
        <v/>
      </c>
      <c r="AC15" s="26" t="str">
        <f>'[3]勤務表 (2)'!AC14</f>
        <v>○</v>
      </c>
      <c r="AD15" s="26" t="str">
        <f>'[3]勤務表 (2)'!AD14</f>
        <v>●</v>
      </c>
      <c r="AE15" s="26" t="str">
        <f>'[3]勤務表 (2)'!AE14</f>
        <v/>
      </c>
      <c r="AF15" s="26" t="str">
        <f>'[3]勤務表 (2)'!AF14</f>
        <v/>
      </c>
      <c r="AG15" s="26" t="str">
        <f>'[3]勤務表 (2)'!AG14</f>
        <v/>
      </c>
      <c r="AH15" s="26" t="str">
        <f>'[3]勤務表 (2)'!AH14</f>
        <v/>
      </c>
      <c r="AJ15" s="12">
        <f>IF(D15&lt;&gt;勤務変更!D15,1,0)</f>
        <v>0</v>
      </c>
      <c r="AK15" s="12">
        <f>IF(E15&lt;&gt;勤務変更!E15,1,0)</f>
        <v>0</v>
      </c>
      <c r="AL15" s="12">
        <f>IF(F15&lt;&gt;勤務変更!F15,1,0)</f>
        <v>0</v>
      </c>
      <c r="AM15" s="12">
        <f>IF(G15&lt;&gt;勤務変更!G15,1,0)</f>
        <v>0</v>
      </c>
      <c r="AN15" s="12">
        <f>IF(H15&lt;&gt;勤務変更!H15,1,0)</f>
        <v>0</v>
      </c>
      <c r="AO15" s="12">
        <f>IF(I15&lt;&gt;勤務変更!I15,1,0)</f>
        <v>0</v>
      </c>
      <c r="AP15" s="12">
        <f>IF(J15&lt;&gt;勤務変更!J15,1,0)</f>
        <v>0</v>
      </c>
      <c r="AQ15" s="12">
        <f>IF(K15&lt;&gt;勤務変更!K15,1,0)</f>
        <v>0</v>
      </c>
      <c r="AR15" s="12">
        <f>IF(L15&lt;&gt;勤務変更!L15,1,0)</f>
        <v>0</v>
      </c>
      <c r="AS15" s="12">
        <f>IF(M15&lt;&gt;勤務変更!M15,1,0)</f>
        <v>0</v>
      </c>
      <c r="AT15" s="12">
        <f>IF(N15&lt;&gt;勤務変更!N15,1,0)</f>
        <v>0</v>
      </c>
      <c r="AU15" s="12">
        <f>IF(O15&lt;&gt;勤務変更!O15,1,0)</f>
        <v>0</v>
      </c>
      <c r="AV15" s="12">
        <f>IF(P15&lt;&gt;勤務変更!P15,1,0)</f>
        <v>0</v>
      </c>
      <c r="AW15" s="12">
        <f>IF(Q15&lt;&gt;勤務変更!Q15,1,0)</f>
        <v>0</v>
      </c>
      <c r="AX15" s="12">
        <f>IF(R15&lt;&gt;勤務変更!R15,1,0)</f>
        <v>0</v>
      </c>
      <c r="AY15" s="12">
        <f>IF(S15&lt;&gt;勤務変更!S15,1,0)</f>
        <v>0</v>
      </c>
      <c r="AZ15" s="12">
        <f>IF(T15&lt;&gt;勤務変更!T15,1,0)</f>
        <v>0</v>
      </c>
      <c r="BA15" s="12">
        <f>IF(U15&lt;&gt;勤務変更!U15,1,0)</f>
        <v>0</v>
      </c>
      <c r="BB15" s="12">
        <f>IF(V15&lt;&gt;勤務変更!V15,1,0)</f>
        <v>0</v>
      </c>
      <c r="BC15" s="12">
        <f>IF(W15&lt;&gt;勤務変更!W15,1,0)</f>
        <v>0</v>
      </c>
      <c r="BD15" s="12">
        <f>IF(X15&lt;&gt;勤務変更!X15,1,0)</f>
        <v>0</v>
      </c>
      <c r="BE15" s="12">
        <f>IF(Y15&lt;&gt;勤務変更!Y15,1,0)</f>
        <v>0</v>
      </c>
      <c r="BF15" s="12">
        <f>IF(Z15&lt;&gt;勤務変更!Z15,1,0)</f>
        <v>0</v>
      </c>
      <c r="BG15" s="12">
        <f>IF(AA15&lt;&gt;勤務変更!AA15,1,0)</f>
        <v>0</v>
      </c>
      <c r="BH15" s="12">
        <f>IF(AB15&lt;&gt;勤務変更!AB15,1,0)</f>
        <v>0</v>
      </c>
      <c r="BI15" s="12">
        <f>IF(AC15&lt;&gt;勤務変更!AC15,1,0)</f>
        <v>0</v>
      </c>
      <c r="BJ15" s="12">
        <f>IF(AD15&lt;&gt;勤務変更!AD15,1,0)</f>
        <v>0</v>
      </c>
      <c r="BK15" s="12">
        <f>IF(AE15&lt;&gt;勤務変更!AE15,1,0)</f>
        <v>0</v>
      </c>
      <c r="BL15" s="12">
        <f>IF(AF15&lt;&gt;勤務変更!AF15,1,0)</f>
        <v>0</v>
      </c>
      <c r="BM15" s="12">
        <f>IF(AG15&lt;&gt;勤務変更!AG15,1,0)</f>
        <v>0</v>
      </c>
      <c r="BN15" s="12">
        <f>IF(AH15&lt;&gt;勤務変更!AH15,1,0)</f>
        <v>0</v>
      </c>
      <c r="BO15" s="12">
        <f t="shared" si="1"/>
        <v>0</v>
      </c>
      <c r="BP15" s="12" t="str">
        <f>IF(BR15="","",COUNTA(BR$4:BR15)-COUNTBLANK(BR$4:BR15))</f>
        <v/>
      </c>
      <c r="BQ15" s="12" t="str">
        <f t="shared" si="2"/>
        <v/>
      </c>
      <c r="BR15" s="12" t="str">
        <f t="shared" si="3"/>
        <v/>
      </c>
    </row>
    <row r="16" spans="1:70" ht="13.15" customHeight="1" x14ac:dyDescent="0.2">
      <c r="A16" s="9">
        <f>'[3]勤務表 (2)'!A15</f>
        <v>13</v>
      </c>
      <c r="B16" s="9" t="str">
        <f>'[3]勤務表 (2)'!B15</f>
        <v>46963</v>
      </c>
      <c r="C16" s="74" t="str">
        <f>'[3]勤務表 (2)'!C15</f>
        <v>清水 和弥</v>
      </c>
      <c r="D16" s="26" t="str">
        <f>'[3]勤務表 (2)'!D15</f>
        <v/>
      </c>
      <c r="E16" s="26" t="str">
        <f>'[3]勤務表 (2)'!E15</f>
        <v/>
      </c>
      <c r="F16" s="26" t="str">
        <f>'[3]勤務表 (2)'!F15</f>
        <v/>
      </c>
      <c r="G16" s="26" t="str">
        <f>'[3]勤務表 (2)'!G15</f>
        <v/>
      </c>
      <c r="H16" s="26" t="str">
        <f>'[3]勤務表 (2)'!H15</f>
        <v>○</v>
      </c>
      <c r="I16" s="26" t="str">
        <f>'[3]勤務表 (2)'!I15</f>
        <v>●</v>
      </c>
      <c r="J16" s="26" t="str">
        <f>'[3]勤務表 (2)'!J15</f>
        <v/>
      </c>
      <c r="K16" s="26" t="str">
        <f>'[3]勤務表 (2)'!K15</f>
        <v/>
      </c>
      <c r="L16" s="26" t="str">
        <f>'[3]勤務表 (2)'!L15</f>
        <v/>
      </c>
      <c r="M16" s="26" t="str">
        <f>'[3]勤務表 (2)'!M15</f>
        <v/>
      </c>
      <c r="N16" s="26" t="str">
        <f>'[3]勤務表 (2)'!N15</f>
        <v/>
      </c>
      <c r="O16" s="26" t="str">
        <f>'[3]勤務表 (2)'!O15</f>
        <v>○</v>
      </c>
      <c r="P16" s="26" t="str">
        <f>'[3]勤務表 (2)'!P15</f>
        <v>●</v>
      </c>
      <c r="Q16" s="26" t="str">
        <f>'[3]勤務表 (2)'!Q15</f>
        <v/>
      </c>
      <c r="R16" s="26" t="str">
        <f>'[3]勤務表 (2)'!R15</f>
        <v/>
      </c>
      <c r="S16" s="26" t="str">
        <f>'[3]勤務表 (2)'!S15</f>
        <v/>
      </c>
      <c r="T16" s="26" t="str">
        <f>'[3]勤務表 (2)'!T15</f>
        <v/>
      </c>
      <c r="U16" s="26" t="str">
        <f>'[3]勤務表 (2)'!U15</f>
        <v/>
      </c>
      <c r="V16" s="26" t="str">
        <f>'[3]勤務表 (2)'!V15</f>
        <v>○</v>
      </c>
      <c r="W16" s="26" t="str">
        <f>'[3]勤務表 (2)'!W15</f>
        <v>●</v>
      </c>
      <c r="X16" s="26" t="str">
        <f>'[3]勤務表 (2)'!X15</f>
        <v/>
      </c>
      <c r="Y16" s="26" t="str">
        <f>'[3]勤務表 (2)'!Y15</f>
        <v/>
      </c>
      <c r="Z16" s="26" t="str">
        <f>'[3]勤務表 (2)'!Z15</f>
        <v/>
      </c>
      <c r="AA16" s="26" t="str">
        <f>'[3]勤務表 (2)'!AA15</f>
        <v/>
      </c>
      <c r="AB16" s="26" t="str">
        <f>'[3]勤務表 (2)'!AB15</f>
        <v/>
      </c>
      <c r="AC16" s="26" t="str">
        <f>'[3]勤務表 (2)'!AC15</f>
        <v>○</v>
      </c>
      <c r="AD16" s="26" t="str">
        <f>'[3]勤務表 (2)'!AD15</f>
        <v>●</v>
      </c>
      <c r="AE16" s="26" t="str">
        <f>'[3]勤務表 (2)'!AE15</f>
        <v/>
      </c>
      <c r="AF16" s="26" t="str">
        <f>'[3]勤務表 (2)'!AF15</f>
        <v/>
      </c>
      <c r="AG16" s="26" t="str">
        <f>'[3]勤務表 (2)'!AG15</f>
        <v/>
      </c>
      <c r="AH16" s="26" t="str">
        <f>'[3]勤務表 (2)'!AH15</f>
        <v/>
      </c>
      <c r="AJ16" s="12">
        <f>IF(D16&lt;&gt;勤務変更!D16,1,0)</f>
        <v>0</v>
      </c>
      <c r="AK16" s="12">
        <f>IF(E16&lt;&gt;勤務変更!E16,1,0)</f>
        <v>0</v>
      </c>
      <c r="AL16" s="12">
        <f>IF(F16&lt;&gt;勤務変更!F16,1,0)</f>
        <v>0</v>
      </c>
      <c r="AM16" s="12">
        <f>IF(G16&lt;&gt;勤務変更!G16,1,0)</f>
        <v>0</v>
      </c>
      <c r="AN16" s="12">
        <f>IF(H16&lt;&gt;勤務変更!H16,1,0)</f>
        <v>0</v>
      </c>
      <c r="AO16" s="12">
        <f>IF(I16&lt;&gt;勤務変更!I16,1,0)</f>
        <v>0</v>
      </c>
      <c r="AP16" s="12">
        <f>IF(J16&lt;&gt;勤務変更!J16,1,0)</f>
        <v>0</v>
      </c>
      <c r="AQ16" s="12">
        <f>IF(K16&lt;&gt;勤務変更!K16,1,0)</f>
        <v>0</v>
      </c>
      <c r="AR16" s="12">
        <f>IF(L16&lt;&gt;勤務変更!L16,1,0)</f>
        <v>0</v>
      </c>
      <c r="AS16" s="12">
        <f>IF(M16&lt;&gt;勤務変更!M16,1,0)</f>
        <v>0</v>
      </c>
      <c r="AT16" s="12">
        <f>IF(N16&lt;&gt;勤務変更!N16,1,0)</f>
        <v>0</v>
      </c>
      <c r="AU16" s="12">
        <f>IF(O16&lt;&gt;勤務変更!O16,1,0)</f>
        <v>0</v>
      </c>
      <c r="AV16" s="12">
        <f>IF(P16&lt;&gt;勤務変更!P16,1,0)</f>
        <v>0</v>
      </c>
      <c r="AW16" s="12">
        <f>IF(Q16&lt;&gt;勤務変更!Q16,1,0)</f>
        <v>0</v>
      </c>
      <c r="AX16" s="12">
        <f>IF(R16&lt;&gt;勤務変更!R16,1,0)</f>
        <v>0</v>
      </c>
      <c r="AY16" s="12">
        <f>IF(S16&lt;&gt;勤務変更!S16,1,0)</f>
        <v>0</v>
      </c>
      <c r="AZ16" s="12">
        <f>IF(T16&lt;&gt;勤務変更!T16,1,0)</f>
        <v>0</v>
      </c>
      <c r="BA16" s="12">
        <f>IF(U16&lt;&gt;勤務変更!U16,1,0)</f>
        <v>0</v>
      </c>
      <c r="BB16" s="12">
        <f>IF(V16&lt;&gt;勤務変更!V16,1,0)</f>
        <v>0</v>
      </c>
      <c r="BC16" s="12">
        <f>IF(W16&lt;&gt;勤務変更!W16,1,0)</f>
        <v>0</v>
      </c>
      <c r="BD16" s="12">
        <f>IF(X16&lt;&gt;勤務変更!X16,1,0)</f>
        <v>0</v>
      </c>
      <c r="BE16" s="12">
        <f>IF(Y16&lt;&gt;勤務変更!Y16,1,0)</f>
        <v>0</v>
      </c>
      <c r="BF16" s="12">
        <f>IF(Z16&lt;&gt;勤務変更!Z16,1,0)</f>
        <v>0</v>
      </c>
      <c r="BG16" s="12">
        <f>IF(AA16&lt;&gt;勤務変更!AA16,1,0)</f>
        <v>0</v>
      </c>
      <c r="BH16" s="12">
        <f>IF(AB16&lt;&gt;勤務変更!AB16,1,0)</f>
        <v>0</v>
      </c>
      <c r="BI16" s="12">
        <f>IF(AC16&lt;&gt;勤務変更!AC16,1,0)</f>
        <v>0</v>
      </c>
      <c r="BJ16" s="12">
        <f>IF(AD16&lt;&gt;勤務変更!AD16,1,0)</f>
        <v>0</v>
      </c>
      <c r="BK16" s="12">
        <f>IF(AE16&lt;&gt;勤務変更!AE16,1,0)</f>
        <v>0</v>
      </c>
      <c r="BL16" s="12">
        <f>IF(AF16&lt;&gt;勤務変更!AF16,1,0)</f>
        <v>0</v>
      </c>
      <c r="BM16" s="12">
        <f>IF(AG16&lt;&gt;勤務変更!AG16,1,0)</f>
        <v>0</v>
      </c>
      <c r="BN16" s="12">
        <f>IF(AH16&lt;&gt;勤務変更!AH16,1,0)</f>
        <v>0</v>
      </c>
      <c r="BO16" s="12">
        <f t="shared" si="1"/>
        <v>0</v>
      </c>
      <c r="BP16" s="12" t="str">
        <f>IF(BR16="","",COUNTA(BR$4:BR16)-COUNTBLANK(BR$4:BR16))</f>
        <v/>
      </c>
      <c r="BQ16" s="12" t="str">
        <f t="shared" si="2"/>
        <v/>
      </c>
      <c r="BR16" s="12" t="str">
        <f t="shared" si="3"/>
        <v/>
      </c>
    </row>
    <row r="17" spans="1:70" ht="13.15" customHeight="1" x14ac:dyDescent="0.2">
      <c r="A17" s="9">
        <f>'[3]勤務表 (2)'!A16</f>
        <v>14</v>
      </c>
      <c r="B17" s="9" t="str">
        <f>'[3]勤務表 (2)'!B16</f>
        <v>52687</v>
      </c>
      <c r="C17" s="74" t="str">
        <f>'[3]勤務表 (2)'!C16</f>
        <v>坪野 寿恵</v>
      </c>
      <c r="D17" s="26" t="str">
        <f>'[3]勤務表 (2)'!D16</f>
        <v/>
      </c>
      <c r="E17" s="26" t="str">
        <f>'[3]勤務表 (2)'!E16</f>
        <v/>
      </c>
      <c r="F17" s="26" t="str">
        <f>'[3]勤務表 (2)'!F16</f>
        <v/>
      </c>
      <c r="G17" s="26" t="str">
        <f>'[3]勤務表 (2)'!G16</f>
        <v/>
      </c>
      <c r="H17" s="26" t="str">
        <f>'[3]勤務表 (2)'!H16</f>
        <v>○</v>
      </c>
      <c r="I17" s="26" t="str">
        <f>'[3]勤務表 (2)'!I16</f>
        <v>●</v>
      </c>
      <c r="J17" s="26" t="str">
        <f>'[3]勤務表 (2)'!J16</f>
        <v/>
      </c>
      <c r="K17" s="26" t="str">
        <f>'[3]勤務表 (2)'!K16</f>
        <v/>
      </c>
      <c r="L17" s="26" t="str">
        <f>'[3]勤務表 (2)'!L16</f>
        <v/>
      </c>
      <c r="M17" s="26" t="str">
        <f>'[3]勤務表 (2)'!M16</f>
        <v/>
      </c>
      <c r="N17" s="26" t="str">
        <f>'[3]勤務表 (2)'!N16</f>
        <v/>
      </c>
      <c r="O17" s="26" t="str">
        <f>'[3]勤務表 (2)'!O16</f>
        <v>○</v>
      </c>
      <c r="P17" s="26" t="str">
        <f>'[3]勤務表 (2)'!P16</f>
        <v>●</v>
      </c>
      <c r="Q17" s="26" t="str">
        <f>'[3]勤務表 (2)'!Q16</f>
        <v/>
      </c>
      <c r="R17" s="26" t="str">
        <f>'[3]勤務表 (2)'!R16</f>
        <v/>
      </c>
      <c r="S17" s="26" t="str">
        <f>'[3]勤務表 (2)'!S16</f>
        <v/>
      </c>
      <c r="T17" s="26" t="str">
        <f>'[3]勤務表 (2)'!T16</f>
        <v/>
      </c>
      <c r="U17" s="26" t="str">
        <f>'[3]勤務表 (2)'!U16</f>
        <v/>
      </c>
      <c r="V17" s="26" t="str">
        <f>'[3]勤務表 (2)'!V16</f>
        <v>○</v>
      </c>
      <c r="W17" s="26" t="str">
        <f>'[3]勤務表 (2)'!W16</f>
        <v>●</v>
      </c>
      <c r="X17" s="26" t="str">
        <f>'[3]勤務表 (2)'!X16</f>
        <v/>
      </c>
      <c r="Y17" s="26" t="str">
        <f>'[3]勤務表 (2)'!Y16</f>
        <v/>
      </c>
      <c r="Z17" s="26" t="str">
        <f>'[3]勤務表 (2)'!Z16</f>
        <v/>
      </c>
      <c r="AA17" s="26" t="str">
        <f>'[3]勤務表 (2)'!AA16</f>
        <v/>
      </c>
      <c r="AB17" s="26" t="str">
        <f>'[3]勤務表 (2)'!AB16</f>
        <v/>
      </c>
      <c r="AC17" s="26" t="str">
        <f>'[3]勤務表 (2)'!AC16</f>
        <v>○</v>
      </c>
      <c r="AD17" s="26" t="str">
        <f>'[3]勤務表 (2)'!AD16</f>
        <v>●</v>
      </c>
      <c r="AE17" s="26" t="str">
        <f>'[3]勤務表 (2)'!AE16</f>
        <v/>
      </c>
      <c r="AF17" s="26" t="str">
        <f>'[3]勤務表 (2)'!AF16</f>
        <v/>
      </c>
      <c r="AG17" s="26" t="str">
        <f>'[3]勤務表 (2)'!AG16</f>
        <v/>
      </c>
      <c r="AH17" s="26" t="str">
        <f>'[3]勤務表 (2)'!AH16</f>
        <v/>
      </c>
      <c r="AJ17" s="12">
        <f>IF(D17&lt;&gt;勤務変更!D17,1,0)</f>
        <v>0</v>
      </c>
      <c r="AK17" s="12">
        <f>IF(E17&lt;&gt;勤務変更!E17,1,0)</f>
        <v>0</v>
      </c>
      <c r="AL17" s="12">
        <f>IF(F17&lt;&gt;勤務変更!F17,1,0)</f>
        <v>0</v>
      </c>
      <c r="AM17" s="12">
        <f>IF(G17&lt;&gt;勤務変更!G17,1,0)</f>
        <v>0</v>
      </c>
      <c r="AN17" s="12">
        <f>IF(H17&lt;&gt;勤務変更!H17,1,0)</f>
        <v>0</v>
      </c>
      <c r="AO17" s="12">
        <f>IF(I17&lt;&gt;勤務変更!I17,1,0)</f>
        <v>0</v>
      </c>
      <c r="AP17" s="12">
        <f>IF(J17&lt;&gt;勤務変更!J17,1,0)</f>
        <v>0</v>
      </c>
      <c r="AQ17" s="12">
        <f>IF(K17&lt;&gt;勤務変更!K17,1,0)</f>
        <v>0</v>
      </c>
      <c r="AR17" s="12">
        <f>IF(L17&lt;&gt;勤務変更!L17,1,0)</f>
        <v>0</v>
      </c>
      <c r="AS17" s="12">
        <f>IF(M17&lt;&gt;勤務変更!M17,1,0)</f>
        <v>0</v>
      </c>
      <c r="AT17" s="12">
        <f>IF(N17&lt;&gt;勤務変更!N17,1,0)</f>
        <v>0</v>
      </c>
      <c r="AU17" s="12">
        <f>IF(O17&lt;&gt;勤務変更!O17,1,0)</f>
        <v>0</v>
      </c>
      <c r="AV17" s="12">
        <f>IF(P17&lt;&gt;勤務変更!P17,1,0)</f>
        <v>0</v>
      </c>
      <c r="AW17" s="12">
        <f>IF(Q17&lt;&gt;勤務変更!Q17,1,0)</f>
        <v>0</v>
      </c>
      <c r="AX17" s="12">
        <f>IF(R17&lt;&gt;勤務変更!R17,1,0)</f>
        <v>0</v>
      </c>
      <c r="AY17" s="12">
        <f>IF(S17&lt;&gt;勤務変更!S17,1,0)</f>
        <v>0</v>
      </c>
      <c r="AZ17" s="12">
        <f>IF(T17&lt;&gt;勤務変更!T17,1,0)</f>
        <v>0</v>
      </c>
      <c r="BA17" s="12">
        <f>IF(U17&lt;&gt;勤務変更!U17,1,0)</f>
        <v>0</v>
      </c>
      <c r="BB17" s="12">
        <f>IF(V17&lt;&gt;勤務変更!V17,1,0)</f>
        <v>0</v>
      </c>
      <c r="BC17" s="12">
        <f>IF(W17&lt;&gt;勤務変更!W17,1,0)</f>
        <v>0</v>
      </c>
      <c r="BD17" s="12">
        <f>IF(X17&lt;&gt;勤務変更!X17,1,0)</f>
        <v>0</v>
      </c>
      <c r="BE17" s="12">
        <f>IF(Y17&lt;&gt;勤務変更!Y17,1,0)</f>
        <v>0</v>
      </c>
      <c r="BF17" s="12">
        <f>IF(Z17&lt;&gt;勤務変更!Z17,1,0)</f>
        <v>0</v>
      </c>
      <c r="BG17" s="12">
        <f>IF(AA17&lt;&gt;勤務変更!AA17,1,0)</f>
        <v>0</v>
      </c>
      <c r="BH17" s="12">
        <f>IF(AB17&lt;&gt;勤務変更!AB17,1,0)</f>
        <v>0</v>
      </c>
      <c r="BI17" s="12">
        <f>IF(AC17&lt;&gt;勤務変更!AC17,1,0)</f>
        <v>0</v>
      </c>
      <c r="BJ17" s="12">
        <f>IF(AD17&lt;&gt;勤務変更!AD17,1,0)</f>
        <v>0</v>
      </c>
      <c r="BK17" s="12">
        <f>IF(AE17&lt;&gt;勤務変更!AE17,1,0)</f>
        <v>0</v>
      </c>
      <c r="BL17" s="12">
        <f>IF(AF17&lt;&gt;勤務変更!AF17,1,0)</f>
        <v>0</v>
      </c>
      <c r="BM17" s="12">
        <f>IF(AG17&lt;&gt;勤務変更!AG17,1,0)</f>
        <v>0</v>
      </c>
      <c r="BN17" s="12">
        <f>IF(AH17&lt;&gt;勤務変更!AH17,1,0)</f>
        <v>0</v>
      </c>
      <c r="BO17" s="12">
        <f t="shared" si="1"/>
        <v>0</v>
      </c>
      <c r="BP17" s="12" t="str">
        <f>IF(BR17="","",COUNTA(BR$4:BR17)-COUNTBLANK(BR$4:BR17))</f>
        <v/>
      </c>
      <c r="BQ17" s="12" t="str">
        <f t="shared" si="2"/>
        <v/>
      </c>
      <c r="BR17" s="12" t="str">
        <f t="shared" si="3"/>
        <v/>
      </c>
    </row>
    <row r="18" spans="1:70" ht="13.15" customHeight="1" x14ac:dyDescent="0.2">
      <c r="A18" s="9">
        <f>'[3]勤務表 (2)'!A17</f>
        <v>15</v>
      </c>
      <c r="B18" s="9" t="str">
        <f>'[3]勤務表 (2)'!B17</f>
        <v>56712</v>
      </c>
      <c r="C18" s="74" t="str">
        <f>'[3]勤務表 (2)'!C17</f>
        <v>山田 正則</v>
      </c>
      <c r="D18" s="26" t="str">
        <f>'[3]勤務表 (2)'!D17</f>
        <v/>
      </c>
      <c r="E18" s="26" t="str">
        <f>'[3]勤務表 (2)'!E17</f>
        <v/>
      </c>
      <c r="F18" s="26" t="str">
        <f>'[3]勤務表 (2)'!F17</f>
        <v/>
      </c>
      <c r="G18" s="26" t="str">
        <f>'[3]勤務表 (2)'!G17</f>
        <v/>
      </c>
      <c r="H18" s="26" t="str">
        <f>'[3]勤務表 (2)'!H17</f>
        <v>／</v>
      </c>
      <c r="I18" s="26" t="str">
        <f>'[3]勤務表 (2)'!I17</f>
        <v>●</v>
      </c>
      <c r="J18" s="26" t="str">
        <f>'[3]勤務表 (2)'!J17</f>
        <v/>
      </c>
      <c r="K18" s="26" t="str">
        <f>'[3]勤務表 (2)'!K17</f>
        <v/>
      </c>
      <c r="L18" s="26" t="str">
        <f>'[3]勤務表 (2)'!L17</f>
        <v/>
      </c>
      <c r="M18" s="26" t="str">
        <f>'[3]勤務表 (2)'!M17</f>
        <v/>
      </c>
      <c r="N18" s="26" t="str">
        <f>'[3]勤務表 (2)'!N17</f>
        <v/>
      </c>
      <c r="O18" s="26" t="str">
        <f>'[3]勤務表 (2)'!O17</f>
        <v>○</v>
      </c>
      <c r="P18" s="26" t="str">
        <f>'[3]勤務表 (2)'!P17</f>
        <v>当</v>
      </c>
      <c r="Q18" s="26" t="str">
        <f>'[3]勤務表 (2)'!Q17</f>
        <v>明</v>
      </c>
      <c r="R18" s="26" t="str">
        <f>'[3]勤務表 (2)'!R17</f>
        <v>●</v>
      </c>
      <c r="S18" s="26" t="str">
        <f>'[3]勤務表 (2)'!S17</f>
        <v/>
      </c>
      <c r="T18" s="26" t="str">
        <f>'[3]勤務表 (2)'!T17</f>
        <v/>
      </c>
      <c r="U18" s="26" t="str">
        <f>'[3]勤務表 (2)'!U17</f>
        <v/>
      </c>
      <c r="V18" s="26" t="str">
        <f>'[3]勤務表 (2)'!V17</f>
        <v>／</v>
      </c>
      <c r="W18" s="26" t="str">
        <f>'[3]勤務表 (2)'!W17</f>
        <v>●</v>
      </c>
      <c r="X18" s="26" t="str">
        <f>'[3]勤務表 (2)'!X17</f>
        <v/>
      </c>
      <c r="Y18" s="26" t="str">
        <f>'[3]勤務表 (2)'!Y17</f>
        <v/>
      </c>
      <c r="Z18" s="26" t="str">
        <f>'[3]勤務表 (2)'!Z17</f>
        <v/>
      </c>
      <c r="AA18" s="26" t="str">
        <f>'[3]勤務表 (2)'!AA17</f>
        <v/>
      </c>
      <c r="AB18" s="26" t="str">
        <f>'[3]勤務表 (2)'!AB17</f>
        <v/>
      </c>
      <c r="AC18" s="26" t="str">
        <f>'[3]勤務表 (2)'!AC17</f>
        <v>○</v>
      </c>
      <c r="AD18" s="26" t="str">
        <f>'[3]勤務表 (2)'!AD17</f>
        <v>当</v>
      </c>
      <c r="AE18" s="26" t="str">
        <f>'[3]勤務表 (2)'!AE17</f>
        <v>明</v>
      </c>
      <c r="AF18" s="26" t="str">
        <f>'[3]勤務表 (2)'!AF17</f>
        <v>●</v>
      </c>
      <c r="AG18" s="26" t="str">
        <f>'[3]勤務表 (2)'!AG17</f>
        <v/>
      </c>
      <c r="AH18" s="26" t="str">
        <f>'[3]勤務表 (2)'!AH17</f>
        <v/>
      </c>
      <c r="AJ18" s="12">
        <f>IF(D18&lt;&gt;勤務変更!D18,1,0)</f>
        <v>0</v>
      </c>
      <c r="AK18" s="12">
        <f>IF(E18&lt;&gt;勤務変更!E18,1,0)</f>
        <v>0</v>
      </c>
      <c r="AL18" s="12">
        <f>IF(F18&lt;&gt;勤務変更!F18,1,0)</f>
        <v>0</v>
      </c>
      <c r="AM18" s="12">
        <f>IF(G18&lt;&gt;勤務変更!G18,1,0)</f>
        <v>0</v>
      </c>
      <c r="AN18" s="12">
        <f>IF(H18&lt;&gt;勤務変更!H18,1,0)</f>
        <v>0</v>
      </c>
      <c r="AO18" s="12">
        <f>IF(I18&lt;&gt;勤務変更!I18,1,0)</f>
        <v>0</v>
      </c>
      <c r="AP18" s="12">
        <f>IF(J18&lt;&gt;勤務変更!J18,1,0)</f>
        <v>0</v>
      </c>
      <c r="AQ18" s="12">
        <f>IF(K18&lt;&gt;勤務変更!K18,1,0)</f>
        <v>0</v>
      </c>
      <c r="AR18" s="12">
        <f>IF(L18&lt;&gt;勤務変更!L18,1,0)</f>
        <v>0</v>
      </c>
      <c r="AS18" s="12">
        <f>IF(M18&lt;&gt;勤務変更!M18,1,0)</f>
        <v>0</v>
      </c>
      <c r="AT18" s="12">
        <f>IF(N18&lt;&gt;勤務変更!N18,1,0)</f>
        <v>0</v>
      </c>
      <c r="AU18" s="12">
        <f>IF(O18&lt;&gt;勤務変更!O18,1,0)</f>
        <v>0</v>
      </c>
      <c r="AV18" s="12">
        <f>IF(P18&lt;&gt;勤務変更!P18,1,0)</f>
        <v>0</v>
      </c>
      <c r="AW18" s="12">
        <f>IF(Q18&lt;&gt;勤務変更!Q18,1,0)</f>
        <v>0</v>
      </c>
      <c r="AX18" s="12">
        <f>IF(R18&lt;&gt;勤務変更!R18,1,0)</f>
        <v>0</v>
      </c>
      <c r="AY18" s="12">
        <f>IF(S18&lt;&gt;勤務変更!S18,1,0)</f>
        <v>0</v>
      </c>
      <c r="AZ18" s="12">
        <f>IF(T18&lt;&gt;勤務変更!T18,1,0)</f>
        <v>0</v>
      </c>
      <c r="BA18" s="12">
        <f>IF(U18&lt;&gt;勤務変更!U18,1,0)</f>
        <v>0</v>
      </c>
      <c r="BB18" s="12">
        <f>IF(V18&lt;&gt;勤務変更!V18,1,0)</f>
        <v>0</v>
      </c>
      <c r="BC18" s="12">
        <f>IF(W18&lt;&gt;勤務変更!W18,1,0)</f>
        <v>0</v>
      </c>
      <c r="BD18" s="12">
        <f>IF(X18&lt;&gt;勤務変更!X18,1,0)</f>
        <v>0</v>
      </c>
      <c r="BE18" s="12">
        <f>IF(Y18&lt;&gt;勤務変更!Y18,1,0)</f>
        <v>0</v>
      </c>
      <c r="BF18" s="12">
        <f>IF(Z18&lt;&gt;勤務変更!Z18,1,0)</f>
        <v>0</v>
      </c>
      <c r="BG18" s="12">
        <f>IF(AA18&lt;&gt;勤務変更!AA18,1,0)</f>
        <v>0</v>
      </c>
      <c r="BH18" s="12">
        <f>IF(AB18&lt;&gt;勤務変更!AB18,1,0)</f>
        <v>0</v>
      </c>
      <c r="BI18" s="12">
        <f>IF(AC18&lt;&gt;勤務変更!AC18,1,0)</f>
        <v>0</v>
      </c>
      <c r="BJ18" s="12">
        <f>IF(AD18&lt;&gt;勤務変更!AD18,1,0)</f>
        <v>0</v>
      </c>
      <c r="BK18" s="12">
        <f>IF(AE18&lt;&gt;勤務変更!AE18,1,0)</f>
        <v>0</v>
      </c>
      <c r="BL18" s="12">
        <f>IF(AF18&lt;&gt;勤務変更!AF18,1,0)</f>
        <v>0</v>
      </c>
      <c r="BM18" s="12">
        <f>IF(AG18&lt;&gt;勤務変更!AG18,1,0)</f>
        <v>0</v>
      </c>
      <c r="BN18" s="12">
        <f>IF(AH18&lt;&gt;勤務変更!AH18,1,0)</f>
        <v>0</v>
      </c>
      <c r="BO18" s="12">
        <f t="shared" si="1"/>
        <v>0</v>
      </c>
      <c r="BP18" s="12" t="str">
        <f>IF(BR18="","",COUNTA(BR$4:BR18)-COUNTBLANK(BR$4:BR18))</f>
        <v/>
      </c>
      <c r="BQ18" s="12" t="str">
        <f t="shared" si="2"/>
        <v/>
      </c>
      <c r="BR18" s="12" t="str">
        <f t="shared" si="3"/>
        <v/>
      </c>
    </row>
    <row r="19" spans="1:70" ht="13.15" customHeight="1" x14ac:dyDescent="0.2">
      <c r="A19" s="9">
        <f>'[3]勤務表 (2)'!A18</f>
        <v>16</v>
      </c>
      <c r="B19" s="9" t="str">
        <f>'[3]勤務表 (2)'!B18</f>
        <v>97962</v>
      </c>
      <c r="C19" s="74" t="str">
        <f>'[3]勤務表 (2)'!C18</f>
        <v>林 亮子</v>
      </c>
      <c r="D19" s="26" t="str">
        <f>'[3]勤務表 (2)'!D18</f>
        <v/>
      </c>
      <c r="E19" s="26" t="str">
        <f>'[3]勤務表 (2)'!E18</f>
        <v/>
      </c>
      <c r="F19" s="26" t="str">
        <f>'[3]勤務表 (2)'!F18</f>
        <v/>
      </c>
      <c r="G19" s="26" t="str">
        <f>'[3]勤務表 (2)'!G18</f>
        <v/>
      </c>
      <c r="H19" s="26" t="str">
        <f>'[3]勤務表 (2)'!H18</f>
        <v>○</v>
      </c>
      <c r="I19" s="26" t="str">
        <f>'[3]勤務表 (2)'!I18</f>
        <v>●</v>
      </c>
      <c r="J19" s="26" t="str">
        <f>'[3]勤務表 (2)'!J18</f>
        <v/>
      </c>
      <c r="K19" s="26" t="str">
        <f>'[3]勤務表 (2)'!K18</f>
        <v/>
      </c>
      <c r="L19" s="26" t="str">
        <f>'[3]勤務表 (2)'!L18</f>
        <v>当</v>
      </c>
      <c r="M19" s="26" t="str">
        <f>'[3]勤務表 (2)'!M18</f>
        <v>明</v>
      </c>
      <c r="N19" s="26" t="str">
        <f>'[3]勤務表 (2)'!N18</f>
        <v/>
      </c>
      <c r="O19" s="26" t="str">
        <f>'[3]勤務表 (2)'!O18</f>
        <v>／</v>
      </c>
      <c r="P19" s="26" t="str">
        <f>'[3]勤務表 (2)'!P18</f>
        <v>●</v>
      </c>
      <c r="Q19" s="26" t="str">
        <f>'[3]勤務表 (2)'!Q18</f>
        <v/>
      </c>
      <c r="R19" s="26" t="str">
        <f>'[3]勤務表 (2)'!R18</f>
        <v/>
      </c>
      <c r="S19" s="26" t="str">
        <f>'[3]勤務表 (2)'!S18</f>
        <v/>
      </c>
      <c r="T19" s="26" t="str">
        <f>'[3]勤務表 (2)'!T18</f>
        <v/>
      </c>
      <c r="U19" s="26" t="str">
        <f>'[3]勤務表 (2)'!U18</f>
        <v/>
      </c>
      <c r="V19" s="26" t="str">
        <f>'[3]勤務表 (2)'!V18</f>
        <v>○</v>
      </c>
      <c r="W19" s="26" t="str">
        <f>'[3]勤務表 (2)'!W18</f>
        <v>●</v>
      </c>
      <c r="X19" s="26" t="str">
        <f>'[3]勤務表 (2)'!X18</f>
        <v/>
      </c>
      <c r="Y19" s="26" t="str">
        <f>'[3]勤務表 (2)'!Y18</f>
        <v/>
      </c>
      <c r="Z19" s="26" t="str">
        <f>'[3]勤務表 (2)'!Z18</f>
        <v/>
      </c>
      <c r="AA19" s="26" t="str">
        <f>'[3]勤務表 (2)'!AA18</f>
        <v/>
      </c>
      <c r="AB19" s="26" t="str">
        <f>'[3]勤務表 (2)'!AB18</f>
        <v/>
      </c>
      <c r="AC19" s="26" t="str">
        <f>'[3]勤務表 (2)'!AC18</f>
        <v>／</v>
      </c>
      <c r="AD19" s="26" t="str">
        <f>'[3]勤務表 (2)'!AD18</f>
        <v>●</v>
      </c>
      <c r="AE19" s="26" t="str">
        <f>'[3]勤務表 (2)'!AE18</f>
        <v/>
      </c>
      <c r="AF19" s="26" t="str">
        <f>'[3]勤務表 (2)'!AF18</f>
        <v/>
      </c>
      <c r="AG19" s="26" t="str">
        <f>'[3]勤務表 (2)'!AG18</f>
        <v>当</v>
      </c>
      <c r="AH19" s="26" t="str">
        <f>'[3]勤務表 (2)'!AH18</f>
        <v/>
      </c>
      <c r="AJ19" s="12">
        <f>IF(D19&lt;&gt;勤務変更!D19,1,0)</f>
        <v>0</v>
      </c>
      <c r="AK19" s="12">
        <f>IF(E19&lt;&gt;勤務変更!E19,1,0)</f>
        <v>0</v>
      </c>
      <c r="AL19" s="12">
        <f>IF(F19&lt;&gt;勤務変更!F19,1,0)</f>
        <v>0</v>
      </c>
      <c r="AM19" s="12">
        <f>IF(G19&lt;&gt;勤務変更!G19,1,0)</f>
        <v>0</v>
      </c>
      <c r="AN19" s="12">
        <f>IF(H19&lt;&gt;勤務変更!H19,1,0)</f>
        <v>0</v>
      </c>
      <c r="AO19" s="12">
        <f>IF(I19&lt;&gt;勤務変更!I19,1,0)</f>
        <v>0</v>
      </c>
      <c r="AP19" s="12">
        <f>IF(J19&lt;&gt;勤務変更!J19,1,0)</f>
        <v>0</v>
      </c>
      <c r="AQ19" s="12">
        <f>IF(K19&lt;&gt;勤務変更!K19,1,0)</f>
        <v>0</v>
      </c>
      <c r="AR19" s="12">
        <f>IF(L19&lt;&gt;勤務変更!L19,1,0)</f>
        <v>0</v>
      </c>
      <c r="AS19" s="12">
        <f>IF(M19&lt;&gt;勤務変更!M19,1,0)</f>
        <v>0</v>
      </c>
      <c r="AT19" s="12">
        <f>IF(N19&lt;&gt;勤務変更!N19,1,0)</f>
        <v>0</v>
      </c>
      <c r="AU19" s="12">
        <f>IF(O19&lt;&gt;勤務変更!O19,1,0)</f>
        <v>0</v>
      </c>
      <c r="AV19" s="12">
        <f>IF(P19&lt;&gt;勤務変更!P19,1,0)</f>
        <v>0</v>
      </c>
      <c r="AW19" s="12">
        <f>IF(Q19&lt;&gt;勤務変更!Q19,1,0)</f>
        <v>0</v>
      </c>
      <c r="AX19" s="12">
        <f>IF(R19&lt;&gt;勤務変更!R19,1,0)</f>
        <v>0</v>
      </c>
      <c r="AY19" s="12">
        <f>IF(S19&lt;&gt;勤務変更!S19,1,0)</f>
        <v>0</v>
      </c>
      <c r="AZ19" s="12">
        <f>IF(T19&lt;&gt;勤務変更!T19,1,0)</f>
        <v>0</v>
      </c>
      <c r="BA19" s="12">
        <f>IF(U19&lt;&gt;勤務変更!U19,1,0)</f>
        <v>0</v>
      </c>
      <c r="BB19" s="12">
        <f>IF(V19&lt;&gt;勤務変更!V19,1,0)</f>
        <v>0</v>
      </c>
      <c r="BC19" s="12">
        <f>IF(W19&lt;&gt;勤務変更!W19,1,0)</f>
        <v>0</v>
      </c>
      <c r="BD19" s="12">
        <f>IF(X19&lt;&gt;勤務変更!X19,1,0)</f>
        <v>0</v>
      </c>
      <c r="BE19" s="12">
        <f>IF(Y19&lt;&gt;勤務変更!Y19,1,0)</f>
        <v>0</v>
      </c>
      <c r="BF19" s="12">
        <f>IF(Z19&lt;&gt;勤務変更!Z19,1,0)</f>
        <v>0</v>
      </c>
      <c r="BG19" s="12">
        <f>IF(AA19&lt;&gt;勤務変更!AA19,1,0)</f>
        <v>0</v>
      </c>
      <c r="BH19" s="12">
        <f>IF(AB19&lt;&gt;勤務変更!AB19,1,0)</f>
        <v>0</v>
      </c>
      <c r="BI19" s="12">
        <f>IF(AC19&lt;&gt;勤務変更!AC19,1,0)</f>
        <v>0</v>
      </c>
      <c r="BJ19" s="12">
        <f>IF(AD19&lt;&gt;勤務変更!AD19,1,0)</f>
        <v>0</v>
      </c>
      <c r="BK19" s="12">
        <f>IF(AE19&lt;&gt;勤務変更!AE19,1,0)</f>
        <v>0</v>
      </c>
      <c r="BL19" s="12">
        <f>IF(AF19&lt;&gt;勤務変更!AF19,1,0)</f>
        <v>0</v>
      </c>
      <c r="BM19" s="12">
        <f>IF(AG19&lt;&gt;勤務変更!AG19,1,0)</f>
        <v>0</v>
      </c>
      <c r="BN19" s="12">
        <f>IF(AH19&lt;&gt;勤務変更!AH19,1,0)</f>
        <v>0</v>
      </c>
      <c r="BO19" s="12">
        <f t="shared" si="1"/>
        <v>0</v>
      </c>
      <c r="BP19" s="12" t="str">
        <f>IF(BR19="","",COUNTA(BR$4:BR19)-COUNTBLANK(BR$4:BR19))</f>
        <v/>
      </c>
      <c r="BQ19" s="12" t="str">
        <f t="shared" si="2"/>
        <v/>
      </c>
      <c r="BR19" s="12" t="str">
        <f t="shared" si="3"/>
        <v/>
      </c>
    </row>
    <row r="20" spans="1:70" ht="13.15" customHeight="1" x14ac:dyDescent="0.2">
      <c r="A20" s="9">
        <f>'[3]勤務表 (2)'!A19</f>
        <v>17</v>
      </c>
      <c r="B20" s="9" t="str">
        <f>'[3]勤務表 (2)'!B19</f>
        <v>103814</v>
      </c>
      <c r="C20" s="74" t="str">
        <f>'[3]勤務表 (2)'!C19</f>
        <v>田村 能之</v>
      </c>
      <c r="D20" s="26" t="str">
        <f>'[3]勤務表 (2)'!D19</f>
        <v/>
      </c>
      <c r="E20" s="26" t="str">
        <f>'[3]勤務表 (2)'!E19</f>
        <v/>
      </c>
      <c r="F20" s="26" t="str">
        <f>'[3]勤務表 (2)'!F19</f>
        <v/>
      </c>
      <c r="G20" s="26" t="str">
        <f>'[3]勤務表 (2)'!G19</f>
        <v/>
      </c>
      <c r="H20" s="26" t="str">
        <f>'[3]勤務表 (2)'!H19</f>
        <v>当</v>
      </c>
      <c r="I20" s="26" t="str">
        <f>'[3]勤務表 (2)'!I19</f>
        <v>明</v>
      </c>
      <c r="J20" s="26" t="str">
        <f>'[3]勤務表 (2)'!J19</f>
        <v>●</v>
      </c>
      <c r="K20" s="26" t="str">
        <f>'[3]勤務表 (2)'!K19</f>
        <v/>
      </c>
      <c r="L20" s="26" t="str">
        <f>'[3]勤務表 (2)'!L19</f>
        <v/>
      </c>
      <c r="M20" s="26" t="str">
        <f>'[3]勤務表 (2)'!M19</f>
        <v>当</v>
      </c>
      <c r="N20" s="26" t="str">
        <f>'[3]勤務表 (2)'!N19</f>
        <v>明</v>
      </c>
      <c r="O20" s="26" t="str">
        <f>'[3]勤務表 (2)'!O19</f>
        <v>○</v>
      </c>
      <c r="P20" s="26" t="str">
        <f>'[3]勤務表 (2)'!P19</f>
        <v>●</v>
      </c>
      <c r="Q20" s="26" t="str">
        <f>'[3]勤務表 (2)'!Q19</f>
        <v/>
      </c>
      <c r="R20" s="26" t="str">
        <f>'[3]勤務表 (2)'!R19</f>
        <v/>
      </c>
      <c r="S20" s="26" t="str">
        <f>'[3]勤務表 (2)'!S19</f>
        <v/>
      </c>
      <c r="T20" s="26" t="str">
        <f>'[3]勤務表 (2)'!T19</f>
        <v/>
      </c>
      <c r="U20" s="26" t="str">
        <f>'[3]勤務表 (2)'!U19</f>
        <v>当</v>
      </c>
      <c r="V20" s="26" t="str">
        <f>'[3]勤務表 (2)'!V19</f>
        <v>明</v>
      </c>
      <c r="W20" s="26" t="str">
        <f>'[3]勤務表 (2)'!W19</f>
        <v>●</v>
      </c>
      <c r="X20" s="26" t="str">
        <f>'[3]勤務表 (2)'!X19</f>
        <v/>
      </c>
      <c r="Y20" s="26" t="str">
        <f>'[3]勤務表 (2)'!Y19</f>
        <v/>
      </c>
      <c r="Z20" s="26" t="str">
        <f>'[3]勤務表 (2)'!Z19</f>
        <v/>
      </c>
      <c r="AA20" s="26" t="str">
        <f>'[3]勤務表 (2)'!AA19</f>
        <v/>
      </c>
      <c r="AB20" s="26" t="str">
        <f>'[3]勤務表 (2)'!AB19</f>
        <v/>
      </c>
      <c r="AC20" s="26" t="str">
        <f>'[3]勤務表 (2)'!AC19</f>
        <v>○</v>
      </c>
      <c r="AD20" s="26" t="str">
        <f>'[3]勤務表 (2)'!AD19</f>
        <v>●</v>
      </c>
      <c r="AE20" s="26" t="str">
        <f>'[3]勤務表 (2)'!AE19</f>
        <v/>
      </c>
      <c r="AF20" s="26" t="str">
        <f>'[3]勤務表 (2)'!AF19</f>
        <v>当</v>
      </c>
      <c r="AG20" s="26" t="str">
        <f>'[3]勤務表 (2)'!AG19</f>
        <v>明</v>
      </c>
      <c r="AH20" s="26" t="str">
        <f>'[3]勤務表 (2)'!AH19</f>
        <v/>
      </c>
      <c r="AJ20" s="12">
        <f>IF(D20&lt;&gt;勤務変更!D20,1,0)</f>
        <v>0</v>
      </c>
      <c r="AK20" s="12">
        <f>IF(E20&lt;&gt;勤務変更!E20,1,0)</f>
        <v>0</v>
      </c>
      <c r="AL20" s="12">
        <f>IF(F20&lt;&gt;勤務変更!F20,1,0)</f>
        <v>0</v>
      </c>
      <c r="AM20" s="12">
        <f>IF(G20&lt;&gt;勤務変更!G20,1,0)</f>
        <v>0</v>
      </c>
      <c r="AN20" s="12">
        <f>IF(H20&lt;&gt;勤務変更!H20,1,0)</f>
        <v>0</v>
      </c>
      <c r="AO20" s="12">
        <f>IF(I20&lt;&gt;勤務変更!I20,1,0)</f>
        <v>0</v>
      </c>
      <c r="AP20" s="12">
        <f>IF(J20&lt;&gt;勤務変更!J20,1,0)</f>
        <v>0</v>
      </c>
      <c r="AQ20" s="12">
        <f>IF(K20&lt;&gt;勤務変更!K20,1,0)</f>
        <v>0</v>
      </c>
      <c r="AR20" s="12">
        <f>IF(L20&lt;&gt;勤務変更!L20,1,0)</f>
        <v>0</v>
      </c>
      <c r="AS20" s="12">
        <f>IF(M20&lt;&gt;勤務変更!M20,1,0)</f>
        <v>0</v>
      </c>
      <c r="AT20" s="12">
        <f>IF(N20&lt;&gt;勤務変更!N20,1,0)</f>
        <v>0</v>
      </c>
      <c r="AU20" s="12">
        <f>IF(O20&lt;&gt;勤務変更!O20,1,0)</f>
        <v>0</v>
      </c>
      <c r="AV20" s="12">
        <f>IF(P20&lt;&gt;勤務変更!P20,1,0)</f>
        <v>0</v>
      </c>
      <c r="AW20" s="12">
        <f>IF(Q20&lt;&gt;勤務変更!Q20,1,0)</f>
        <v>0</v>
      </c>
      <c r="AX20" s="12">
        <f>IF(R20&lt;&gt;勤務変更!R20,1,0)</f>
        <v>0</v>
      </c>
      <c r="AY20" s="12">
        <f>IF(S20&lt;&gt;勤務変更!S20,1,0)</f>
        <v>0</v>
      </c>
      <c r="AZ20" s="12">
        <f>IF(T20&lt;&gt;勤務変更!T20,1,0)</f>
        <v>0</v>
      </c>
      <c r="BA20" s="12">
        <f>IF(U20&lt;&gt;勤務変更!U20,1,0)</f>
        <v>0</v>
      </c>
      <c r="BB20" s="12">
        <f>IF(V20&lt;&gt;勤務変更!V20,1,0)</f>
        <v>0</v>
      </c>
      <c r="BC20" s="12">
        <f>IF(W20&lt;&gt;勤務変更!W20,1,0)</f>
        <v>0</v>
      </c>
      <c r="BD20" s="12">
        <f>IF(X20&lt;&gt;勤務変更!X20,1,0)</f>
        <v>0</v>
      </c>
      <c r="BE20" s="12">
        <f>IF(Y20&lt;&gt;勤務変更!Y20,1,0)</f>
        <v>0</v>
      </c>
      <c r="BF20" s="12">
        <f>IF(Z20&lt;&gt;勤務変更!Z20,1,0)</f>
        <v>0</v>
      </c>
      <c r="BG20" s="12">
        <f>IF(AA20&lt;&gt;勤務変更!AA20,1,0)</f>
        <v>0</v>
      </c>
      <c r="BH20" s="12">
        <f>IF(AB20&lt;&gt;勤務変更!AB20,1,0)</f>
        <v>0</v>
      </c>
      <c r="BI20" s="12">
        <f>IF(AC20&lt;&gt;勤務変更!AC20,1,0)</f>
        <v>0</v>
      </c>
      <c r="BJ20" s="12">
        <f>IF(AD20&lt;&gt;勤務変更!AD20,1,0)</f>
        <v>0</v>
      </c>
      <c r="BK20" s="12">
        <f>IF(AE20&lt;&gt;勤務変更!AE20,1,0)</f>
        <v>0</v>
      </c>
      <c r="BL20" s="12">
        <f>IF(AF20&lt;&gt;勤務変更!AF20,1,0)</f>
        <v>0</v>
      </c>
      <c r="BM20" s="12">
        <f>IF(AG20&lt;&gt;勤務変更!AG20,1,0)</f>
        <v>0</v>
      </c>
      <c r="BN20" s="12">
        <f>IF(AH20&lt;&gt;勤務変更!AH20,1,0)</f>
        <v>0</v>
      </c>
      <c r="BO20" s="12">
        <f t="shared" si="1"/>
        <v>0</v>
      </c>
      <c r="BP20" s="12" t="str">
        <f>IF(BR20="","",COUNTA(BR$4:BR20)-COUNTBLANK(BR$4:BR20))</f>
        <v/>
      </c>
      <c r="BQ20" s="12" t="str">
        <f t="shared" si="2"/>
        <v/>
      </c>
      <c r="BR20" s="12" t="str">
        <f t="shared" si="3"/>
        <v/>
      </c>
    </row>
    <row r="21" spans="1:70" ht="13.15" customHeight="1" x14ac:dyDescent="0.2">
      <c r="A21" s="9">
        <f>'[3]勤務表 (2)'!A20</f>
        <v>18</v>
      </c>
      <c r="B21" s="9" t="str">
        <f>'[3]勤務表 (2)'!B20</f>
        <v>109997</v>
      </c>
      <c r="C21" s="74" t="str">
        <f>'[3]勤務表 (2)'!C20</f>
        <v>庵 緋沙子</v>
      </c>
      <c r="D21" s="26" t="str">
        <f>'[3]勤務表 (2)'!D20</f>
        <v/>
      </c>
      <c r="E21" s="26" t="str">
        <f>'[3]勤務表 (2)'!E20</f>
        <v/>
      </c>
      <c r="F21" s="26" t="str">
        <f>'[3]勤務表 (2)'!F20</f>
        <v/>
      </c>
      <c r="G21" s="26" t="str">
        <f>'[3]勤務表 (2)'!G20</f>
        <v/>
      </c>
      <c r="H21" s="26" t="str">
        <f>'[3]勤務表 (2)'!H20</f>
        <v>○</v>
      </c>
      <c r="I21" s="26" t="str">
        <f>'[3]勤務表 (2)'!I20</f>
        <v>●</v>
      </c>
      <c r="J21" s="26" t="str">
        <f>'[3]勤務表 (2)'!J20</f>
        <v>当</v>
      </c>
      <c r="K21" s="26" t="str">
        <f>'[3]勤務表 (2)'!K20</f>
        <v>明</v>
      </c>
      <c r="L21" s="26" t="str">
        <f>'[3]勤務表 (2)'!L20</f>
        <v/>
      </c>
      <c r="M21" s="26" t="str">
        <f>'[3]勤務表 (2)'!M20</f>
        <v/>
      </c>
      <c r="N21" s="26" t="str">
        <f>'[3]勤務表 (2)'!N20</f>
        <v/>
      </c>
      <c r="O21" s="26" t="str">
        <f>'[3]勤務表 (2)'!O20</f>
        <v>当</v>
      </c>
      <c r="P21" s="26" t="str">
        <f>'[3]勤務表 (2)'!P20</f>
        <v>明</v>
      </c>
      <c r="Q21" s="26" t="str">
        <f>'[3]勤務表 (2)'!Q20</f>
        <v>●</v>
      </c>
      <c r="R21" s="26" t="str">
        <f>'[3]勤務表 (2)'!R20</f>
        <v/>
      </c>
      <c r="S21" s="26" t="str">
        <f>'[3]勤務表 (2)'!S20</f>
        <v/>
      </c>
      <c r="T21" s="26" t="str">
        <f>'[3]勤務表 (2)'!T20</f>
        <v/>
      </c>
      <c r="U21" s="26" t="str">
        <f>'[3]勤務表 (2)'!U20</f>
        <v/>
      </c>
      <c r="V21" s="26" t="str">
        <f>'[3]勤務表 (2)'!V20</f>
        <v>○</v>
      </c>
      <c r="W21" s="26" t="str">
        <f>'[3]勤務表 (2)'!W20</f>
        <v>●</v>
      </c>
      <c r="X21" s="26" t="str">
        <f>'[3]勤務表 (2)'!X20</f>
        <v>当</v>
      </c>
      <c r="Y21" s="26" t="str">
        <f>'[3]勤務表 (2)'!Y20</f>
        <v>明</v>
      </c>
      <c r="Z21" s="26" t="str">
        <f>'[3]勤務表 (2)'!Z20</f>
        <v/>
      </c>
      <c r="AA21" s="26" t="str">
        <f>'[3]勤務表 (2)'!AA20</f>
        <v/>
      </c>
      <c r="AB21" s="26" t="str">
        <f>'[3]勤務表 (2)'!AB20</f>
        <v/>
      </c>
      <c r="AC21" s="26" t="str">
        <f>'[3]勤務表 (2)'!AC20</f>
        <v>／</v>
      </c>
      <c r="AD21" s="26" t="str">
        <f>'[3]勤務表 (2)'!AD20</f>
        <v>●</v>
      </c>
      <c r="AE21" s="26" t="str">
        <f>'[3]勤務表 (2)'!AE20</f>
        <v/>
      </c>
      <c r="AF21" s="26" t="str">
        <f>'[3]勤務表 (2)'!AF20</f>
        <v/>
      </c>
      <c r="AG21" s="26" t="str">
        <f>'[3]勤務表 (2)'!AG20</f>
        <v/>
      </c>
      <c r="AH21" s="26" t="str">
        <f>'[3]勤務表 (2)'!AH20</f>
        <v/>
      </c>
      <c r="AJ21" s="12">
        <f>IF(D21&lt;&gt;勤務変更!D21,1,0)</f>
        <v>0</v>
      </c>
      <c r="AK21" s="12">
        <f>IF(E21&lt;&gt;勤務変更!E21,1,0)</f>
        <v>0</v>
      </c>
      <c r="AL21" s="12">
        <f>IF(F21&lt;&gt;勤務変更!F21,1,0)</f>
        <v>0</v>
      </c>
      <c r="AM21" s="12">
        <f>IF(G21&lt;&gt;勤務変更!G21,1,0)</f>
        <v>0</v>
      </c>
      <c r="AN21" s="12">
        <f>IF(H21&lt;&gt;勤務変更!H21,1,0)</f>
        <v>0</v>
      </c>
      <c r="AO21" s="12">
        <f>IF(I21&lt;&gt;勤務変更!I21,1,0)</f>
        <v>0</v>
      </c>
      <c r="AP21" s="12">
        <f>IF(J21&lt;&gt;勤務変更!J21,1,0)</f>
        <v>0</v>
      </c>
      <c r="AQ21" s="12">
        <f>IF(K21&lt;&gt;勤務変更!K21,1,0)</f>
        <v>0</v>
      </c>
      <c r="AR21" s="12">
        <f>IF(L21&lt;&gt;勤務変更!L21,1,0)</f>
        <v>0</v>
      </c>
      <c r="AS21" s="12">
        <f>IF(M21&lt;&gt;勤務変更!M21,1,0)</f>
        <v>0</v>
      </c>
      <c r="AT21" s="12">
        <f>IF(N21&lt;&gt;勤務変更!N21,1,0)</f>
        <v>0</v>
      </c>
      <c r="AU21" s="12">
        <f>IF(O21&lt;&gt;勤務変更!O21,1,0)</f>
        <v>0</v>
      </c>
      <c r="AV21" s="12">
        <f>IF(P21&lt;&gt;勤務変更!P21,1,0)</f>
        <v>0</v>
      </c>
      <c r="AW21" s="12">
        <f>IF(Q21&lt;&gt;勤務変更!Q21,1,0)</f>
        <v>0</v>
      </c>
      <c r="AX21" s="12">
        <f>IF(R21&lt;&gt;勤務変更!R21,1,0)</f>
        <v>0</v>
      </c>
      <c r="AY21" s="12">
        <f>IF(S21&lt;&gt;勤務変更!S21,1,0)</f>
        <v>0</v>
      </c>
      <c r="AZ21" s="12">
        <f>IF(T21&lt;&gt;勤務変更!T21,1,0)</f>
        <v>0</v>
      </c>
      <c r="BA21" s="12">
        <f>IF(U21&lt;&gt;勤務変更!U21,1,0)</f>
        <v>0</v>
      </c>
      <c r="BB21" s="12">
        <f>IF(V21&lt;&gt;勤務変更!V21,1,0)</f>
        <v>0</v>
      </c>
      <c r="BC21" s="12">
        <f>IF(W21&lt;&gt;勤務変更!W21,1,0)</f>
        <v>0</v>
      </c>
      <c r="BD21" s="12">
        <f>IF(X21&lt;&gt;勤務変更!X21,1,0)</f>
        <v>0</v>
      </c>
      <c r="BE21" s="12">
        <f>IF(Y21&lt;&gt;勤務変更!Y21,1,0)</f>
        <v>0</v>
      </c>
      <c r="BF21" s="12">
        <f>IF(Z21&lt;&gt;勤務変更!Z21,1,0)</f>
        <v>0</v>
      </c>
      <c r="BG21" s="12">
        <f>IF(AA21&lt;&gt;勤務変更!AA21,1,0)</f>
        <v>0</v>
      </c>
      <c r="BH21" s="12">
        <f>IF(AB21&lt;&gt;勤務変更!AB21,1,0)</f>
        <v>0</v>
      </c>
      <c r="BI21" s="12">
        <f>IF(AC21&lt;&gt;勤務変更!AC21,1,0)</f>
        <v>0</v>
      </c>
      <c r="BJ21" s="12">
        <f>IF(AD21&lt;&gt;勤務変更!AD21,1,0)</f>
        <v>0</v>
      </c>
      <c r="BK21" s="12">
        <f>IF(AE21&lt;&gt;勤務変更!AE21,1,0)</f>
        <v>0</v>
      </c>
      <c r="BL21" s="12">
        <f>IF(AF21&lt;&gt;勤務変更!AF21,1,0)</f>
        <v>0</v>
      </c>
      <c r="BM21" s="12">
        <f>IF(AG21&lt;&gt;勤務変更!AG21,1,0)</f>
        <v>0</v>
      </c>
      <c r="BN21" s="12">
        <f>IF(AH21&lt;&gt;勤務変更!AH21,1,0)</f>
        <v>0</v>
      </c>
      <c r="BO21" s="12">
        <f t="shared" si="1"/>
        <v>0</v>
      </c>
      <c r="BP21" s="12" t="str">
        <f>IF(BR21="","",COUNTA(BR$4:BR21)-COUNTBLANK(BR$4:BR21))</f>
        <v/>
      </c>
      <c r="BQ21" s="12" t="str">
        <f t="shared" si="2"/>
        <v/>
      </c>
      <c r="BR21" s="12" t="str">
        <f t="shared" si="3"/>
        <v/>
      </c>
    </row>
    <row r="22" spans="1:70" ht="13.15" customHeight="1" x14ac:dyDescent="0.2">
      <c r="A22" s="9">
        <f>'[3]勤務表 (2)'!A21</f>
        <v>19</v>
      </c>
      <c r="B22" s="9" t="str">
        <f>'[3]勤務表 (2)'!B21</f>
        <v>79269</v>
      </c>
      <c r="C22" s="74" t="str">
        <f>'[3]勤務表 (2)'!C21</f>
        <v>冨田 紗詠子</v>
      </c>
      <c r="D22" s="26" t="str">
        <f>'[3]勤務表 (2)'!D21</f>
        <v/>
      </c>
      <c r="E22" s="26" t="str">
        <f>'[3]勤務表 (2)'!E21</f>
        <v/>
      </c>
      <c r="F22" s="26" t="str">
        <f>'[3]勤務表 (2)'!F21</f>
        <v/>
      </c>
      <c r="G22" s="26" t="str">
        <f>'[3]勤務表 (2)'!G21</f>
        <v/>
      </c>
      <c r="H22" s="26" t="str">
        <f>'[3]勤務表 (2)'!H21</f>
        <v>○</v>
      </c>
      <c r="I22" s="26" t="str">
        <f>'[3]勤務表 (2)'!I21</f>
        <v>●</v>
      </c>
      <c r="J22" s="26" t="str">
        <f>'[3]勤務表 (2)'!J21</f>
        <v/>
      </c>
      <c r="K22" s="26" t="str">
        <f>'[3]勤務表 (2)'!K21</f>
        <v/>
      </c>
      <c r="L22" s="26" t="str">
        <f>'[3]勤務表 (2)'!L21</f>
        <v/>
      </c>
      <c r="M22" s="26" t="str">
        <f>'[3]勤務表 (2)'!M21</f>
        <v/>
      </c>
      <c r="N22" s="26" t="str">
        <f>'[3]勤務表 (2)'!N21</f>
        <v/>
      </c>
      <c r="O22" s="26" t="str">
        <f>'[3]勤務表 (2)'!O21</f>
        <v>○</v>
      </c>
      <c r="P22" s="26" t="str">
        <f>'[3]勤務表 (2)'!P21</f>
        <v>●</v>
      </c>
      <c r="Q22" s="26" t="str">
        <f>'[3]勤務表 (2)'!Q21</f>
        <v/>
      </c>
      <c r="R22" s="26" t="str">
        <f>'[3]勤務表 (2)'!R21</f>
        <v/>
      </c>
      <c r="S22" s="26" t="str">
        <f>'[3]勤務表 (2)'!S21</f>
        <v/>
      </c>
      <c r="T22" s="26" t="str">
        <f>'[3]勤務表 (2)'!T21</f>
        <v/>
      </c>
      <c r="U22" s="26" t="str">
        <f>'[3]勤務表 (2)'!U21</f>
        <v/>
      </c>
      <c r="V22" s="26" t="str">
        <f>'[3]勤務表 (2)'!V21</f>
        <v>○</v>
      </c>
      <c r="W22" s="26" t="str">
        <f>'[3]勤務表 (2)'!W21</f>
        <v>●</v>
      </c>
      <c r="X22" s="26" t="str">
        <f>'[3]勤務表 (2)'!X21</f>
        <v/>
      </c>
      <c r="Y22" s="26" t="str">
        <f>'[3]勤務表 (2)'!Y21</f>
        <v/>
      </c>
      <c r="Z22" s="26" t="str">
        <f>'[3]勤務表 (2)'!Z21</f>
        <v/>
      </c>
      <c r="AA22" s="26" t="str">
        <f>'[3]勤務表 (2)'!AA21</f>
        <v/>
      </c>
      <c r="AB22" s="26" t="str">
        <f>'[3]勤務表 (2)'!AB21</f>
        <v/>
      </c>
      <c r="AC22" s="26" t="str">
        <f>'[3]勤務表 (2)'!AC21</f>
        <v>○</v>
      </c>
      <c r="AD22" s="26" t="str">
        <f>'[3]勤務表 (2)'!AD21</f>
        <v>●</v>
      </c>
      <c r="AE22" s="26" t="str">
        <f>'[3]勤務表 (2)'!AE21</f>
        <v/>
      </c>
      <c r="AF22" s="26" t="str">
        <f>'[3]勤務表 (2)'!AF21</f>
        <v/>
      </c>
      <c r="AG22" s="26" t="str">
        <f>'[3]勤務表 (2)'!AG21</f>
        <v/>
      </c>
      <c r="AH22" s="26" t="str">
        <f>'[3]勤務表 (2)'!AH21</f>
        <v/>
      </c>
      <c r="AJ22" s="12">
        <f>IF(D22&lt;&gt;勤務変更!D22,1,0)</f>
        <v>1</v>
      </c>
      <c r="AK22" s="12">
        <f>IF(E22&lt;&gt;勤務変更!E22,1,0)</f>
        <v>0</v>
      </c>
      <c r="AL22" s="12">
        <f>IF(F22&lt;&gt;勤務変更!F22,1,0)</f>
        <v>0</v>
      </c>
      <c r="AM22" s="12">
        <f>IF(G22&lt;&gt;勤務変更!G22,1,0)</f>
        <v>0</v>
      </c>
      <c r="AN22" s="12">
        <f>IF(H22&lt;&gt;勤務変更!H22,1,0)</f>
        <v>0</v>
      </c>
      <c r="AO22" s="12">
        <f>IF(I22&lt;&gt;勤務変更!I22,1,0)</f>
        <v>0</v>
      </c>
      <c r="AP22" s="12">
        <f>IF(J22&lt;&gt;勤務変更!J22,1,0)</f>
        <v>0</v>
      </c>
      <c r="AQ22" s="12">
        <f>IF(K22&lt;&gt;勤務変更!K22,1,0)</f>
        <v>0</v>
      </c>
      <c r="AR22" s="12">
        <f>IF(L22&lt;&gt;勤務変更!L22,1,0)</f>
        <v>0</v>
      </c>
      <c r="AS22" s="12">
        <f>IF(M22&lt;&gt;勤務変更!M22,1,0)</f>
        <v>0</v>
      </c>
      <c r="AT22" s="12">
        <f>IF(N22&lt;&gt;勤務変更!N22,1,0)</f>
        <v>0</v>
      </c>
      <c r="AU22" s="12">
        <f>IF(O22&lt;&gt;勤務変更!O22,1,0)</f>
        <v>0</v>
      </c>
      <c r="AV22" s="12">
        <f>IF(P22&lt;&gt;勤務変更!P22,1,0)</f>
        <v>0</v>
      </c>
      <c r="AW22" s="12">
        <f>IF(Q22&lt;&gt;勤務変更!Q22,1,0)</f>
        <v>0</v>
      </c>
      <c r="AX22" s="12">
        <f>IF(R22&lt;&gt;勤務変更!R22,1,0)</f>
        <v>0</v>
      </c>
      <c r="AY22" s="12">
        <f>IF(S22&lt;&gt;勤務変更!S22,1,0)</f>
        <v>0</v>
      </c>
      <c r="AZ22" s="12">
        <f>IF(T22&lt;&gt;勤務変更!T22,1,0)</f>
        <v>0</v>
      </c>
      <c r="BA22" s="12">
        <f>IF(U22&lt;&gt;勤務変更!U22,1,0)</f>
        <v>0</v>
      </c>
      <c r="BB22" s="12">
        <f>IF(V22&lt;&gt;勤務変更!V22,1,0)</f>
        <v>0</v>
      </c>
      <c r="BC22" s="12">
        <f>IF(W22&lt;&gt;勤務変更!W22,1,0)</f>
        <v>0</v>
      </c>
      <c r="BD22" s="12">
        <f>IF(X22&lt;&gt;勤務変更!X22,1,0)</f>
        <v>0</v>
      </c>
      <c r="BE22" s="12">
        <f>IF(Y22&lt;&gt;勤務変更!Y22,1,0)</f>
        <v>0</v>
      </c>
      <c r="BF22" s="12">
        <f>IF(Z22&lt;&gt;勤務変更!Z22,1,0)</f>
        <v>0</v>
      </c>
      <c r="BG22" s="12">
        <f>IF(AA22&lt;&gt;勤務変更!AA22,1,0)</f>
        <v>0</v>
      </c>
      <c r="BH22" s="12">
        <f>IF(AB22&lt;&gt;勤務変更!AB22,1,0)</f>
        <v>0</v>
      </c>
      <c r="BI22" s="12">
        <f>IF(AC22&lt;&gt;勤務変更!AC22,1,0)</f>
        <v>0</v>
      </c>
      <c r="BJ22" s="12">
        <f>IF(AD22&lt;&gt;勤務変更!AD22,1,0)</f>
        <v>0</v>
      </c>
      <c r="BK22" s="12">
        <f>IF(AE22&lt;&gt;勤務変更!AE22,1,0)</f>
        <v>0</v>
      </c>
      <c r="BL22" s="12">
        <f>IF(AF22&lt;&gt;勤務変更!AF22,1,0)</f>
        <v>0</v>
      </c>
      <c r="BM22" s="12">
        <f>IF(AG22&lt;&gt;勤務変更!AG22,1,0)</f>
        <v>0</v>
      </c>
      <c r="BN22" s="12">
        <f>IF(AH22&lt;&gt;勤務変更!AH22,1,0)</f>
        <v>0</v>
      </c>
      <c r="BO22" s="12">
        <f t="shared" si="1"/>
        <v>1</v>
      </c>
      <c r="BP22" s="12">
        <f>IF(BR22="","",COUNTA(BR$4:BR22)-COUNTBLANK(BR$4:BR22))</f>
        <v>2</v>
      </c>
      <c r="BQ22" s="12" t="str">
        <f t="shared" si="2"/>
        <v>79269</v>
      </c>
      <c r="BR22" s="12" t="str">
        <f t="shared" si="3"/>
        <v>冨田 紗詠子</v>
      </c>
    </row>
    <row r="23" spans="1:70" ht="13.15" customHeight="1" x14ac:dyDescent="0.2">
      <c r="A23" s="9">
        <f>'[3]勤務表 (2)'!A22</f>
        <v>20</v>
      </c>
      <c r="B23" s="9" t="str">
        <f>'[3]勤務表 (2)'!B22</f>
        <v>88777</v>
      </c>
      <c r="C23" s="74" t="str">
        <f>'[3]勤務表 (2)'!C22</f>
        <v>黒田 奈菜子</v>
      </c>
      <c r="D23" s="26" t="str">
        <f>'[3]勤務表 (2)'!D22</f>
        <v/>
      </c>
      <c r="E23" s="26" t="str">
        <f>'[3]勤務表 (2)'!E22</f>
        <v/>
      </c>
      <c r="F23" s="26" t="str">
        <f>'[3]勤務表 (2)'!F22</f>
        <v/>
      </c>
      <c r="G23" s="26" t="str">
        <f>'[3]勤務表 (2)'!G22</f>
        <v/>
      </c>
      <c r="H23" s="26" t="str">
        <f>'[3]勤務表 (2)'!H22</f>
        <v>○</v>
      </c>
      <c r="I23" s="26" t="str">
        <f>'[3]勤務表 (2)'!I22</f>
        <v>●</v>
      </c>
      <c r="J23" s="26" t="str">
        <f>'[3]勤務表 (2)'!J22</f>
        <v/>
      </c>
      <c r="K23" s="26" t="str">
        <f>'[3]勤務表 (2)'!K22</f>
        <v/>
      </c>
      <c r="L23" s="26" t="str">
        <f>'[3]勤務表 (2)'!L22</f>
        <v/>
      </c>
      <c r="M23" s="26" t="str">
        <f>'[3]勤務表 (2)'!M22</f>
        <v/>
      </c>
      <c r="N23" s="26" t="str">
        <f>'[3]勤務表 (2)'!N22</f>
        <v/>
      </c>
      <c r="O23" s="26" t="str">
        <f>'[3]勤務表 (2)'!O22</f>
        <v>○</v>
      </c>
      <c r="P23" s="26" t="str">
        <f>'[3]勤務表 (2)'!P22</f>
        <v>●</v>
      </c>
      <c r="Q23" s="26" t="str">
        <f>'[3]勤務表 (2)'!Q22</f>
        <v/>
      </c>
      <c r="R23" s="26" t="str">
        <f>'[3]勤務表 (2)'!R22</f>
        <v/>
      </c>
      <c r="S23" s="26" t="str">
        <f>'[3]勤務表 (2)'!S22</f>
        <v/>
      </c>
      <c r="T23" s="26" t="str">
        <f>'[3]勤務表 (2)'!T22</f>
        <v/>
      </c>
      <c r="U23" s="26" t="str">
        <f>'[3]勤務表 (2)'!U22</f>
        <v/>
      </c>
      <c r="V23" s="26" t="str">
        <f>'[3]勤務表 (2)'!V22</f>
        <v>○</v>
      </c>
      <c r="W23" s="26" t="str">
        <f>'[3]勤務表 (2)'!W22</f>
        <v>●</v>
      </c>
      <c r="X23" s="26" t="str">
        <f>'[3]勤務表 (2)'!X22</f>
        <v/>
      </c>
      <c r="Y23" s="26" t="str">
        <f>'[3]勤務表 (2)'!Y22</f>
        <v/>
      </c>
      <c r="Z23" s="26" t="str">
        <f>'[3]勤務表 (2)'!Z22</f>
        <v/>
      </c>
      <c r="AA23" s="26" t="str">
        <f>'[3]勤務表 (2)'!AA22</f>
        <v/>
      </c>
      <c r="AB23" s="26" t="str">
        <f>'[3]勤務表 (2)'!AB22</f>
        <v/>
      </c>
      <c r="AC23" s="26" t="str">
        <f>'[3]勤務表 (2)'!AC22</f>
        <v>○</v>
      </c>
      <c r="AD23" s="26" t="str">
        <f>'[3]勤務表 (2)'!AD22</f>
        <v>●</v>
      </c>
      <c r="AE23" s="26" t="str">
        <f>'[3]勤務表 (2)'!AE22</f>
        <v/>
      </c>
      <c r="AF23" s="26" t="str">
        <f>'[3]勤務表 (2)'!AF22</f>
        <v/>
      </c>
      <c r="AG23" s="26" t="str">
        <f>'[3]勤務表 (2)'!AG22</f>
        <v/>
      </c>
      <c r="AH23" s="26" t="str">
        <f>'[3]勤務表 (2)'!AH22</f>
        <v/>
      </c>
      <c r="AJ23" s="12">
        <f>IF(D23&lt;&gt;勤務変更!D23,1,0)</f>
        <v>0</v>
      </c>
      <c r="AK23" s="12">
        <f>IF(E23&lt;&gt;勤務変更!E23,1,0)</f>
        <v>0</v>
      </c>
      <c r="AL23" s="12">
        <f>IF(F23&lt;&gt;勤務変更!F23,1,0)</f>
        <v>0</v>
      </c>
      <c r="AM23" s="12">
        <f>IF(G23&lt;&gt;勤務変更!G23,1,0)</f>
        <v>0</v>
      </c>
      <c r="AN23" s="12">
        <f>IF(H23&lt;&gt;勤務変更!H23,1,0)</f>
        <v>0</v>
      </c>
      <c r="AO23" s="12">
        <f>IF(I23&lt;&gt;勤務変更!I23,1,0)</f>
        <v>0</v>
      </c>
      <c r="AP23" s="12">
        <f>IF(J23&lt;&gt;勤務変更!J23,1,0)</f>
        <v>0</v>
      </c>
      <c r="AQ23" s="12">
        <f>IF(K23&lt;&gt;勤務変更!K23,1,0)</f>
        <v>0</v>
      </c>
      <c r="AR23" s="12">
        <f>IF(L23&lt;&gt;勤務変更!L23,1,0)</f>
        <v>0</v>
      </c>
      <c r="AS23" s="12">
        <f>IF(M23&lt;&gt;勤務変更!M23,1,0)</f>
        <v>0</v>
      </c>
      <c r="AT23" s="12">
        <f>IF(N23&lt;&gt;勤務変更!N23,1,0)</f>
        <v>0</v>
      </c>
      <c r="AU23" s="12">
        <f>IF(O23&lt;&gt;勤務変更!O23,1,0)</f>
        <v>0</v>
      </c>
      <c r="AV23" s="12">
        <f>IF(P23&lt;&gt;勤務変更!P23,1,0)</f>
        <v>0</v>
      </c>
      <c r="AW23" s="12">
        <f>IF(Q23&lt;&gt;勤務変更!Q23,1,0)</f>
        <v>0</v>
      </c>
      <c r="AX23" s="12">
        <f>IF(R23&lt;&gt;勤務変更!R23,1,0)</f>
        <v>0</v>
      </c>
      <c r="AY23" s="12">
        <f>IF(S23&lt;&gt;勤務変更!S23,1,0)</f>
        <v>0</v>
      </c>
      <c r="AZ23" s="12">
        <f>IF(T23&lt;&gt;勤務変更!T23,1,0)</f>
        <v>0</v>
      </c>
      <c r="BA23" s="12">
        <f>IF(U23&lt;&gt;勤務変更!U23,1,0)</f>
        <v>0</v>
      </c>
      <c r="BB23" s="12">
        <f>IF(V23&lt;&gt;勤務変更!V23,1,0)</f>
        <v>0</v>
      </c>
      <c r="BC23" s="12">
        <f>IF(W23&lt;&gt;勤務変更!W23,1,0)</f>
        <v>0</v>
      </c>
      <c r="BD23" s="12">
        <f>IF(X23&lt;&gt;勤務変更!X23,1,0)</f>
        <v>0</v>
      </c>
      <c r="BE23" s="12">
        <f>IF(Y23&lt;&gt;勤務変更!Y23,1,0)</f>
        <v>0</v>
      </c>
      <c r="BF23" s="12">
        <f>IF(Z23&lt;&gt;勤務変更!Z23,1,0)</f>
        <v>0</v>
      </c>
      <c r="BG23" s="12">
        <f>IF(AA23&lt;&gt;勤務変更!AA23,1,0)</f>
        <v>0</v>
      </c>
      <c r="BH23" s="12">
        <f>IF(AB23&lt;&gt;勤務変更!AB23,1,0)</f>
        <v>0</v>
      </c>
      <c r="BI23" s="12">
        <f>IF(AC23&lt;&gt;勤務変更!AC23,1,0)</f>
        <v>0</v>
      </c>
      <c r="BJ23" s="12">
        <f>IF(AD23&lt;&gt;勤務変更!AD23,1,0)</f>
        <v>0</v>
      </c>
      <c r="BK23" s="12">
        <f>IF(AE23&lt;&gt;勤務変更!AE23,1,0)</f>
        <v>0</v>
      </c>
      <c r="BL23" s="12">
        <f>IF(AF23&lt;&gt;勤務変更!AF23,1,0)</f>
        <v>0</v>
      </c>
      <c r="BM23" s="12">
        <f>IF(AG23&lt;&gt;勤務変更!AG23,1,0)</f>
        <v>0</v>
      </c>
      <c r="BN23" s="12">
        <f>IF(AH23&lt;&gt;勤務変更!AH23,1,0)</f>
        <v>0</v>
      </c>
      <c r="BO23" s="12">
        <f t="shared" si="1"/>
        <v>0</v>
      </c>
      <c r="BP23" s="12" t="str">
        <f>IF(BR23="","",COUNTA(BR$4:BR23)-COUNTBLANK(BR$4:BR23))</f>
        <v/>
      </c>
      <c r="BQ23" s="12" t="str">
        <f t="shared" si="2"/>
        <v/>
      </c>
      <c r="BR23" s="12" t="str">
        <f t="shared" si="3"/>
        <v/>
      </c>
    </row>
    <row r="24" spans="1:70" ht="13.15" customHeight="1" x14ac:dyDescent="0.2">
      <c r="A24" s="9">
        <f>'[3]勤務表 (2)'!A23</f>
        <v>21</v>
      </c>
      <c r="B24" s="9" t="str">
        <f>'[3]勤務表 (2)'!B23</f>
        <v>94908</v>
      </c>
      <c r="C24" s="74" t="str">
        <f>'[3]勤務表 (2)'!C23</f>
        <v>長迫 千寛</v>
      </c>
      <c r="D24" s="26" t="str">
        <f>'[3]勤務表 (2)'!D23</f>
        <v/>
      </c>
      <c r="E24" s="26" t="str">
        <f>'[3]勤務表 (2)'!E23</f>
        <v/>
      </c>
      <c r="F24" s="26" t="str">
        <f>'[3]勤務表 (2)'!F23</f>
        <v/>
      </c>
      <c r="G24" s="26" t="str">
        <f>'[3]勤務表 (2)'!G23</f>
        <v/>
      </c>
      <c r="H24" s="26" t="str">
        <f>'[3]勤務表 (2)'!H23</f>
        <v>○</v>
      </c>
      <c r="I24" s="26" t="str">
        <f>'[3]勤務表 (2)'!I23</f>
        <v>●</v>
      </c>
      <c r="J24" s="26" t="str">
        <f>'[3]勤務表 (2)'!J23</f>
        <v/>
      </c>
      <c r="K24" s="26" t="str">
        <f>'[3]勤務表 (2)'!K23</f>
        <v/>
      </c>
      <c r="L24" s="26" t="str">
        <f>'[3]勤務表 (2)'!L23</f>
        <v/>
      </c>
      <c r="M24" s="26" t="str">
        <f>'[3]勤務表 (2)'!M23</f>
        <v/>
      </c>
      <c r="N24" s="26" t="str">
        <f>'[3]勤務表 (2)'!N23</f>
        <v/>
      </c>
      <c r="O24" s="26" t="str">
        <f>'[3]勤務表 (2)'!O23</f>
        <v>○</v>
      </c>
      <c r="P24" s="26" t="str">
        <f>'[3]勤務表 (2)'!P23</f>
        <v>●</v>
      </c>
      <c r="Q24" s="26" t="str">
        <f>'[3]勤務表 (2)'!Q23</f>
        <v/>
      </c>
      <c r="R24" s="26" t="str">
        <f>'[3]勤務表 (2)'!R23</f>
        <v/>
      </c>
      <c r="S24" s="26" t="str">
        <f>'[3]勤務表 (2)'!S23</f>
        <v/>
      </c>
      <c r="T24" s="26" t="str">
        <f>'[3]勤務表 (2)'!T23</f>
        <v/>
      </c>
      <c r="U24" s="26" t="str">
        <f>'[3]勤務表 (2)'!U23</f>
        <v/>
      </c>
      <c r="V24" s="26" t="str">
        <f>'[3]勤務表 (2)'!V23</f>
        <v>○</v>
      </c>
      <c r="W24" s="26" t="str">
        <f>'[3]勤務表 (2)'!W23</f>
        <v>●</v>
      </c>
      <c r="X24" s="26" t="str">
        <f>'[3]勤務表 (2)'!X23</f>
        <v/>
      </c>
      <c r="Y24" s="26" t="str">
        <f>'[3]勤務表 (2)'!Y23</f>
        <v/>
      </c>
      <c r="Z24" s="26" t="str">
        <f>'[3]勤務表 (2)'!Z23</f>
        <v/>
      </c>
      <c r="AA24" s="26" t="str">
        <f>'[3]勤務表 (2)'!AA23</f>
        <v/>
      </c>
      <c r="AB24" s="26" t="str">
        <f>'[3]勤務表 (2)'!AB23</f>
        <v/>
      </c>
      <c r="AC24" s="26" t="str">
        <f>'[3]勤務表 (2)'!AC23</f>
        <v>○</v>
      </c>
      <c r="AD24" s="26" t="str">
        <f>'[3]勤務表 (2)'!AD23</f>
        <v>●</v>
      </c>
      <c r="AE24" s="26" t="str">
        <f>'[3]勤務表 (2)'!AE23</f>
        <v/>
      </c>
      <c r="AF24" s="26" t="str">
        <f>'[3]勤務表 (2)'!AF23</f>
        <v/>
      </c>
      <c r="AG24" s="26" t="str">
        <f>'[3]勤務表 (2)'!AG23</f>
        <v/>
      </c>
      <c r="AH24" s="26" t="str">
        <f>'[3]勤務表 (2)'!AH23</f>
        <v/>
      </c>
      <c r="AJ24" s="12">
        <f>IF(D24&lt;&gt;勤務変更!D24,1,0)</f>
        <v>0</v>
      </c>
      <c r="AK24" s="12">
        <f>IF(E24&lt;&gt;勤務変更!E24,1,0)</f>
        <v>0</v>
      </c>
      <c r="AL24" s="12">
        <f>IF(F24&lt;&gt;勤務変更!F24,1,0)</f>
        <v>0</v>
      </c>
      <c r="AM24" s="12">
        <f>IF(G24&lt;&gt;勤務変更!G24,1,0)</f>
        <v>0</v>
      </c>
      <c r="AN24" s="12">
        <f>IF(H24&lt;&gt;勤務変更!H24,1,0)</f>
        <v>0</v>
      </c>
      <c r="AO24" s="12">
        <f>IF(I24&lt;&gt;勤務変更!I24,1,0)</f>
        <v>0</v>
      </c>
      <c r="AP24" s="12">
        <f>IF(J24&lt;&gt;勤務変更!J24,1,0)</f>
        <v>0</v>
      </c>
      <c r="AQ24" s="12">
        <f>IF(K24&lt;&gt;勤務変更!K24,1,0)</f>
        <v>0</v>
      </c>
      <c r="AR24" s="12">
        <f>IF(L24&lt;&gt;勤務変更!L24,1,0)</f>
        <v>0</v>
      </c>
      <c r="AS24" s="12">
        <f>IF(M24&lt;&gt;勤務変更!M24,1,0)</f>
        <v>0</v>
      </c>
      <c r="AT24" s="12">
        <f>IF(N24&lt;&gt;勤務変更!N24,1,0)</f>
        <v>0</v>
      </c>
      <c r="AU24" s="12">
        <f>IF(O24&lt;&gt;勤務変更!O24,1,0)</f>
        <v>0</v>
      </c>
      <c r="AV24" s="12">
        <f>IF(P24&lt;&gt;勤務変更!P24,1,0)</f>
        <v>0</v>
      </c>
      <c r="AW24" s="12">
        <f>IF(Q24&lt;&gt;勤務変更!Q24,1,0)</f>
        <v>0</v>
      </c>
      <c r="AX24" s="12">
        <f>IF(R24&lt;&gt;勤務変更!R24,1,0)</f>
        <v>0</v>
      </c>
      <c r="AY24" s="12">
        <f>IF(S24&lt;&gt;勤務変更!S24,1,0)</f>
        <v>0</v>
      </c>
      <c r="AZ24" s="12">
        <f>IF(T24&lt;&gt;勤務変更!T24,1,0)</f>
        <v>0</v>
      </c>
      <c r="BA24" s="12">
        <f>IF(U24&lt;&gt;勤務変更!U24,1,0)</f>
        <v>0</v>
      </c>
      <c r="BB24" s="12">
        <f>IF(V24&lt;&gt;勤務変更!V24,1,0)</f>
        <v>0</v>
      </c>
      <c r="BC24" s="12">
        <f>IF(W24&lt;&gt;勤務変更!W24,1,0)</f>
        <v>0</v>
      </c>
      <c r="BD24" s="12">
        <f>IF(X24&lt;&gt;勤務変更!X24,1,0)</f>
        <v>0</v>
      </c>
      <c r="BE24" s="12">
        <f>IF(Y24&lt;&gt;勤務変更!Y24,1,0)</f>
        <v>0</v>
      </c>
      <c r="BF24" s="12">
        <f>IF(Z24&lt;&gt;勤務変更!Z24,1,0)</f>
        <v>0</v>
      </c>
      <c r="BG24" s="12">
        <f>IF(AA24&lt;&gt;勤務変更!AA24,1,0)</f>
        <v>0</v>
      </c>
      <c r="BH24" s="12">
        <f>IF(AB24&lt;&gt;勤務変更!AB24,1,0)</f>
        <v>0</v>
      </c>
      <c r="BI24" s="12">
        <f>IF(AC24&lt;&gt;勤務変更!AC24,1,0)</f>
        <v>0</v>
      </c>
      <c r="BJ24" s="12">
        <f>IF(AD24&lt;&gt;勤務変更!AD24,1,0)</f>
        <v>0</v>
      </c>
      <c r="BK24" s="12">
        <f>IF(AE24&lt;&gt;勤務変更!AE24,1,0)</f>
        <v>0</v>
      </c>
      <c r="BL24" s="12">
        <f>IF(AF24&lt;&gt;勤務変更!AF24,1,0)</f>
        <v>0</v>
      </c>
      <c r="BM24" s="12">
        <f>IF(AG24&lt;&gt;勤務変更!AG24,1,0)</f>
        <v>0</v>
      </c>
      <c r="BN24" s="12">
        <f>IF(AH24&lt;&gt;勤務変更!AH24,1,0)</f>
        <v>0</v>
      </c>
      <c r="BO24" s="12">
        <f t="shared" si="1"/>
        <v>0</v>
      </c>
      <c r="BP24" s="12" t="str">
        <f>IF(BR24="","",COUNTA(BR$4:BR24)-COUNTBLANK(BR$4:BR24))</f>
        <v/>
      </c>
      <c r="BQ24" s="12" t="str">
        <f t="shared" si="2"/>
        <v/>
      </c>
      <c r="BR24" s="12" t="str">
        <f t="shared" si="3"/>
        <v/>
      </c>
    </row>
    <row r="25" spans="1:70" ht="13.15" customHeight="1" x14ac:dyDescent="0.2">
      <c r="A25" s="9">
        <f>'[3]勤務表 (2)'!A24</f>
        <v>22</v>
      </c>
      <c r="B25" s="9" t="str">
        <f>'[3]勤務表 (2)'!B24</f>
        <v>97974</v>
      </c>
      <c r="C25" s="74" t="str">
        <f>'[3]勤務表 (2)'!C24</f>
        <v>吉田 汐里</v>
      </c>
      <c r="D25" s="26" t="str">
        <f>'[3]勤務表 (2)'!D24</f>
        <v/>
      </c>
      <c r="E25" s="26" t="str">
        <f>'[3]勤務表 (2)'!E24</f>
        <v/>
      </c>
      <c r="F25" s="26" t="str">
        <f>'[3]勤務表 (2)'!F24</f>
        <v/>
      </c>
      <c r="G25" s="26" t="str">
        <f>'[3]勤務表 (2)'!G24</f>
        <v/>
      </c>
      <c r="H25" s="26" t="str">
        <f>'[3]勤務表 (2)'!H24</f>
        <v>○</v>
      </c>
      <c r="I25" s="26" t="str">
        <f>'[3]勤務表 (2)'!I24</f>
        <v>●</v>
      </c>
      <c r="J25" s="26" t="str">
        <f>'[3]勤務表 (2)'!J24</f>
        <v/>
      </c>
      <c r="K25" s="26" t="str">
        <f>'[3]勤務表 (2)'!K24</f>
        <v/>
      </c>
      <c r="L25" s="26" t="str">
        <f>'[3]勤務表 (2)'!L24</f>
        <v/>
      </c>
      <c r="M25" s="26" t="str">
        <f>'[3]勤務表 (2)'!M24</f>
        <v/>
      </c>
      <c r="N25" s="26" t="str">
        <f>'[3]勤務表 (2)'!N24</f>
        <v/>
      </c>
      <c r="O25" s="26" t="str">
        <f>'[3]勤務表 (2)'!O24</f>
        <v>○</v>
      </c>
      <c r="P25" s="26" t="str">
        <f>'[3]勤務表 (2)'!P24</f>
        <v>●</v>
      </c>
      <c r="Q25" s="26" t="str">
        <f>'[3]勤務表 (2)'!Q24</f>
        <v/>
      </c>
      <c r="R25" s="26" t="str">
        <f>'[3]勤務表 (2)'!R24</f>
        <v/>
      </c>
      <c r="S25" s="26" t="str">
        <f>'[3]勤務表 (2)'!S24</f>
        <v/>
      </c>
      <c r="T25" s="26" t="str">
        <f>'[3]勤務表 (2)'!T24</f>
        <v/>
      </c>
      <c r="U25" s="26" t="str">
        <f>'[3]勤務表 (2)'!U24</f>
        <v/>
      </c>
      <c r="V25" s="26" t="str">
        <f>'[3]勤務表 (2)'!V24</f>
        <v>○</v>
      </c>
      <c r="W25" s="26" t="str">
        <f>'[3]勤務表 (2)'!W24</f>
        <v>●</v>
      </c>
      <c r="X25" s="26" t="str">
        <f>'[3]勤務表 (2)'!X24</f>
        <v/>
      </c>
      <c r="Y25" s="26" t="str">
        <f>'[3]勤務表 (2)'!Y24</f>
        <v/>
      </c>
      <c r="Z25" s="26" t="str">
        <f>'[3]勤務表 (2)'!Z24</f>
        <v/>
      </c>
      <c r="AA25" s="26" t="str">
        <f>'[3]勤務表 (2)'!AA24</f>
        <v/>
      </c>
      <c r="AB25" s="26" t="str">
        <f>'[3]勤務表 (2)'!AB24</f>
        <v/>
      </c>
      <c r="AC25" s="26" t="str">
        <f>'[3]勤務表 (2)'!AC24</f>
        <v>○</v>
      </c>
      <c r="AD25" s="26" t="str">
        <f>'[3]勤務表 (2)'!AD24</f>
        <v>●</v>
      </c>
      <c r="AE25" s="26" t="str">
        <f>'[3]勤務表 (2)'!AE24</f>
        <v/>
      </c>
      <c r="AF25" s="26" t="str">
        <f>'[3]勤務表 (2)'!AF24</f>
        <v/>
      </c>
      <c r="AG25" s="26" t="str">
        <f>'[3]勤務表 (2)'!AG24</f>
        <v/>
      </c>
      <c r="AH25" s="26" t="str">
        <f>'[3]勤務表 (2)'!AH24</f>
        <v/>
      </c>
      <c r="AJ25" s="12">
        <f>IF(D25&lt;&gt;勤務変更!D25,1,0)</f>
        <v>0</v>
      </c>
      <c r="AK25" s="12">
        <f>IF(E25&lt;&gt;勤務変更!E25,1,0)</f>
        <v>0</v>
      </c>
      <c r="AL25" s="12">
        <f>IF(F25&lt;&gt;勤務変更!F25,1,0)</f>
        <v>0</v>
      </c>
      <c r="AM25" s="12">
        <f>IF(G25&lt;&gt;勤務変更!G25,1,0)</f>
        <v>0</v>
      </c>
      <c r="AN25" s="12">
        <f>IF(H25&lt;&gt;勤務変更!H25,1,0)</f>
        <v>0</v>
      </c>
      <c r="AO25" s="12">
        <f>IF(I25&lt;&gt;勤務変更!I25,1,0)</f>
        <v>0</v>
      </c>
      <c r="AP25" s="12">
        <f>IF(J25&lt;&gt;勤務変更!J25,1,0)</f>
        <v>0</v>
      </c>
      <c r="AQ25" s="12">
        <f>IF(K25&lt;&gt;勤務変更!K25,1,0)</f>
        <v>0</v>
      </c>
      <c r="AR25" s="12">
        <f>IF(L25&lt;&gt;勤務変更!L25,1,0)</f>
        <v>0</v>
      </c>
      <c r="AS25" s="12">
        <f>IF(M25&lt;&gt;勤務変更!M25,1,0)</f>
        <v>0</v>
      </c>
      <c r="AT25" s="12">
        <f>IF(N25&lt;&gt;勤務変更!N25,1,0)</f>
        <v>0</v>
      </c>
      <c r="AU25" s="12">
        <f>IF(O25&lt;&gt;勤務変更!O25,1,0)</f>
        <v>0</v>
      </c>
      <c r="AV25" s="12">
        <f>IF(P25&lt;&gt;勤務変更!P25,1,0)</f>
        <v>0</v>
      </c>
      <c r="AW25" s="12">
        <f>IF(Q25&lt;&gt;勤務変更!Q25,1,0)</f>
        <v>0</v>
      </c>
      <c r="AX25" s="12">
        <f>IF(R25&lt;&gt;勤務変更!R25,1,0)</f>
        <v>0</v>
      </c>
      <c r="AY25" s="12">
        <f>IF(S25&lt;&gt;勤務変更!S25,1,0)</f>
        <v>0</v>
      </c>
      <c r="AZ25" s="12">
        <f>IF(T25&lt;&gt;勤務変更!T25,1,0)</f>
        <v>0</v>
      </c>
      <c r="BA25" s="12">
        <f>IF(U25&lt;&gt;勤務変更!U25,1,0)</f>
        <v>0</v>
      </c>
      <c r="BB25" s="12">
        <f>IF(V25&lt;&gt;勤務変更!V25,1,0)</f>
        <v>0</v>
      </c>
      <c r="BC25" s="12">
        <f>IF(W25&lt;&gt;勤務変更!W25,1,0)</f>
        <v>0</v>
      </c>
      <c r="BD25" s="12">
        <f>IF(X25&lt;&gt;勤務変更!X25,1,0)</f>
        <v>0</v>
      </c>
      <c r="BE25" s="12">
        <f>IF(Y25&lt;&gt;勤務変更!Y25,1,0)</f>
        <v>0</v>
      </c>
      <c r="BF25" s="12">
        <f>IF(Z25&lt;&gt;勤務変更!Z25,1,0)</f>
        <v>0</v>
      </c>
      <c r="BG25" s="12">
        <f>IF(AA25&lt;&gt;勤務変更!AA25,1,0)</f>
        <v>0</v>
      </c>
      <c r="BH25" s="12">
        <f>IF(AB25&lt;&gt;勤務変更!AB25,1,0)</f>
        <v>0</v>
      </c>
      <c r="BI25" s="12">
        <f>IF(AC25&lt;&gt;勤務変更!AC25,1,0)</f>
        <v>0</v>
      </c>
      <c r="BJ25" s="12">
        <f>IF(AD25&lt;&gt;勤務変更!AD25,1,0)</f>
        <v>0</v>
      </c>
      <c r="BK25" s="12">
        <f>IF(AE25&lt;&gt;勤務変更!AE25,1,0)</f>
        <v>0</v>
      </c>
      <c r="BL25" s="12">
        <f>IF(AF25&lt;&gt;勤務変更!AF25,1,0)</f>
        <v>0</v>
      </c>
      <c r="BM25" s="12">
        <f>IF(AG25&lt;&gt;勤務変更!AG25,1,0)</f>
        <v>0</v>
      </c>
      <c r="BN25" s="12">
        <f>IF(AH25&lt;&gt;勤務変更!AH25,1,0)</f>
        <v>0</v>
      </c>
      <c r="BO25" s="12">
        <f t="shared" si="1"/>
        <v>0</v>
      </c>
      <c r="BP25" s="12" t="str">
        <f>IF(BR25="","",COUNTA(BR$4:BR25)-COUNTBLANK(BR$4:BR25))</f>
        <v/>
      </c>
      <c r="BQ25" s="12" t="str">
        <f t="shared" si="2"/>
        <v/>
      </c>
      <c r="BR25" s="12" t="str">
        <f t="shared" si="3"/>
        <v/>
      </c>
    </row>
    <row r="26" spans="1:70" ht="13.15" customHeight="1" x14ac:dyDescent="0.2">
      <c r="A26" s="9">
        <f>'[3]勤務表 (2)'!A25</f>
        <v>23</v>
      </c>
      <c r="B26" s="9" t="str">
        <f>'[3]勤務表 (2)'!B25</f>
        <v>109272</v>
      </c>
      <c r="C26" s="74" t="str">
        <f>'[3]勤務表 (2)'!C25</f>
        <v>齊藤 久紘</v>
      </c>
      <c r="D26" s="26" t="str">
        <f>'[3]勤務表 (2)'!D25</f>
        <v/>
      </c>
      <c r="E26" s="26" t="str">
        <f>'[3]勤務表 (2)'!E25</f>
        <v/>
      </c>
      <c r="F26" s="26" t="str">
        <f>'[3]勤務表 (2)'!F25</f>
        <v/>
      </c>
      <c r="G26" s="26" t="str">
        <f>'[3]勤務表 (2)'!G25</f>
        <v/>
      </c>
      <c r="H26" s="26" t="str">
        <f>'[3]勤務表 (2)'!H25</f>
        <v>○</v>
      </c>
      <c r="I26" s="26" t="str">
        <f>'[3]勤務表 (2)'!I25</f>
        <v>●</v>
      </c>
      <c r="J26" s="26" t="str">
        <f>'[3]勤務表 (2)'!J25</f>
        <v/>
      </c>
      <c r="K26" s="26" t="str">
        <f>'[3]勤務表 (2)'!K25</f>
        <v/>
      </c>
      <c r="L26" s="26" t="str">
        <f>'[3]勤務表 (2)'!L25</f>
        <v/>
      </c>
      <c r="M26" s="26" t="str">
        <f>'[3]勤務表 (2)'!M25</f>
        <v/>
      </c>
      <c r="N26" s="26" t="str">
        <f>'[3]勤務表 (2)'!N25</f>
        <v/>
      </c>
      <c r="O26" s="26" t="str">
        <f>'[3]勤務表 (2)'!O25</f>
        <v>○</v>
      </c>
      <c r="P26" s="26" t="str">
        <f>'[3]勤務表 (2)'!P25</f>
        <v>●</v>
      </c>
      <c r="Q26" s="26" t="str">
        <f>'[3]勤務表 (2)'!Q25</f>
        <v/>
      </c>
      <c r="R26" s="26" t="str">
        <f>'[3]勤務表 (2)'!R25</f>
        <v/>
      </c>
      <c r="S26" s="26" t="str">
        <f>'[3]勤務表 (2)'!S25</f>
        <v/>
      </c>
      <c r="T26" s="26" t="str">
        <f>'[3]勤務表 (2)'!T25</f>
        <v/>
      </c>
      <c r="U26" s="26" t="str">
        <f>'[3]勤務表 (2)'!U25</f>
        <v/>
      </c>
      <c r="V26" s="26" t="str">
        <f>'[3]勤務表 (2)'!V25</f>
        <v>○</v>
      </c>
      <c r="W26" s="26" t="str">
        <f>'[3]勤務表 (2)'!W25</f>
        <v>●</v>
      </c>
      <c r="X26" s="26" t="str">
        <f>'[3]勤務表 (2)'!X25</f>
        <v/>
      </c>
      <c r="Y26" s="26" t="str">
        <f>'[3]勤務表 (2)'!Y25</f>
        <v/>
      </c>
      <c r="Z26" s="26" t="str">
        <f>'[3]勤務表 (2)'!Z25</f>
        <v/>
      </c>
      <c r="AA26" s="26" t="str">
        <f>'[3]勤務表 (2)'!AA25</f>
        <v/>
      </c>
      <c r="AB26" s="26" t="str">
        <f>'[3]勤務表 (2)'!AB25</f>
        <v/>
      </c>
      <c r="AC26" s="26" t="str">
        <f>'[3]勤務表 (2)'!AC25</f>
        <v>○</v>
      </c>
      <c r="AD26" s="26" t="str">
        <f>'[3]勤務表 (2)'!AD25</f>
        <v>●</v>
      </c>
      <c r="AE26" s="26" t="str">
        <f>'[3]勤務表 (2)'!AE25</f>
        <v/>
      </c>
      <c r="AF26" s="26" t="str">
        <f>'[3]勤務表 (2)'!AF25</f>
        <v/>
      </c>
      <c r="AG26" s="26" t="str">
        <f>'[3]勤務表 (2)'!AG25</f>
        <v/>
      </c>
      <c r="AH26" s="26" t="str">
        <f>'[3]勤務表 (2)'!AH25</f>
        <v/>
      </c>
      <c r="AJ26" s="12">
        <f>IF(D26&lt;&gt;勤務変更!D26,1,0)</f>
        <v>0</v>
      </c>
      <c r="AK26" s="12">
        <f>IF(E26&lt;&gt;勤務変更!E26,1,0)</f>
        <v>0</v>
      </c>
      <c r="AL26" s="12">
        <f>IF(F26&lt;&gt;勤務変更!F26,1,0)</f>
        <v>0</v>
      </c>
      <c r="AM26" s="12">
        <f>IF(G26&lt;&gt;勤務変更!G26,1,0)</f>
        <v>0</v>
      </c>
      <c r="AN26" s="12">
        <f>IF(H26&lt;&gt;勤務変更!H26,1,0)</f>
        <v>0</v>
      </c>
      <c r="AO26" s="12">
        <f>IF(I26&lt;&gt;勤務変更!I26,1,0)</f>
        <v>0</v>
      </c>
      <c r="AP26" s="12">
        <f>IF(J26&lt;&gt;勤務変更!J26,1,0)</f>
        <v>0</v>
      </c>
      <c r="AQ26" s="12">
        <f>IF(K26&lt;&gt;勤務変更!K26,1,0)</f>
        <v>0</v>
      </c>
      <c r="AR26" s="12">
        <f>IF(L26&lt;&gt;勤務変更!L26,1,0)</f>
        <v>0</v>
      </c>
      <c r="AS26" s="12">
        <f>IF(M26&lt;&gt;勤務変更!M26,1,0)</f>
        <v>0</v>
      </c>
      <c r="AT26" s="12">
        <f>IF(N26&lt;&gt;勤務変更!N26,1,0)</f>
        <v>0</v>
      </c>
      <c r="AU26" s="12">
        <f>IF(O26&lt;&gt;勤務変更!O26,1,0)</f>
        <v>0</v>
      </c>
      <c r="AV26" s="12">
        <f>IF(P26&lt;&gt;勤務変更!P26,1,0)</f>
        <v>0</v>
      </c>
      <c r="AW26" s="12">
        <f>IF(Q26&lt;&gt;勤務変更!Q26,1,0)</f>
        <v>0</v>
      </c>
      <c r="AX26" s="12">
        <f>IF(R26&lt;&gt;勤務変更!R26,1,0)</f>
        <v>0</v>
      </c>
      <c r="AY26" s="12">
        <f>IF(S26&lt;&gt;勤務変更!S26,1,0)</f>
        <v>0</v>
      </c>
      <c r="AZ26" s="12">
        <f>IF(T26&lt;&gt;勤務変更!T26,1,0)</f>
        <v>0</v>
      </c>
      <c r="BA26" s="12">
        <f>IF(U26&lt;&gt;勤務変更!U26,1,0)</f>
        <v>0</v>
      </c>
      <c r="BB26" s="12">
        <f>IF(V26&lt;&gt;勤務変更!V26,1,0)</f>
        <v>0</v>
      </c>
      <c r="BC26" s="12">
        <f>IF(W26&lt;&gt;勤務変更!W26,1,0)</f>
        <v>0</v>
      </c>
      <c r="BD26" s="12">
        <f>IF(X26&lt;&gt;勤務変更!X26,1,0)</f>
        <v>0</v>
      </c>
      <c r="BE26" s="12">
        <f>IF(Y26&lt;&gt;勤務変更!Y26,1,0)</f>
        <v>0</v>
      </c>
      <c r="BF26" s="12">
        <f>IF(Z26&lt;&gt;勤務変更!Z26,1,0)</f>
        <v>0</v>
      </c>
      <c r="BG26" s="12">
        <f>IF(AA26&lt;&gt;勤務変更!AA26,1,0)</f>
        <v>0</v>
      </c>
      <c r="BH26" s="12">
        <f>IF(AB26&lt;&gt;勤務変更!AB26,1,0)</f>
        <v>0</v>
      </c>
      <c r="BI26" s="12">
        <f>IF(AC26&lt;&gt;勤務変更!AC26,1,0)</f>
        <v>0</v>
      </c>
      <c r="BJ26" s="12">
        <f>IF(AD26&lt;&gt;勤務変更!AD26,1,0)</f>
        <v>0</v>
      </c>
      <c r="BK26" s="12">
        <f>IF(AE26&lt;&gt;勤務変更!AE26,1,0)</f>
        <v>0</v>
      </c>
      <c r="BL26" s="12">
        <f>IF(AF26&lt;&gt;勤務変更!AF26,1,0)</f>
        <v>0</v>
      </c>
      <c r="BM26" s="12">
        <f>IF(AG26&lt;&gt;勤務変更!AG26,1,0)</f>
        <v>0</v>
      </c>
      <c r="BN26" s="12">
        <f>IF(AH26&lt;&gt;勤務変更!AH26,1,0)</f>
        <v>0</v>
      </c>
      <c r="BO26" s="12">
        <f t="shared" si="1"/>
        <v>0</v>
      </c>
      <c r="BP26" s="12" t="str">
        <f>IF(BR26="","",COUNTA(BR$4:BR26)-COUNTBLANK(BR$4:BR26))</f>
        <v/>
      </c>
      <c r="BQ26" s="12" t="str">
        <f t="shared" si="2"/>
        <v/>
      </c>
      <c r="BR26" s="12" t="str">
        <f t="shared" si="3"/>
        <v/>
      </c>
    </row>
    <row r="27" spans="1:70" ht="13.15" customHeight="1" x14ac:dyDescent="0.2">
      <c r="A27" s="9">
        <f>'[3]勤務表 (2)'!A26</f>
        <v>24</v>
      </c>
      <c r="B27" s="9" t="str">
        <f>'[3]勤務表 (2)'!B26</f>
        <v>112499</v>
      </c>
      <c r="C27" s="74" t="str">
        <f>'[3]勤務表 (2)'!C26</f>
        <v>佐藤 恵梨子</v>
      </c>
      <c r="D27" s="26" t="str">
        <f>'[3]勤務表 (2)'!D26</f>
        <v/>
      </c>
      <c r="E27" s="26" t="str">
        <f>'[3]勤務表 (2)'!E26</f>
        <v/>
      </c>
      <c r="F27" s="26" t="str">
        <f>'[3]勤務表 (2)'!F26</f>
        <v/>
      </c>
      <c r="G27" s="26" t="str">
        <f>'[3]勤務表 (2)'!G26</f>
        <v/>
      </c>
      <c r="H27" s="26" t="str">
        <f>'[3]勤務表 (2)'!H26</f>
        <v>／</v>
      </c>
      <c r="I27" s="26" t="str">
        <f>'[3]勤務表 (2)'!I26</f>
        <v>●</v>
      </c>
      <c r="J27" s="26" t="str">
        <f>'[3]勤務表 (2)'!J26</f>
        <v/>
      </c>
      <c r="K27" s="26" t="str">
        <f>'[3]勤務表 (2)'!K26</f>
        <v/>
      </c>
      <c r="L27" s="26" t="str">
        <f>'[3]勤務表 (2)'!L26</f>
        <v>当</v>
      </c>
      <c r="M27" s="26" t="str">
        <f>'[3]勤務表 (2)'!M26</f>
        <v>明</v>
      </c>
      <c r="N27" s="26" t="str">
        <f>'[3]勤務表 (2)'!N26</f>
        <v/>
      </c>
      <c r="O27" s="26" t="str">
        <f>'[3]勤務表 (2)'!O26</f>
        <v>○</v>
      </c>
      <c r="P27" s="26" t="str">
        <f>'[3]勤務表 (2)'!P26</f>
        <v>●</v>
      </c>
      <c r="Q27" s="26" t="str">
        <f>'[3]勤務表 (2)'!Q26</f>
        <v/>
      </c>
      <c r="R27" s="26" t="str">
        <f>'[3]勤務表 (2)'!R26</f>
        <v/>
      </c>
      <c r="S27" s="26" t="str">
        <f>'[3]勤務表 (2)'!S26</f>
        <v>当</v>
      </c>
      <c r="T27" s="26" t="str">
        <f>'[3]勤務表 (2)'!T26</f>
        <v>明</v>
      </c>
      <c r="U27" s="26" t="str">
        <f>'[3]勤務表 (2)'!U26</f>
        <v/>
      </c>
      <c r="V27" s="26" t="str">
        <f>'[3]勤務表 (2)'!V26</f>
        <v>／</v>
      </c>
      <c r="W27" s="26" t="str">
        <f>'[3]勤務表 (2)'!W26</f>
        <v>●</v>
      </c>
      <c r="X27" s="26" t="str">
        <f>'[3]勤務表 (2)'!X26</f>
        <v/>
      </c>
      <c r="Y27" s="26" t="str">
        <f>'[3]勤務表 (2)'!Y26</f>
        <v/>
      </c>
      <c r="Z27" s="26" t="str">
        <f>'[3]勤務表 (2)'!Z26</f>
        <v/>
      </c>
      <c r="AA27" s="26" t="str">
        <f>'[3]勤務表 (2)'!AA26</f>
        <v/>
      </c>
      <c r="AB27" s="26" t="str">
        <f>'[3]勤務表 (2)'!AB26</f>
        <v/>
      </c>
      <c r="AC27" s="26" t="str">
        <f>'[3]勤務表 (2)'!AC26</f>
        <v>○</v>
      </c>
      <c r="AD27" s="26" t="str">
        <f>'[3]勤務表 (2)'!AD26</f>
        <v>当</v>
      </c>
      <c r="AE27" s="26" t="str">
        <f>'[3]勤務表 (2)'!AE26</f>
        <v>明</v>
      </c>
      <c r="AF27" s="26" t="str">
        <f>'[3]勤務表 (2)'!AF26</f>
        <v>●</v>
      </c>
      <c r="AG27" s="26" t="str">
        <f>'[3]勤務表 (2)'!AG26</f>
        <v/>
      </c>
      <c r="AH27" s="26" t="str">
        <f>'[3]勤務表 (2)'!AH26</f>
        <v/>
      </c>
      <c r="AJ27" s="12">
        <f>IF(D27&lt;&gt;勤務変更!D27,1,0)</f>
        <v>0</v>
      </c>
      <c r="AK27" s="12">
        <f>IF(E27&lt;&gt;勤務変更!E27,1,0)</f>
        <v>0</v>
      </c>
      <c r="AL27" s="12">
        <f>IF(F27&lt;&gt;勤務変更!F27,1,0)</f>
        <v>0</v>
      </c>
      <c r="AM27" s="12">
        <f>IF(G27&lt;&gt;勤務変更!G27,1,0)</f>
        <v>0</v>
      </c>
      <c r="AN27" s="12">
        <f>IF(H27&lt;&gt;勤務変更!H27,1,0)</f>
        <v>0</v>
      </c>
      <c r="AO27" s="12">
        <f>IF(I27&lt;&gt;勤務変更!I27,1,0)</f>
        <v>0</v>
      </c>
      <c r="AP27" s="12">
        <f>IF(J27&lt;&gt;勤務変更!J27,1,0)</f>
        <v>0</v>
      </c>
      <c r="AQ27" s="12">
        <f>IF(K27&lt;&gt;勤務変更!K27,1,0)</f>
        <v>0</v>
      </c>
      <c r="AR27" s="12">
        <f>IF(L27&lt;&gt;勤務変更!L27,1,0)</f>
        <v>0</v>
      </c>
      <c r="AS27" s="12">
        <f>IF(M27&lt;&gt;勤務変更!M27,1,0)</f>
        <v>0</v>
      </c>
      <c r="AT27" s="12">
        <f>IF(N27&lt;&gt;勤務変更!N27,1,0)</f>
        <v>0</v>
      </c>
      <c r="AU27" s="12">
        <f>IF(O27&lt;&gt;勤務変更!O27,1,0)</f>
        <v>0</v>
      </c>
      <c r="AV27" s="12">
        <f>IF(P27&lt;&gt;勤務変更!P27,1,0)</f>
        <v>0</v>
      </c>
      <c r="AW27" s="12">
        <f>IF(Q27&lt;&gt;勤務変更!Q27,1,0)</f>
        <v>0</v>
      </c>
      <c r="AX27" s="12">
        <f>IF(R27&lt;&gt;勤務変更!R27,1,0)</f>
        <v>0</v>
      </c>
      <c r="AY27" s="12">
        <f>IF(S27&lt;&gt;勤務変更!S27,1,0)</f>
        <v>0</v>
      </c>
      <c r="AZ27" s="12">
        <f>IF(T27&lt;&gt;勤務変更!T27,1,0)</f>
        <v>0</v>
      </c>
      <c r="BA27" s="12">
        <f>IF(U27&lt;&gt;勤務変更!U27,1,0)</f>
        <v>0</v>
      </c>
      <c r="BB27" s="12">
        <f>IF(V27&lt;&gt;勤務変更!V27,1,0)</f>
        <v>0</v>
      </c>
      <c r="BC27" s="12">
        <f>IF(W27&lt;&gt;勤務変更!W27,1,0)</f>
        <v>0</v>
      </c>
      <c r="BD27" s="12">
        <f>IF(X27&lt;&gt;勤務変更!X27,1,0)</f>
        <v>0</v>
      </c>
      <c r="BE27" s="12">
        <f>IF(Y27&lt;&gt;勤務変更!Y27,1,0)</f>
        <v>0</v>
      </c>
      <c r="BF27" s="12">
        <f>IF(Z27&lt;&gt;勤務変更!Z27,1,0)</f>
        <v>0</v>
      </c>
      <c r="BG27" s="12">
        <f>IF(AA27&lt;&gt;勤務変更!AA27,1,0)</f>
        <v>0</v>
      </c>
      <c r="BH27" s="12">
        <f>IF(AB27&lt;&gt;勤務変更!AB27,1,0)</f>
        <v>0</v>
      </c>
      <c r="BI27" s="12">
        <f>IF(AC27&lt;&gt;勤務変更!AC27,1,0)</f>
        <v>0</v>
      </c>
      <c r="BJ27" s="12">
        <f>IF(AD27&lt;&gt;勤務変更!AD27,1,0)</f>
        <v>0</v>
      </c>
      <c r="BK27" s="12">
        <f>IF(AE27&lt;&gt;勤務変更!AE27,1,0)</f>
        <v>0</v>
      </c>
      <c r="BL27" s="12">
        <f>IF(AF27&lt;&gt;勤務変更!AF27,1,0)</f>
        <v>0</v>
      </c>
      <c r="BM27" s="12">
        <f>IF(AG27&lt;&gt;勤務変更!AG27,1,0)</f>
        <v>0</v>
      </c>
      <c r="BN27" s="12">
        <f>IF(AH27&lt;&gt;勤務変更!AH27,1,0)</f>
        <v>0</v>
      </c>
      <c r="BO27" s="12">
        <f t="shared" si="1"/>
        <v>0</v>
      </c>
      <c r="BP27" s="12" t="str">
        <f>IF(BR27="","",COUNTA(BR$4:BR27)-COUNTBLANK(BR$4:BR27))</f>
        <v/>
      </c>
      <c r="BQ27" s="12" t="str">
        <f t="shared" si="2"/>
        <v/>
      </c>
      <c r="BR27" s="12" t="str">
        <f t="shared" si="3"/>
        <v/>
      </c>
    </row>
    <row r="28" spans="1:70" ht="13.15" customHeight="1" x14ac:dyDescent="0.2">
      <c r="A28" s="9">
        <f>'[3]勤務表 (2)'!A27</f>
        <v>25</v>
      </c>
      <c r="B28" s="9" t="str">
        <f>'[3]勤務表 (2)'!B27</f>
        <v>114863</v>
      </c>
      <c r="C28" s="74" t="str">
        <f>'[3]勤務表 (2)'!C27</f>
        <v>加藤 靖博</v>
      </c>
      <c r="D28" s="26" t="str">
        <f>'[3]勤務表 (2)'!D27</f>
        <v/>
      </c>
      <c r="E28" s="26" t="str">
        <f>'[3]勤務表 (2)'!E27</f>
        <v>当</v>
      </c>
      <c r="F28" s="26" t="str">
        <f>'[3]勤務表 (2)'!F27</f>
        <v>明</v>
      </c>
      <c r="G28" s="26" t="str">
        <f>'[3]勤務表 (2)'!G27</f>
        <v/>
      </c>
      <c r="H28" s="26" t="str">
        <f>'[3]勤務表 (2)'!H27</f>
        <v>○</v>
      </c>
      <c r="I28" s="26" t="str">
        <f>'[3]勤務表 (2)'!I27</f>
        <v>●</v>
      </c>
      <c r="J28" s="26" t="str">
        <f>'[3]勤務表 (2)'!J27</f>
        <v/>
      </c>
      <c r="K28" s="26" t="str">
        <f>'[3]勤務表 (2)'!K27</f>
        <v/>
      </c>
      <c r="L28" s="26" t="str">
        <f>'[3]勤務表 (2)'!L27</f>
        <v/>
      </c>
      <c r="M28" s="26" t="str">
        <f>'[3]勤務表 (2)'!M27</f>
        <v/>
      </c>
      <c r="N28" s="26" t="str">
        <f>'[3]勤務表 (2)'!N27</f>
        <v/>
      </c>
      <c r="O28" s="26" t="str">
        <f>'[3]勤務表 (2)'!O27</f>
        <v>／</v>
      </c>
      <c r="P28" s="26" t="str">
        <f>'[3]勤務表 (2)'!P27</f>
        <v>●</v>
      </c>
      <c r="Q28" s="26" t="str">
        <f>'[3]勤務表 (2)'!Q27</f>
        <v>当</v>
      </c>
      <c r="R28" s="26" t="str">
        <f>'[3]勤務表 (2)'!R27</f>
        <v>明</v>
      </c>
      <c r="S28" s="26" t="str">
        <f>'[3]勤務表 (2)'!S27</f>
        <v/>
      </c>
      <c r="T28" s="26" t="str">
        <f>'[3]勤務表 (2)'!T27</f>
        <v/>
      </c>
      <c r="U28" s="26" t="str">
        <f>'[3]勤務表 (2)'!U27</f>
        <v/>
      </c>
      <c r="V28" s="26" t="str">
        <f>'[3]勤務表 (2)'!V27</f>
        <v>○</v>
      </c>
      <c r="W28" s="26" t="str">
        <f>'[3]勤務表 (2)'!W27</f>
        <v>●</v>
      </c>
      <c r="X28" s="26" t="str">
        <f>'[3]勤務表 (2)'!X27</f>
        <v/>
      </c>
      <c r="Y28" s="26" t="str">
        <f>'[3]勤務表 (2)'!Y27</f>
        <v/>
      </c>
      <c r="Z28" s="26" t="str">
        <f>'[3]勤務表 (2)'!Z27</f>
        <v/>
      </c>
      <c r="AA28" s="26" t="str">
        <f>'[3]勤務表 (2)'!AA27</f>
        <v>当</v>
      </c>
      <c r="AB28" s="26" t="str">
        <f>'[3]勤務表 (2)'!AB27</f>
        <v>明</v>
      </c>
      <c r="AC28" s="26" t="str">
        <f>'[3]勤務表 (2)'!AC27</f>
        <v>／</v>
      </c>
      <c r="AD28" s="26" t="str">
        <f>'[3]勤務表 (2)'!AD27</f>
        <v>●</v>
      </c>
      <c r="AE28" s="26" t="str">
        <f>'[3]勤務表 (2)'!AE27</f>
        <v/>
      </c>
      <c r="AF28" s="26" t="str">
        <f>'[3]勤務表 (2)'!AF27</f>
        <v/>
      </c>
      <c r="AG28" s="26" t="str">
        <f>'[3]勤務表 (2)'!AG27</f>
        <v/>
      </c>
      <c r="AH28" s="26" t="str">
        <f>'[3]勤務表 (2)'!AH27</f>
        <v/>
      </c>
      <c r="AJ28" s="12">
        <f>IF(D28&lt;&gt;勤務変更!D28,1,0)</f>
        <v>0</v>
      </c>
      <c r="AK28" s="12">
        <f>IF(E28&lt;&gt;勤務変更!E28,1,0)</f>
        <v>0</v>
      </c>
      <c r="AL28" s="12">
        <f>IF(F28&lt;&gt;勤務変更!F28,1,0)</f>
        <v>0</v>
      </c>
      <c r="AM28" s="12">
        <f>IF(G28&lt;&gt;勤務変更!G28,1,0)</f>
        <v>0</v>
      </c>
      <c r="AN28" s="12">
        <f>IF(H28&lt;&gt;勤務変更!H28,1,0)</f>
        <v>0</v>
      </c>
      <c r="AO28" s="12">
        <f>IF(I28&lt;&gt;勤務変更!I28,1,0)</f>
        <v>0</v>
      </c>
      <c r="AP28" s="12">
        <f>IF(J28&lt;&gt;勤務変更!J28,1,0)</f>
        <v>0</v>
      </c>
      <c r="AQ28" s="12">
        <f>IF(K28&lt;&gt;勤務変更!K28,1,0)</f>
        <v>0</v>
      </c>
      <c r="AR28" s="12">
        <f>IF(L28&lt;&gt;勤務変更!L28,1,0)</f>
        <v>0</v>
      </c>
      <c r="AS28" s="12">
        <f>IF(M28&lt;&gt;勤務変更!M28,1,0)</f>
        <v>0</v>
      </c>
      <c r="AT28" s="12">
        <f>IF(N28&lt;&gt;勤務変更!N28,1,0)</f>
        <v>0</v>
      </c>
      <c r="AU28" s="12">
        <f>IF(O28&lt;&gt;勤務変更!O28,1,0)</f>
        <v>0</v>
      </c>
      <c r="AV28" s="12">
        <f>IF(P28&lt;&gt;勤務変更!P28,1,0)</f>
        <v>0</v>
      </c>
      <c r="AW28" s="12">
        <f>IF(Q28&lt;&gt;勤務変更!Q28,1,0)</f>
        <v>0</v>
      </c>
      <c r="AX28" s="12">
        <f>IF(R28&lt;&gt;勤務変更!R28,1,0)</f>
        <v>0</v>
      </c>
      <c r="AY28" s="12">
        <f>IF(S28&lt;&gt;勤務変更!S28,1,0)</f>
        <v>0</v>
      </c>
      <c r="AZ28" s="12">
        <f>IF(T28&lt;&gt;勤務変更!T28,1,0)</f>
        <v>0</v>
      </c>
      <c r="BA28" s="12">
        <f>IF(U28&lt;&gt;勤務変更!U28,1,0)</f>
        <v>0</v>
      </c>
      <c r="BB28" s="12">
        <f>IF(V28&lt;&gt;勤務変更!V28,1,0)</f>
        <v>0</v>
      </c>
      <c r="BC28" s="12">
        <f>IF(W28&lt;&gt;勤務変更!W28,1,0)</f>
        <v>0</v>
      </c>
      <c r="BD28" s="12">
        <f>IF(X28&lt;&gt;勤務変更!X28,1,0)</f>
        <v>0</v>
      </c>
      <c r="BE28" s="12">
        <f>IF(Y28&lt;&gt;勤務変更!Y28,1,0)</f>
        <v>0</v>
      </c>
      <c r="BF28" s="12">
        <f>IF(Z28&lt;&gt;勤務変更!Z28,1,0)</f>
        <v>0</v>
      </c>
      <c r="BG28" s="12">
        <f>IF(AA28&lt;&gt;勤務変更!AA28,1,0)</f>
        <v>0</v>
      </c>
      <c r="BH28" s="12">
        <f>IF(AB28&lt;&gt;勤務変更!AB28,1,0)</f>
        <v>0</v>
      </c>
      <c r="BI28" s="12">
        <f>IF(AC28&lt;&gt;勤務変更!AC28,1,0)</f>
        <v>0</v>
      </c>
      <c r="BJ28" s="12">
        <f>IF(AD28&lt;&gt;勤務変更!AD28,1,0)</f>
        <v>0</v>
      </c>
      <c r="BK28" s="12">
        <f>IF(AE28&lt;&gt;勤務変更!AE28,1,0)</f>
        <v>0</v>
      </c>
      <c r="BL28" s="12">
        <f>IF(AF28&lt;&gt;勤務変更!AF28,1,0)</f>
        <v>0</v>
      </c>
      <c r="BM28" s="12">
        <f>IF(AG28&lt;&gt;勤務変更!AG28,1,0)</f>
        <v>0</v>
      </c>
      <c r="BN28" s="12">
        <f>IF(AH28&lt;&gt;勤務変更!AH28,1,0)</f>
        <v>0</v>
      </c>
      <c r="BO28" s="12">
        <f t="shared" si="1"/>
        <v>0</v>
      </c>
      <c r="BP28" s="12" t="str">
        <f>IF(BR28="","",COUNTA(BR$4:BR28)-COUNTBLANK(BR$4:BR28))</f>
        <v/>
      </c>
      <c r="BQ28" s="12" t="str">
        <f t="shared" si="2"/>
        <v/>
      </c>
      <c r="BR28" s="12" t="str">
        <f t="shared" si="3"/>
        <v/>
      </c>
    </row>
    <row r="29" spans="1:70" ht="13.15" customHeight="1" x14ac:dyDescent="0.2">
      <c r="A29" s="9">
        <f>'[3]勤務表 (2)'!A28</f>
        <v>26</v>
      </c>
      <c r="B29" s="9" t="str">
        <f>'[3]勤務表 (2)'!B28</f>
        <v>118857</v>
      </c>
      <c r="C29" s="74" t="str">
        <f>'[3]勤務表 (2)'!C28</f>
        <v>小川 穂波</v>
      </c>
      <c r="D29" s="26" t="str">
        <f>'[3]勤務表 (2)'!D28</f>
        <v/>
      </c>
      <c r="E29" s="26" t="str">
        <f>'[3]勤務表 (2)'!E28</f>
        <v/>
      </c>
      <c r="F29" s="26" t="str">
        <f>'[3]勤務表 (2)'!F28</f>
        <v/>
      </c>
      <c r="G29" s="26" t="str">
        <f>'[3]勤務表 (2)'!G28</f>
        <v/>
      </c>
      <c r="H29" s="26" t="str">
        <f>'[3]勤務表 (2)'!H28</f>
        <v>／</v>
      </c>
      <c r="I29" s="26" t="str">
        <f>'[3]勤務表 (2)'!I28</f>
        <v>●</v>
      </c>
      <c r="J29" s="26" t="str">
        <f>'[3]勤務表 (2)'!J28</f>
        <v/>
      </c>
      <c r="K29" s="26" t="str">
        <f>'[3]勤務表 (2)'!K28</f>
        <v/>
      </c>
      <c r="L29" s="26" t="str">
        <f>'[3]勤務表 (2)'!L28</f>
        <v/>
      </c>
      <c r="M29" s="26" t="str">
        <f>'[3]勤務表 (2)'!M28</f>
        <v/>
      </c>
      <c r="N29" s="26" t="str">
        <f>'[3]勤務表 (2)'!N28</f>
        <v/>
      </c>
      <c r="O29" s="26" t="str">
        <f>'[3]勤務表 (2)'!O28</f>
        <v>○</v>
      </c>
      <c r="P29" s="26" t="str">
        <f>'[3]勤務表 (2)'!P28</f>
        <v>●</v>
      </c>
      <c r="Q29" s="26" t="str">
        <f>'[3]勤務表 (2)'!Q28</f>
        <v/>
      </c>
      <c r="R29" s="26" t="str">
        <f>'[3]勤務表 (2)'!R28</f>
        <v>当</v>
      </c>
      <c r="S29" s="26" t="str">
        <f>'[3]勤務表 (2)'!S28</f>
        <v>明</v>
      </c>
      <c r="T29" s="26" t="str">
        <f>'[3]勤務表 (2)'!T28</f>
        <v/>
      </c>
      <c r="U29" s="26" t="str">
        <f>'[3]勤務表 (2)'!U28</f>
        <v/>
      </c>
      <c r="V29" s="26" t="str">
        <f>'[3]勤務表 (2)'!V28</f>
        <v>／</v>
      </c>
      <c r="W29" s="26" t="str">
        <f>'[3]勤務表 (2)'!W28</f>
        <v>●</v>
      </c>
      <c r="X29" s="26" t="str">
        <f>'[3]勤務表 (2)'!X28</f>
        <v/>
      </c>
      <c r="Y29" s="26" t="str">
        <f>'[3]勤務表 (2)'!Y28</f>
        <v/>
      </c>
      <c r="Z29" s="26" t="str">
        <f>'[3]勤務表 (2)'!Z28</f>
        <v/>
      </c>
      <c r="AA29" s="26" t="str">
        <f>'[3]勤務表 (2)'!AA28</f>
        <v/>
      </c>
      <c r="AB29" s="26" t="str">
        <f>'[3]勤務表 (2)'!AB28</f>
        <v/>
      </c>
      <c r="AC29" s="26" t="str">
        <f>'[3]勤務表 (2)'!AC28</f>
        <v>○</v>
      </c>
      <c r="AD29" s="26" t="str">
        <f>'[3]勤務表 (2)'!AD28</f>
        <v>●</v>
      </c>
      <c r="AE29" s="26" t="str">
        <f>'[3]勤務表 (2)'!AE28</f>
        <v>当</v>
      </c>
      <c r="AF29" s="26" t="str">
        <f>'[3]勤務表 (2)'!AF28</f>
        <v>明</v>
      </c>
      <c r="AG29" s="26" t="str">
        <f>'[3]勤務表 (2)'!AG28</f>
        <v/>
      </c>
      <c r="AH29" s="26" t="str">
        <f>'[3]勤務表 (2)'!AH28</f>
        <v/>
      </c>
      <c r="AJ29" s="12">
        <f>IF(D29&lt;&gt;勤務変更!D29,1,0)</f>
        <v>0</v>
      </c>
      <c r="AK29" s="12">
        <f>IF(E29&lt;&gt;勤務変更!E29,1,0)</f>
        <v>0</v>
      </c>
      <c r="AL29" s="12">
        <f>IF(F29&lt;&gt;勤務変更!F29,1,0)</f>
        <v>0</v>
      </c>
      <c r="AM29" s="12">
        <f>IF(G29&lt;&gt;勤務変更!G29,1,0)</f>
        <v>0</v>
      </c>
      <c r="AN29" s="12">
        <f>IF(H29&lt;&gt;勤務変更!H29,1,0)</f>
        <v>0</v>
      </c>
      <c r="AO29" s="12">
        <f>IF(I29&lt;&gt;勤務変更!I29,1,0)</f>
        <v>0</v>
      </c>
      <c r="AP29" s="12">
        <f>IF(J29&lt;&gt;勤務変更!J29,1,0)</f>
        <v>0</v>
      </c>
      <c r="AQ29" s="12">
        <f>IF(K29&lt;&gt;勤務変更!K29,1,0)</f>
        <v>0</v>
      </c>
      <c r="AR29" s="12">
        <f>IF(L29&lt;&gt;勤務変更!L29,1,0)</f>
        <v>0</v>
      </c>
      <c r="AS29" s="12">
        <f>IF(M29&lt;&gt;勤務変更!M29,1,0)</f>
        <v>0</v>
      </c>
      <c r="AT29" s="12">
        <f>IF(N29&lt;&gt;勤務変更!N29,1,0)</f>
        <v>0</v>
      </c>
      <c r="AU29" s="12">
        <f>IF(O29&lt;&gt;勤務変更!O29,1,0)</f>
        <v>0</v>
      </c>
      <c r="AV29" s="12">
        <f>IF(P29&lt;&gt;勤務変更!P29,1,0)</f>
        <v>0</v>
      </c>
      <c r="AW29" s="12">
        <f>IF(Q29&lt;&gt;勤務変更!Q29,1,0)</f>
        <v>0</v>
      </c>
      <c r="AX29" s="12">
        <f>IF(R29&lt;&gt;勤務変更!R29,1,0)</f>
        <v>0</v>
      </c>
      <c r="AY29" s="12">
        <f>IF(S29&lt;&gt;勤務変更!S29,1,0)</f>
        <v>0</v>
      </c>
      <c r="AZ29" s="12">
        <f>IF(T29&lt;&gt;勤務変更!T29,1,0)</f>
        <v>0</v>
      </c>
      <c r="BA29" s="12">
        <f>IF(U29&lt;&gt;勤務変更!U29,1,0)</f>
        <v>0</v>
      </c>
      <c r="BB29" s="12">
        <f>IF(V29&lt;&gt;勤務変更!V29,1,0)</f>
        <v>0</v>
      </c>
      <c r="BC29" s="12">
        <f>IF(W29&lt;&gt;勤務変更!W29,1,0)</f>
        <v>0</v>
      </c>
      <c r="BD29" s="12">
        <f>IF(X29&lt;&gt;勤務変更!X29,1,0)</f>
        <v>0</v>
      </c>
      <c r="BE29" s="12">
        <f>IF(Y29&lt;&gt;勤務変更!Y29,1,0)</f>
        <v>0</v>
      </c>
      <c r="BF29" s="12">
        <f>IF(Z29&lt;&gt;勤務変更!Z29,1,0)</f>
        <v>0</v>
      </c>
      <c r="BG29" s="12">
        <f>IF(AA29&lt;&gt;勤務変更!AA29,1,0)</f>
        <v>0</v>
      </c>
      <c r="BH29" s="12">
        <f>IF(AB29&lt;&gt;勤務変更!AB29,1,0)</f>
        <v>0</v>
      </c>
      <c r="BI29" s="12">
        <f>IF(AC29&lt;&gt;勤務変更!AC29,1,0)</f>
        <v>0</v>
      </c>
      <c r="BJ29" s="12">
        <f>IF(AD29&lt;&gt;勤務変更!AD29,1,0)</f>
        <v>0</v>
      </c>
      <c r="BK29" s="12">
        <f>IF(AE29&lt;&gt;勤務変更!AE29,1,0)</f>
        <v>0</v>
      </c>
      <c r="BL29" s="12">
        <f>IF(AF29&lt;&gt;勤務変更!AF29,1,0)</f>
        <v>0</v>
      </c>
      <c r="BM29" s="12">
        <f>IF(AG29&lt;&gt;勤務変更!AG29,1,0)</f>
        <v>0</v>
      </c>
      <c r="BN29" s="12">
        <f>IF(AH29&lt;&gt;勤務変更!AH29,1,0)</f>
        <v>0</v>
      </c>
      <c r="BO29" s="12">
        <f t="shared" si="1"/>
        <v>0</v>
      </c>
      <c r="BP29" s="12" t="str">
        <f>IF(BR29="","",COUNTA(BR$4:BR29)-COUNTBLANK(BR$4:BR29))</f>
        <v/>
      </c>
      <c r="BQ29" s="12" t="str">
        <f t="shared" si="2"/>
        <v/>
      </c>
      <c r="BR29" s="12" t="str">
        <f t="shared" si="3"/>
        <v/>
      </c>
    </row>
    <row r="30" spans="1:70" ht="13.15" customHeight="1" x14ac:dyDescent="0.2">
      <c r="A30" s="9">
        <f>'[3]勤務表 (2)'!A29</f>
        <v>27</v>
      </c>
      <c r="B30" s="9" t="str">
        <f>'[3]勤務表 (2)'!B29</f>
        <v>118869</v>
      </c>
      <c r="C30" s="74" t="str">
        <f>'[3]勤務表 (2)'!C29</f>
        <v>薬司 康平</v>
      </c>
      <c r="D30" s="26" t="str">
        <f>'[3]勤務表 (2)'!D29</f>
        <v/>
      </c>
      <c r="E30" s="26" t="str">
        <f>'[3]勤務表 (2)'!E29</f>
        <v>当</v>
      </c>
      <c r="F30" s="26" t="str">
        <f>'[3]勤務表 (2)'!F29</f>
        <v>明</v>
      </c>
      <c r="G30" s="26" t="str">
        <f>'[3]勤務表 (2)'!G29</f>
        <v/>
      </c>
      <c r="H30" s="26" t="str">
        <f>'[3]勤務表 (2)'!H29</f>
        <v>○</v>
      </c>
      <c r="I30" s="26" t="str">
        <f>'[3]勤務表 (2)'!I29</f>
        <v>●</v>
      </c>
      <c r="J30" s="26" t="str">
        <f>'[3]勤務表 (2)'!J29</f>
        <v/>
      </c>
      <c r="K30" s="26" t="str">
        <f>'[3]勤務表 (2)'!K29</f>
        <v/>
      </c>
      <c r="L30" s="26" t="str">
        <f>'[3]勤務表 (2)'!L29</f>
        <v/>
      </c>
      <c r="M30" s="26" t="str">
        <f>'[3]勤務表 (2)'!M29</f>
        <v/>
      </c>
      <c r="N30" s="26" t="str">
        <f>'[3]勤務表 (2)'!N29</f>
        <v/>
      </c>
      <c r="O30" s="26" t="str">
        <f>'[3]勤務表 (2)'!O29</f>
        <v>／</v>
      </c>
      <c r="P30" s="26" t="str">
        <f>'[3]勤務表 (2)'!P29</f>
        <v>●</v>
      </c>
      <c r="Q30" s="26" t="str">
        <f>'[3]勤務表 (2)'!Q29</f>
        <v/>
      </c>
      <c r="R30" s="26" t="str">
        <f>'[3]勤務表 (2)'!R29</f>
        <v/>
      </c>
      <c r="S30" s="26" t="str">
        <f>'[3]勤務表 (2)'!S29</f>
        <v>当</v>
      </c>
      <c r="T30" s="26" t="str">
        <f>'[3]勤務表 (2)'!T29</f>
        <v>明</v>
      </c>
      <c r="U30" s="26" t="str">
        <f>'[3]勤務表 (2)'!U29</f>
        <v/>
      </c>
      <c r="V30" s="26" t="str">
        <f>'[3]勤務表 (2)'!V29</f>
        <v>○</v>
      </c>
      <c r="W30" s="26" t="str">
        <f>'[3]勤務表 (2)'!W29</f>
        <v>●</v>
      </c>
      <c r="X30" s="26" t="str">
        <f>'[3]勤務表 (2)'!X29</f>
        <v/>
      </c>
      <c r="Y30" s="26" t="str">
        <f>'[3]勤務表 (2)'!Y29</f>
        <v/>
      </c>
      <c r="Z30" s="26" t="str">
        <f>'[3]勤務表 (2)'!Z29</f>
        <v/>
      </c>
      <c r="AA30" s="26" t="str">
        <f>'[3]勤務表 (2)'!AA29</f>
        <v/>
      </c>
      <c r="AB30" s="26" t="str">
        <f>'[3]勤務表 (2)'!AB29</f>
        <v/>
      </c>
      <c r="AC30" s="26" t="str">
        <f>'[3]勤務表 (2)'!AC29</f>
        <v>／</v>
      </c>
      <c r="AD30" s="26" t="str">
        <f>'[3]勤務表 (2)'!AD29</f>
        <v>●</v>
      </c>
      <c r="AE30" s="26" t="str">
        <f>'[3]勤務表 (2)'!AE29</f>
        <v/>
      </c>
      <c r="AF30" s="26" t="str">
        <f>'[3]勤務表 (2)'!AF29</f>
        <v/>
      </c>
      <c r="AG30" s="26" t="str">
        <f>'[3]勤務表 (2)'!AG29</f>
        <v/>
      </c>
      <c r="AH30" s="26" t="str">
        <f>'[3]勤務表 (2)'!AH29</f>
        <v/>
      </c>
      <c r="AJ30" s="12">
        <f>IF(D30&lt;&gt;勤務変更!D30,1,0)</f>
        <v>0</v>
      </c>
      <c r="AK30" s="12">
        <f>IF(E30&lt;&gt;勤務変更!E30,1,0)</f>
        <v>0</v>
      </c>
      <c r="AL30" s="12">
        <f>IF(F30&lt;&gt;勤務変更!F30,1,0)</f>
        <v>0</v>
      </c>
      <c r="AM30" s="12">
        <f>IF(G30&lt;&gt;勤務変更!G30,1,0)</f>
        <v>0</v>
      </c>
      <c r="AN30" s="12">
        <f>IF(H30&lt;&gt;勤務変更!H30,1,0)</f>
        <v>0</v>
      </c>
      <c r="AO30" s="12">
        <f>IF(I30&lt;&gt;勤務変更!I30,1,0)</f>
        <v>0</v>
      </c>
      <c r="AP30" s="12">
        <f>IF(J30&lt;&gt;勤務変更!J30,1,0)</f>
        <v>0</v>
      </c>
      <c r="AQ30" s="12">
        <f>IF(K30&lt;&gt;勤務変更!K30,1,0)</f>
        <v>0</v>
      </c>
      <c r="AR30" s="12">
        <f>IF(L30&lt;&gt;勤務変更!L30,1,0)</f>
        <v>0</v>
      </c>
      <c r="AS30" s="12">
        <f>IF(M30&lt;&gt;勤務変更!M30,1,0)</f>
        <v>0</v>
      </c>
      <c r="AT30" s="12">
        <f>IF(N30&lt;&gt;勤務変更!N30,1,0)</f>
        <v>0</v>
      </c>
      <c r="AU30" s="12">
        <f>IF(O30&lt;&gt;勤務変更!O30,1,0)</f>
        <v>0</v>
      </c>
      <c r="AV30" s="12">
        <f>IF(P30&lt;&gt;勤務変更!P30,1,0)</f>
        <v>0</v>
      </c>
      <c r="AW30" s="12">
        <f>IF(Q30&lt;&gt;勤務変更!Q30,1,0)</f>
        <v>0</v>
      </c>
      <c r="AX30" s="12">
        <f>IF(R30&lt;&gt;勤務変更!R30,1,0)</f>
        <v>0</v>
      </c>
      <c r="AY30" s="12">
        <f>IF(S30&lt;&gt;勤務変更!S30,1,0)</f>
        <v>0</v>
      </c>
      <c r="AZ30" s="12">
        <f>IF(T30&lt;&gt;勤務変更!T30,1,0)</f>
        <v>0</v>
      </c>
      <c r="BA30" s="12">
        <f>IF(U30&lt;&gt;勤務変更!U30,1,0)</f>
        <v>0</v>
      </c>
      <c r="BB30" s="12">
        <f>IF(V30&lt;&gt;勤務変更!V30,1,0)</f>
        <v>0</v>
      </c>
      <c r="BC30" s="12">
        <f>IF(W30&lt;&gt;勤務変更!W30,1,0)</f>
        <v>0</v>
      </c>
      <c r="BD30" s="12">
        <f>IF(X30&lt;&gt;勤務変更!X30,1,0)</f>
        <v>0</v>
      </c>
      <c r="BE30" s="12">
        <f>IF(Y30&lt;&gt;勤務変更!Y30,1,0)</f>
        <v>0</v>
      </c>
      <c r="BF30" s="12">
        <f>IF(Z30&lt;&gt;勤務変更!Z30,1,0)</f>
        <v>0</v>
      </c>
      <c r="BG30" s="12">
        <f>IF(AA30&lt;&gt;勤務変更!AA30,1,0)</f>
        <v>0</v>
      </c>
      <c r="BH30" s="12">
        <f>IF(AB30&lt;&gt;勤務変更!AB30,1,0)</f>
        <v>0</v>
      </c>
      <c r="BI30" s="12">
        <f>IF(AC30&lt;&gt;勤務変更!AC30,1,0)</f>
        <v>0</v>
      </c>
      <c r="BJ30" s="12">
        <f>IF(AD30&lt;&gt;勤務変更!AD30,1,0)</f>
        <v>0</v>
      </c>
      <c r="BK30" s="12">
        <f>IF(AE30&lt;&gt;勤務変更!AE30,1,0)</f>
        <v>0</v>
      </c>
      <c r="BL30" s="12">
        <f>IF(AF30&lt;&gt;勤務変更!AF30,1,0)</f>
        <v>0</v>
      </c>
      <c r="BM30" s="12">
        <f>IF(AG30&lt;&gt;勤務変更!AG30,1,0)</f>
        <v>0</v>
      </c>
      <c r="BN30" s="12">
        <f>IF(AH30&lt;&gt;勤務変更!AH30,1,0)</f>
        <v>0</v>
      </c>
      <c r="BO30" s="12">
        <f t="shared" si="1"/>
        <v>0</v>
      </c>
      <c r="BP30" s="12" t="str">
        <f>IF(BR30="","",COUNTA(BR$4:BR30)-COUNTBLANK(BR$4:BR30))</f>
        <v/>
      </c>
      <c r="BQ30" s="12" t="str">
        <f t="shared" si="2"/>
        <v/>
      </c>
      <c r="BR30" s="12" t="str">
        <f t="shared" si="3"/>
        <v/>
      </c>
    </row>
    <row r="31" spans="1:70" ht="13.15" customHeight="1" x14ac:dyDescent="0.2">
      <c r="A31" s="9">
        <f>'[3]勤務表 (2)'!A30</f>
        <v>28</v>
      </c>
      <c r="B31" s="9" t="str">
        <f>'[3]勤務表 (2)'!B30</f>
        <v>122339</v>
      </c>
      <c r="C31" s="74" t="str">
        <f>'[3]勤務表 (2)'!C30</f>
        <v>西郡 健太</v>
      </c>
      <c r="D31" s="26" t="str">
        <f>'[3]勤務表 (2)'!D30</f>
        <v>当</v>
      </c>
      <c r="E31" s="26" t="str">
        <f>'[3]勤務表 (2)'!E30</f>
        <v>明</v>
      </c>
      <c r="F31" s="26" t="str">
        <f>'[3]勤務表 (2)'!F30</f>
        <v/>
      </c>
      <c r="G31" s="26" t="str">
        <f>'[3]勤務表 (2)'!G30</f>
        <v/>
      </c>
      <c r="H31" s="26" t="str">
        <f>'[3]勤務表 (2)'!H30</f>
        <v>／</v>
      </c>
      <c r="I31" s="26" t="str">
        <f>'[3]勤務表 (2)'!I30</f>
        <v>●</v>
      </c>
      <c r="J31" s="26" t="str">
        <f>'[3]勤務表 (2)'!J30</f>
        <v/>
      </c>
      <c r="K31" s="26" t="str">
        <f>'[3]勤務表 (2)'!K30</f>
        <v/>
      </c>
      <c r="L31" s="26" t="str">
        <f>'[3]勤務表 (2)'!L30</f>
        <v/>
      </c>
      <c r="M31" s="26" t="str">
        <f>'[3]勤務表 (2)'!M30</f>
        <v/>
      </c>
      <c r="N31" s="26" t="str">
        <f>'[3]勤務表 (2)'!N30</f>
        <v/>
      </c>
      <c r="O31" s="26" t="str">
        <f>'[3]勤務表 (2)'!O30</f>
        <v>○</v>
      </c>
      <c r="P31" s="26" t="str">
        <f>'[3]勤務表 (2)'!P30</f>
        <v>●</v>
      </c>
      <c r="Q31" s="26" t="str">
        <f>'[3]勤務表 (2)'!Q30</f>
        <v/>
      </c>
      <c r="R31" s="26" t="str">
        <f>'[3]勤務表 (2)'!R30</f>
        <v>当</v>
      </c>
      <c r="S31" s="26" t="str">
        <f>'[3]勤務表 (2)'!S30</f>
        <v>明</v>
      </c>
      <c r="T31" s="26" t="str">
        <f>'[3]勤務表 (2)'!T30</f>
        <v/>
      </c>
      <c r="U31" s="26" t="str">
        <f>'[3]勤務表 (2)'!U30</f>
        <v/>
      </c>
      <c r="V31" s="26" t="str">
        <f>'[3]勤務表 (2)'!V30</f>
        <v>／</v>
      </c>
      <c r="W31" s="26" t="str">
        <f>'[3]勤務表 (2)'!W30</f>
        <v>●</v>
      </c>
      <c r="X31" s="26" t="str">
        <f>'[3]勤務表 (2)'!X30</f>
        <v/>
      </c>
      <c r="Y31" s="26" t="str">
        <f>'[3]勤務表 (2)'!Y30</f>
        <v/>
      </c>
      <c r="Z31" s="26" t="str">
        <f>'[3]勤務表 (2)'!Z30</f>
        <v>当</v>
      </c>
      <c r="AA31" s="26" t="str">
        <f>'[3]勤務表 (2)'!AA30</f>
        <v>明</v>
      </c>
      <c r="AB31" s="26" t="str">
        <f>'[3]勤務表 (2)'!AB30</f>
        <v/>
      </c>
      <c r="AC31" s="26" t="str">
        <f>'[3]勤務表 (2)'!AC30</f>
        <v>○</v>
      </c>
      <c r="AD31" s="26" t="str">
        <f>'[3]勤務表 (2)'!AD30</f>
        <v>●</v>
      </c>
      <c r="AE31" s="26" t="str">
        <f>'[3]勤務表 (2)'!AE30</f>
        <v/>
      </c>
      <c r="AF31" s="26" t="str">
        <f>'[3]勤務表 (2)'!AF30</f>
        <v/>
      </c>
      <c r="AG31" s="26" t="str">
        <f>'[3]勤務表 (2)'!AG30</f>
        <v>当</v>
      </c>
      <c r="AH31" s="26" t="str">
        <f>'[3]勤務表 (2)'!AH30</f>
        <v/>
      </c>
      <c r="AJ31" s="12">
        <f>IF(D31&lt;&gt;勤務変更!D31,1,0)</f>
        <v>0</v>
      </c>
      <c r="AK31" s="12">
        <f>IF(E31&lt;&gt;勤務変更!E31,1,0)</f>
        <v>0</v>
      </c>
      <c r="AL31" s="12">
        <f>IF(F31&lt;&gt;勤務変更!F31,1,0)</f>
        <v>0</v>
      </c>
      <c r="AM31" s="12">
        <f>IF(G31&lt;&gt;勤務変更!G31,1,0)</f>
        <v>0</v>
      </c>
      <c r="AN31" s="12">
        <f>IF(H31&lt;&gt;勤務変更!H31,1,0)</f>
        <v>0</v>
      </c>
      <c r="AO31" s="12">
        <f>IF(I31&lt;&gt;勤務変更!I31,1,0)</f>
        <v>0</v>
      </c>
      <c r="AP31" s="12">
        <f>IF(J31&lt;&gt;勤務変更!J31,1,0)</f>
        <v>0</v>
      </c>
      <c r="AQ31" s="12">
        <f>IF(K31&lt;&gt;勤務変更!K31,1,0)</f>
        <v>0</v>
      </c>
      <c r="AR31" s="12">
        <f>IF(L31&lt;&gt;勤務変更!L31,1,0)</f>
        <v>0</v>
      </c>
      <c r="AS31" s="12">
        <f>IF(M31&lt;&gt;勤務変更!M31,1,0)</f>
        <v>0</v>
      </c>
      <c r="AT31" s="12">
        <f>IF(N31&lt;&gt;勤務変更!N31,1,0)</f>
        <v>0</v>
      </c>
      <c r="AU31" s="12">
        <f>IF(O31&lt;&gt;勤務変更!O31,1,0)</f>
        <v>0</v>
      </c>
      <c r="AV31" s="12">
        <f>IF(P31&lt;&gt;勤務変更!P31,1,0)</f>
        <v>0</v>
      </c>
      <c r="AW31" s="12">
        <f>IF(Q31&lt;&gt;勤務変更!Q31,1,0)</f>
        <v>0</v>
      </c>
      <c r="AX31" s="12">
        <f>IF(R31&lt;&gt;勤務変更!R31,1,0)</f>
        <v>0</v>
      </c>
      <c r="AY31" s="12">
        <f>IF(S31&lt;&gt;勤務変更!S31,1,0)</f>
        <v>0</v>
      </c>
      <c r="AZ31" s="12">
        <f>IF(T31&lt;&gt;勤務変更!T31,1,0)</f>
        <v>0</v>
      </c>
      <c r="BA31" s="12">
        <f>IF(U31&lt;&gt;勤務変更!U31,1,0)</f>
        <v>0</v>
      </c>
      <c r="BB31" s="12">
        <f>IF(V31&lt;&gt;勤務変更!V31,1,0)</f>
        <v>0</v>
      </c>
      <c r="BC31" s="12">
        <f>IF(W31&lt;&gt;勤務変更!W31,1,0)</f>
        <v>0</v>
      </c>
      <c r="BD31" s="12">
        <f>IF(X31&lt;&gt;勤務変更!X31,1,0)</f>
        <v>0</v>
      </c>
      <c r="BE31" s="12">
        <f>IF(Y31&lt;&gt;勤務変更!Y31,1,0)</f>
        <v>0</v>
      </c>
      <c r="BF31" s="12">
        <f>IF(Z31&lt;&gt;勤務変更!Z31,1,0)</f>
        <v>0</v>
      </c>
      <c r="BG31" s="12">
        <f>IF(AA31&lt;&gt;勤務変更!AA31,1,0)</f>
        <v>0</v>
      </c>
      <c r="BH31" s="12">
        <f>IF(AB31&lt;&gt;勤務変更!AB31,1,0)</f>
        <v>0</v>
      </c>
      <c r="BI31" s="12">
        <f>IF(AC31&lt;&gt;勤務変更!AC31,1,0)</f>
        <v>0</v>
      </c>
      <c r="BJ31" s="12">
        <f>IF(AD31&lt;&gt;勤務変更!AD31,1,0)</f>
        <v>0</v>
      </c>
      <c r="BK31" s="12">
        <f>IF(AE31&lt;&gt;勤務変更!AE31,1,0)</f>
        <v>0</v>
      </c>
      <c r="BL31" s="12">
        <f>IF(AF31&lt;&gt;勤務変更!AF31,1,0)</f>
        <v>0</v>
      </c>
      <c r="BM31" s="12">
        <f>IF(AG31&lt;&gt;勤務変更!AG31,1,0)</f>
        <v>0</v>
      </c>
      <c r="BN31" s="12">
        <f>IF(AH31&lt;&gt;勤務変更!AH31,1,0)</f>
        <v>0</v>
      </c>
      <c r="BO31" s="12">
        <f t="shared" si="1"/>
        <v>0</v>
      </c>
      <c r="BP31" s="12" t="str">
        <f>IF(BR31="","",COUNTA(BR$4:BR31)-COUNTBLANK(BR$4:BR31))</f>
        <v/>
      </c>
      <c r="BQ31" s="12" t="str">
        <f t="shared" si="2"/>
        <v/>
      </c>
      <c r="BR31" s="12" t="str">
        <f t="shared" si="3"/>
        <v/>
      </c>
    </row>
    <row r="32" spans="1:70" ht="13.15" customHeight="1" x14ac:dyDescent="0.2">
      <c r="A32" s="9">
        <f>'[3]勤務表 (2)'!A31</f>
        <v>29</v>
      </c>
      <c r="B32" s="9" t="str">
        <f>'[3]勤務表 (2)'!B31</f>
        <v>125630</v>
      </c>
      <c r="C32" s="74" t="str">
        <f>'[3]勤務表 (2)'!C31</f>
        <v>松木 こころ</v>
      </c>
      <c r="D32" s="26" t="str">
        <f>'[3]勤務表 (2)'!D31</f>
        <v/>
      </c>
      <c r="E32" s="26" t="str">
        <f>'[3]勤務表 (2)'!E31</f>
        <v/>
      </c>
      <c r="F32" s="26" t="str">
        <f>'[3]勤務表 (2)'!F31</f>
        <v/>
      </c>
      <c r="G32" s="26" t="str">
        <f>'[3]勤務表 (2)'!G31</f>
        <v/>
      </c>
      <c r="H32" s="26" t="str">
        <f>'[3]勤務表 (2)'!H31</f>
        <v>○</v>
      </c>
      <c r="I32" s="26" t="str">
        <f>'[3]勤務表 (2)'!I31</f>
        <v>●</v>
      </c>
      <c r="J32" s="26" t="str">
        <f>'[3]勤務表 (2)'!J31</f>
        <v/>
      </c>
      <c r="K32" s="26" t="str">
        <f>'[3]勤務表 (2)'!K31</f>
        <v/>
      </c>
      <c r="L32" s="26" t="str">
        <f>'[3]勤務表 (2)'!L31</f>
        <v/>
      </c>
      <c r="M32" s="26" t="str">
        <f>'[3]勤務表 (2)'!M31</f>
        <v/>
      </c>
      <c r="N32" s="26" t="str">
        <f>'[3]勤務表 (2)'!N31</f>
        <v/>
      </c>
      <c r="O32" s="26" t="str">
        <f>'[3]勤務表 (2)'!O31</f>
        <v>○</v>
      </c>
      <c r="P32" s="26" t="str">
        <f>'[3]勤務表 (2)'!P31</f>
        <v>●</v>
      </c>
      <c r="Q32" s="26" t="str">
        <f>'[3]勤務表 (2)'!Q31</f>
        <v/>
      </c>
      <c r="R32" s="26" t="str">
        <f>'[3]勤務表 (2)'!R31</f>
        <v/>
      </c>
      <c r="S32" s="26" t="str">
        <f>'[3]勤務表 (2)'!S31</f>
        <v/>
      </c>
      <c r="T32" s="26" t="str">
        <f>'[3]勤務表 (2)'!T31</f>
        <v/>
      </c>
      <c r="U32" s="26" t="str">
        <f>'[3]勤務表 (2)'!U31</f>
        <v/>
      </c>
      <c r="V32" s="26" t="str">
        <f>'[3]勤務表 (2)'!V31</f>
        <v>○</v>
      </c>
      <c r="W32" s="26" t="str">
        <f>'[3]勤務表 (2)'!W31</f>
        <v>●</v>
      </c>
      <c r="X32" s="26" t="str">
        <f>'[3]勤務表 (2)'!X31</f>
        <v/>
      </c>
      <c r="Y32" s="26" t="str">
        <f>'[3]勤務表 (2)'!Y31</f>
        <v/>
      </c>
      <c r="Z32" s="26" t="str">
        <f>'[3]勤務表 (2)'!Z31</f>
        <v/>
      </c>
      <c r="AA32" s="26" t="str">
        <f>'[3]勤務表 (2)'!AA31</f>
        <v/>
      </c>
      <c r="AB32" s="26" t="str">
        <f>'[3]勤務表 (2)'!AB31</f>
        <v/>
      </c>
      <c r="AC32" s="26" t="str">
        <f>'[3]勤務表 (2)'!AC31</f>
        <v>○</v>
      </c>
      <c r="AD32" s="26" t="str">
        <f>'[3]勤務表 (2)'!AD31</f>
        <v>●</v>
      </c>
      <c r="AE32" s="26" t="str">
        <f>'[3]勤務表 (2)'!AE31</f>
        <v/>
      </c>
      <c r="AF32" s="26" t="str">
        <f>'[3]勤務表 (2)'!AF31</f>
        <v/>
      </c>
      <c r="AG32" s="26" t="str">
        <f>'[3]勤務表 (2)'!AG31</f>
        <v/>
      </c>
      <c r="AH32" s="26" t="str">
        <f>'[3]勤務表 (2)'!AH31</f>
        <v/>
      </c>
      <c r="AJ32" s="12">
        <f>IF(D32&lt;&gt;勤務変更!D32,1,0)</f>
        <v>0</v>
      </c>
      <c r="AK32" s="12">
        <f>IF(E32&lt;&gt;勤務変更!E32,1,0)</f>
        <v>0</v>
      </c>
      <c r="AL32" s="12">
        <f>IF(F32&lt;&gt;勤務変更!F32,1,0)</f>
        <v>0</v>
      </c>
      <c r="AM32" s="12">
        <f>IF(G32&lt;&gt;勤務変更!G32,1,0)</f>
        <v>0</v>
      </c>
      <c r="AN32" s="12">
        <f>IF(H32&lt;&gt;勤務変更!H32,1,0)</f>
        <v>0</v>
      </c>
      <c r="AO32" s="12">
        <f>IF(I32&lt;&gt;勤務変更!I32,1,0)</f>
        <v>0</v>
      </c>
      <c r="AP32" s="12">
        <f>IF(J32&lt;&gt;勤務変更!J32,1,0)</f>
        <v>0</v>
      </c>
      <c r="AQ32" s="12">
        <f>IF(K32&lt;&gt;勤務変更!K32,1,0)</f>
        <v>0</v>
      </c>
      <c r="AR32" s="12">
        <f>IF(L32&lt;&gt;勤務変更!L32,1,0)</f>
        <v>0</v>
      </c>
      <c r="AS32" s="12">
        <f>IF(M32&lt;&gt;勤務変更!M32,1,0)</f>
        <v>0</v>
      </c>
      <c r="AT32" s="12">
        <f>IF(N32&lt;&gt;勤務変更!N32,1,0)</f>
        <v>0</v>
      </c>
      <c r="AU32" s="12">
        <f>IF(O32&lt;&gt;勤務変更!O32,1,0)</f>
        <v>0</v>
      </c>
      <c r="AV32" s="12">
        <f>IF(P32&lt;&gt;勤務変更!P32,1,0)</f>
        <v>0</v>
      </c>
      <c r="AW32" s="12">
        <f>IF(Q32&lt;&gt;勤務変更!Q32,1,0)</f>
        <v>0</v>
      </c>
      <c r="AX32" s="12">
        <f>IF(R32&lt;&gt;勤務変更!R32,1,0)</f>
        <v>0</v>
      </c>
      <c r="AY32" s="12">
        <f>IF(S32&lt;&gt;勤務変更!S32,1,0)</f>
        <v>0</v>
      </c>
      <c r="AZ32" s="12">
        <f>IF(T32&lt;&gt;勤務変更!T32,1,0)</f>
        <v>0</v>
      </c>
      <c r="BA32" s="12">
        <f>IF(U32&lt;&gt;勤務変更!U32,1,0)</f>
        <v>0</v>
      </c>
      <c r="BB32" s="12">
        <f>IF(V32&lt;&gt;勤務変更!V32,1,0)</f>
        <v>0</v>
      </c>
      <c r="BC32" s="12">
        <f>IF(W32&lt;&gt;勤務変更!W32,1,0)</f>
        <v>0</v>
      </c>
      <c r="BD32" s="12">
        <f>IF(X32&lt;&gt;勤務変更!X32,1,0)</f>
        <v>0</v>
      </c>
      <c r="BE32" s="12">
        <f>IF(Y32&lt;&gt;勤務変更!Y32,1,0)</f>
        <v>0</v>
      </c>
      <c r="BF32" s="12">
        <f>IF(Z32&lt;&gt;勤務変更!Z32,1,0)</f>
        <v>0</v>
      </c>
      <c r="BG32" s="12">
        <f>IF(AA32&lt;&gt;勤務変更!AA32,1,0)</f>
        <v>0</v>
      </c>
      <c r="BH32" s="12">
        <f>IF(AB32&lt;&gt;勤務変更!AB32,1,0)</f>
        <v>0</v>
      </c>
      <c r="BI32" s="12">
        <f>IF(AC32&lt;&gt;勤務変更!AC32,1,0)</f>
        <v>0</v>
      </c>
      <c r="BJ32" s="12">
        <f>IF(AD32&lt;&gt;勤務変更!AD32,1,0)</f>
        <v>0</v>
      </c>
      <c r="BK32" s="12">
        <f>IF(AE32&lt;&gt;勤務変更!AE32,1,0)</f>
        <v>0</v>
      </c>
      <c r="BL32" s="12">
        <f>IF(AF32&lt;&gt;勤務変更!AF32,1,0)</f>
        <v>0</v>
      </c>
      <c r="BM32" s="12">
        <f>IF(AG32&lt;&gt;勤務変更!AG32,1,0)</f>
        <v>0</v>
      </c>
      <c r="BN32" s="12">
        <f>IF(AH32&lt;&gt;勤務変更!AH32,1,0)</f>
        <v>0</v>
      </c>
      <c r="BO32" s="12">
        <f t="shared" si="1"/>
        <v>0</v>
      </c>
      <c r="BP32" s="12" t="str">
        <f>IF(BR32="","",COUNTA(BR$4:BR32)-COUNTBLANK(BR$4:BR32))</f>
        <v/>
      </c>
      <c r="BQ32" s="12" t="str">
        <f t="shared" si="2"/>
        <v/>
      </c>
      <c r="BR32" s="12" t="str">
        <f t="shared" si="3"/>
        <v/>
      </c>
    </row>
    <row r="33" spans="1:70" ht="13.15" customHeight="1" x14ac:dyDescent="0.2">
      <c r="A33" s="9">
        <f>'[3]勤務表 (2)'!A32</f>
        <v>30</v>
      </c>
      <c r="B33" s="9" t="str">
        <f>'[3]勤務表 (2)'!B32</f>
        <v>125642</v>
      </c>
      <c r="C33" s="74" t="str">
        <f>'[3]勤務表 (2)'!C32</f>
        <v>諸田 悠也</v>
      </c>
      <c r="D33" s="26" t="str">
        <f>'[3]勤務表 (2)'!D32</f>
        <v>当</v>
      </c>
      <c r="E33" s="26" t="str">
        <f>'[3]勤務表 (2)'!E32</f>
        <v>明</v>
      </c>
      <c r="F33" s="26" t="str">
        <f>'[3]勤務表 (2)'!F32</f>
        <v/>
      </c>
      <c r="G33" s="26" t="str">
        <f>'[3]勤務表 (2)'!G32</f>
        <v/>
      </c>
      <c r="H33" s="26" t="str">
        <f>'[3]勤務表 (2)'!H32</f>
        <v>○</v>
      </c>
      <c r="I33" s="26" t="str">
        <f>'[3]勤務表 (2)'!I32</f>
        <v>●</v>
      </c>
      <c r="J33" s="26" t="str">
        <f>'[3]勤務表 (2)'!J32</f>
        <v/>
      </c>
      <c r="K33" s="26" t="str">
        <f>'[3]勤務表 (2)'!K32</f>
        <v/>
      </c>
      <c r="L33" s="26" t="str">
        <f>'[3]勤務表 (2)'!L32</f>
        <v/>
      </c>
      <c r="M33" s="26" t="str">
        <f>'[3]勤務表 (2)'!M32</f>
        <v/>
      </c>
      <c r="N33" s="26" t="str">
        <f>'[3]勤務表 (2)'!N32</f>
        <v/>
      </c>
      <c r="O33" s="26" t="str">
        <f>'[3]勤務表 (2)'!O32</f>
        <v>／</v>
      </c>
      <c r="P33" s="26" t="str">
        <f>'[3]勤務表 (2)'!P32</f>
        <v>●</v>
      </c>
      <c r="Q33" s="26" t="str">
        <f>'[3]勤務表 (2)'!Q32</f>
        <v/>
      </c>
      <c r="R33" s="26" t="str">
        <f>'[3]勤務表 (2)'!R32</f>
        <v/>
      </c>
      <c r="S33" s="26" t="str">
        <f>'[3]勤務表 (2)'!S32</f>
        <v/>
      </c>
      <c r="T33" s="26" t="str">
        <f>'[3]勤務表 (2)'!T32</f>
        <v/>
      </c>
      <c r="U33" s="26" t="str">
        <f>'[3]勤務表 (2)'!U32</f>
        <v/>
      </c>
      <c r="V33" s="26" t="str">
        <f>'[3]勤務表 (2)'!V32</f>
        <v>○</v>
      </c>
      <c r="W33" s="26" t="str">
        <f>'[3]勤務表 (2)'!W32</f>
        <v>当</v>
      </c>
      <c r="X33" s="26" t="str">
        <f>'[3]勤務表 (2)'!X32</f>
        <v>明</v>
      </c>
      <c r="Y33" s="26" t="str">
        <f>'[3]勤務表 (2)'!Y32</f>
        <v>●</v>
      </c>
      <c r="Z33" s="26" t="str">
        <f>'[3]勤務表 (2)'!Z32</f>
        <v/>
      </c>
      <c r="AA33" s="26" t="str">
        <f>'[3]勤務表 (2)'!AA32</f>
        <v/>
      </c>
      <c r="AB33" s="26" t="str">
        <f>'[3]勤務表 (2)'!AB32</f>
        <v/>
      </c>
      <c r="AC33" s="26" t="str">
        <f>'[3]勤務表 (2)'!AC32</f>
        <v>／</v>
      </c>
      <c r="AD33" s="26" t="str">
        <f>'[3]勤務表 (2)'!AD32</f>
        <v>●</v>
      </c>
      <c r="AE33" s="26" t="str">
        <f>'[3]勤務表 (2)'!AE32</f>
        <v/>
      </c>
      <c r="AF33" s="26" t="str">
        <f>'[3]勤務表 (2)'!AF32</f>
        <v/>
      </c>
      <c r="AG33" s="26" t="str">
        <f>'[3]勤務表 (2)'!AG32</f>
        <v/>
      </c>
      <c r="AH33" s="26" t="str">
        <f>'[3]勤務表 (2)'!AH32</f>
        <v/>
      </c>
      <c r="AJ33" s="12">
        <f>IF(D33&lt;&gt;勤務変更!D33,1,0)</f>
        <v>0</v>
      </c>
      <c r="AK33" s="12">
        <f>IF(E33&lt;&gt;勤務変更!E33,1,0)</f>
        <v>0</v>
      </c>
      <c r="AL33" s="12">
        <f>IF(F33&lt;&gt;勤務変更!F33,1,0)</f>
        <v>0</v>
      </c>
      <c r="AM33" s="12">
        <f>IF(G33&lt;&gt;勤務変更!G33,1,0)</f>
        <v>0</v>
      </c>
      <c r="AN33" s="12">
        <f>IF(H33&lt;&gt;勤務変更!H33,1,0)</f>
        <v>0</v>
      </c>
      <c r="AO33" s="12">
        <f>IF(I33&lt;&gt;勤務変更!I33,1,0)</f>
        <v>0</v>
      </c>
      <c r="AP33" s="12">
        <f>IF(J33&lt;&gt;勤務変更!J33,1,0)</f>
        <v>0</v>
      </c>
      <c r="AQ33" s="12">
        <f>IF(K33&lt;&gt;勤務変更!K33,1,0)</f>
        <v>0</v>
      </c>
      <c r="AR33" s="12">
        <f>IF(L33&lt;&gt;勤務変更!L33,1,0)</f>
        <v>0</v>
      </c>
      <c r="AS33" s="12">
        <f>IF(M33&lt;&gt;勤務変更!M33,1,0)</f>
        <v>0</v>
      </c>
      <c r="AT33" s="12">
        <f>IF(N33&lt;&gt;勤務変更!N33,1,0)</f>
        <v>0</v>
      </c>
      <c r="AU33" s="12">
        <f>IF(O33&lt;&gt;勤務変更!O33,1,0)</f>
        <v>0</v>
      </c>
      <c r="AV33" s="12">
        <f>IF(P33&lt;&gt;勤務変更!P33,1,0)</f>
        <v>0</v>
      </c>
      <c r="AW33" s="12">
        <f>IF(Q33&lt;&gt;勤務変更!Q33,1,0)</f>
        <v>0</v>
      </c>
      <c r="AX33" s="12">
        <f>IF(R33&lt;&gt;勤務変更!R33,1,0)</f>
        <v>0</v>
      </c>
      <c r="AY33" s="12">
        <f>IF(S33&lt;&gt;勤務変更!S33,1,0)</f>
        <v>0</v>
      </c>
      <c r="AZ33" s="12">
        <f>IF(T33&lt;&gt;勤務変更!T33,1,0)</f>
        <v>0</v>
      </c>
      <c r="BA33" s="12">
        <f>IF(U33&lt;&gt;勤務変更!U33,1,0)</f>
        <v>0</v>
      </c>
      <c r="BB33" s="12">
        <f>IF(V33&lt;&gt;勤務変更!V33,1,0)</f>
        <v>0</v>
      </c>
      <c r="BC33" s="12">
        <f>IF(W33&lt;&gt;勤務変更!W33,1,0)</f>
        <v>0</v>
      </c>
      <c r="BD33" s="12">
        <f>IF(X33&lt;&gt;勤務変更!X33,1,0)</f>
        <v>0</v>
      </c>
      <c r="BE33" s="12">
        <f>IF(Y33&lt;&gt;勤務変更!Y33,1,0)</f>
        <v>0</v>
      </c>
      <c r="BF33" s="12">
        <f>IF(Z33&lt;&gt;勤務変更!Z33,1,0)</f>
        <v>0</v>
      </c>
      <c r="BG33" s="12">
        <f>IF(AA33&lt;&gt;勤務変更!AA33,1,0)</f>
        <v>0</v>
      </c>
      <c r="BH33" s="12">
        <f>IF(AB33&lt;&gt;勤務変更!AB33,1,0)</f>
        <v>0</v>
      </c>
      <c r="BI33" s="12">
        <f>IF(AC33&lt;&gt;勤務変更!AC33,1,0)</f>
        <v>0</v>
      </c>
      <c r="BJ33" s="12">
        <f>IF(AD33&lt;&gt;勤務変更!AD33,1,0)</f>
        <v>0</v>
      </c>
      <c r="BK33" s="12">
        <f>IF(AE33&lt;&gt;勤務変更!AE33,1,0)</f>
        <v>0</v>
      </c>
      <c r="BL33" s="12">
        <f>IF(AF33&lt;&gt;勤務変更!AF33,1,0)</f>
        <v>0</v>
      </c>
      <c r="BM33" s="12">
        <f>IF(AG33&lt;&gt;勤務変更!AG33,1,0)</f>
        <v>0</v>
      </c>
      <c r="BN33" s="12">
        <f>IF(AH33&lt;&gt;勤務変更!AH33,1,0)</f>
        <v>0</v>
      </c>
      <c r="BO33" s="12">
        <f t="shared" si="1"/>
        <v>0</v>
      </c>
      <c r="BP33" s="12" t="str">
        <f>IF(BR33="","",COUNTA(BR$4:BR33)-COUNTBLANK(BR$4:BR33))</f>
        <v/>
      </c>
      <c r="BQ33" s="12" t="str">
        <f t="shared" si="2"/>
        <v/>
      </c>
      <c r="BR33" s="12" t="str">
        <f t="shared" si="3"/>
        <v/>
      </c>
    </row>
    <row r="34" spans="1:70" ht="13.15" customHeight="1" x14ac:dyDescent="0.2">
      <c r="A34" s="9">
        <f>'[3]勤務表 (2)'!A33</f>
        <v>31</v>
      </c>
      <c r="B34" s="9" t="str">
        <f>'[3]勤務表 (2)'!B33</f>
        <v>130415</v>
      </c>
      <c r="C34" s="74" t="str">
        <f>'[3]勤務表 (2)'!C33</f>
        <v>樫田 尚</v>
      </c>
      <c r="D34" s="26" t="str">
        <f>'[3]勤務表 (2)'!D33</f>
        <v/>
      </c>
      <c r="E34" s="26" t="str">
        <f>'[3]勤務表 (2)'!E33</f>
        <v/>
      </c>
      <c r="F34" s="26" t="str">
        <f>'[3]勤務表 (2)'!F33</f>
        <v/>
      </c>
      <c r="G34" s="26" t="str">
        <f>'[3]勤務表 (2)'!G33</f>
        <v/>
      </c>
      <c r="H34" s="26" t="str">
        <f>'[3]勤務表 (2)'!H33</f>
        <v>○</v>
      </c>
      <c r="I34" s="26" t="str">
        <f>'[3]勤務表 (2)'!I33</f>
        <v>●</v>
      </c>
      <c r="J34" s="26" t="str">
        <f>'[3]勤務表 (2)'!J33</f>
        <v/>
      </c>
      <c r="K34" s="26" t="str">
        <f>'[3]勤務表 (2)'!K33</f>
        <v/>
      </c>
      <c r="L34" s="26" t="str">
        <f>'[3]勤務表 (2)'!L33</f>
        <v/>
      </c>
      <c r="M34" s="26" t="str">
        <f>'[3]勤務表 (2)'!M33</f>
        <v/>
      </c>
      <c r="N34" s="26" t="str">
        <f>'[3]勤務表 (2)'!N33</f>
        <v>当</v>
      </c>
      <c r="O34" s="26" t="str">
        <f>'[3]勤務表 (2)'!O33</f>
        <v>明</v>
      </c>
      <c r="P34" s="26" t="str">
        <f>'[3]勤務表 (2)'!P33</f>
        <v>●</v>
      </c>
      <c r="Q34" s="26" t="str">
        <f>'[3]勤務表 (2)'!Q33</f>
        <v/>
      </c>
      <c r="R34" s="26" t="str">
        <f>'[3]勤務表 (2)'!R33</f>
        <v/>
      </c>
      <c r="S34" s="26" t="str">
        <f>'[3]勤務表 (2)'!S33</f>
        <v/>
      </c>
      <c r="T34" s="26" t="str">
        <f>'[3]勤務表 (2)'!T33</f>
        <v/>
      </c>
      <c r="U34" s="26" t="str">
        <f>'[3]勤務表 (2)'!U33</f>
        <v/>
      </c>
      <c r="V34" s="26" t="str">
        <f>'[3]勤務表 (2)'!V33</f>
        <v>○</v>
      </c>
      <c r="W34" s="26" t="str">
        <f>'[3]勤務表 (2)'!W33</f>
        <v/>
      </c>
      <c r="X34" s="26" t="str">
        <f>'[3]勤務表 (2)'!X33</f>
        <v/>
      </c>
      <c r="Y34" s="26" t="str">
        <f>'[3]勤務表 (2)'!Y33</f>
        <v/>
      </c>
      <c r="Z34" s="26" t="str">
        <f>'[3]勤務表 (2)'!Z33</f>
        <v/>
      </c>
      <c r="AA34" s="26" t="str">
        <f>'[3]勤務表 (2)'!AA33</f>
        <v/>
      </c>
      <c r="AB34" s="26" t="str">
        <f>'[3]勤務表 (2)'!AB33</f>
        <v/>
      </c>
      <c r="AC34" s="26" t="str">
        <f>'[3]勤務表 (2)'!AC33</f>
        <v>当</v>
      </c>
      <c r="AD34" s="26" t="str">
        <f>'[3]勤務表 (2)'!AD33</f>
        <v>明</v>
      </c>
      <c r="AE34" s="26" t="str">
        <f>'[3]勤務表 (2)'!AE33</f>
        <v>●</v>
      </c>
      <c r="AF34" s="26" t="str">
        <f>'[3]勤務表 (2)'!AF33</f>
        <v/>
      </c>
      <c r="AG34" s="26" t="str">
        <f>'[3]勤務表 (2)'!AG33</f>
        <v/>
      </c>
      <c r="AH34" s="26" t="str">
        <f>'[3]勤務表 (2)'!AH33</f>
        <v/>
      </c>
      <c r="AJ34" s="12">
        <f>IF(D34&lt;&gt;勤務変更!D34,1,0)</f>
        <v>0</v>
      </c>
      <c r="AK34" s="12">
        <f>IF(E34&lt;&gt;勤務変更!E34,1,0)</f>
        <v>0</v>
      </c>
      <c r="AL34" s="12">
        <f>IF(F34&lt;&gt;勤務変更!F34,1,0)</f>
        <v>0</v>
      </c>
      <c r="AM34" s="12">
        <f>IF(G34&lt;&gt;勤務変更!G34,1,0)</f>
        <v>0</v>
      </c>
      <c r="AN34" s="12">
        <f>IF(H34&lt;&gt;勤務変更!H34,1,0)</f>
        <v>0</v>
      </c>
      <c r="AO34" s="12">
        <f>IF(I34&lt;&gt;勤務変更!I34,1,0)</f>
        <v>0</v>
      </c>
      <c r="AP34" s="12">
        <f>IF(J34&lt;&gt;勤務変更!J34,1,0)</f>
        <v>0</v>
      </c>
      <c r="AQ34" s="12">
        <f>IF(K34&lt;&gt;勤務変更!K34,1,0)</f>
        <v>0</v>
      </c>
      <c r="AR34" s="12">
        <f>IF(L34&lt;&gt;勤務変更!L34,1,0)</f>
        <v>0</v>
      </c>
      <c r="AS34" s="12">
        <f>IF(M34&lt;&gt;勤務変更!M34,1,0)</f>
        <v>0</v>
      </c>
      <c r="AT34" s="12">
        <f>IF(N34&lt;&gt;勤務変更!N34,1,0)</f>
        <v>0</v>
      </c>
      <c r="AU34" s="12">
        <f>IF(O34&lt;&gt;勤務変更!O34,1,0)</f>
        <v>0</v>
      </c>
      <c r="AV34" s="12">
        <f>IF(P34&lt;&gt;勤務変更!P34,1,0)</f>
        <v>0</v>
      </c>
      <c r="AW34" s="12">
        <f>IF(Q34&lt;&gt;勤務変更!Q34,1,0)</f>
        <v>0</v>
      </c>
      <c r="AX34" s="12">
        <f>IF(R34&lt;&gt;勤務変更!R34,1,0)</f>
        <v>0</v>
      </c>
      <c r="AY34" s="12">
        <f>IF(S34&lt;&gt;勤務変更!S34,1,0)</f>
        <v>0</v>
      </c>
      <c r="AZ34" s="12">
        <f>IF(T34&lt;&gt;勤務変更!T34,1,0)</f>
        <v>0</v>
      </c>
      <c r="BA34" s="12">
        <f>IF(U34&lt;&gt;勤務変更!U34,1,0)</f>
        <v>0</v>
      </c>
      <c r="BB34" s="12">
        <f>IF(V34&lt;&gt;勤務変更!V34,1,0)</f>
        <v>0</v>
      </c>
      <c r="BC34" s="12">
        <f>IF(W34&lt;&gt;勤務変更!W34,1,0)</f>
        <v>0</v>
      </c>
      <c r="BD34" s="12">
        <f>IF(X34&lt;&gt;勤務変更!X34,1,0)</f>
        <v>0</v>
      </c>
      <c r="BE34" s="12">
        <f>IF(Y34&lt;&gt;勤務変更!Y34,1,0)</f>
        <v>0</v>
      </c>
      <c r="BF34" s="12">
        <f>IF(Z34&lt;&gt;勤務変更!Z34,1,0)</f>
        <v>0</v>
      </c>
      <c r="BG34" s="12">
        <f>IF(AA34&lt;&gt;勤務変更!AA34,1,0)</f>
        <v>0</v>
      </c>
      <c r="BH34" s="12">
        <f>IF(AB34&lt;&gt;勤務変更!AB34,1,0)</f>
        <v>0</v>
      </c>
      <c r="BI34" s="12">
        <f>IF(AC34&lt;&gt;勤務変更!AC34,1,0)</f>
        <v>0</v>
      </c>
      <c r="BJ34" s="12">
        <f>IF(AD34&lt;&gt;勤務変更!AD34,1,0)</f>
        <v>0</v>
      </c>
      <c r="BK34" s="12">
        <f>IF(AE34&lt;&gt;勤務変更!AE34,1,0)</f>
        <v>0</v>
      </c>
      <c r="BL34" s="12">
        <f>IF(AF34&lt;&gt;勤務変更!AF34,1,0)</f>
        <v>0</v>
      </c>
      <c r="BM34" s="12">
        <f>IF(AG34&lt;&gt;勤務変更!AG34,1,0)</f>
        <v>0</v>
      </c>
      <c r="BN34" s="12">
        <f>IF(AH34&lt;&gt;勤務変更!AH34,1,0)</f>
        <v>0</v>
      </c>
      <c r="BO34" s="12">
        <f t="shared" si="1"/>
        <v>0</v>
      </c>
      <c r="BP34" s="12" t="str">
        <f>IF(BR34="","",COUNTA(BR$4:BR34)-COUNTBLANK(BR$4:BR34))</f>
        <v/>
      </c>
      <c r="BQ34" s="12" t="str">
        <f t="shared" si="2"/>
        <v/>
      </c>
      <c r="BR34" s="12" t="str">
        <f t="shared" si="3"/>
        <v/>
      </c>
    </row>
    <row r="35" spans="1:70" ht="13.15" customHeight="1" x14ac:dyDescent="0.2">
      <c r="A35" s="9">
        <f>'[3]勤務表 (2)'!A34</f>
        <v>32</v>
      </c>
      <c r="B35" s="9" t="str">
        <f>'[3]勤務表 (2)'!B34</f>
        <v>130427</v>
      </c>
      <c r="C35" s="74" t="str">
        <f>'[3]勤務表 (2)'!C34</f>
        <v>中村 公亮</v>
      </c>
      <c r="D35" s="26" t="str">
        <f>'[3]勤務表 (2)'!D34</f>
        <v/>
      </c>
      <c r="E35" s="26" t="str">
        <f>'[3]勤務表 (2)'!E34</f>
        <v/>
      </c>
      <c r="F35" s="26" t="str">
        <f>'[3]勤務表 (2)'!F34</f>
        <v/>
      </c>
      <c r="G35" s="26" t="str">
        <f>'[3]勤務表 (2)'!G34</f>
        <v/>
      </c>
      <c r="H35" s="26" t="str">
        <f>'[3]勤務表 (2)'!H34</f>
        <v>○</v>
      </c>
      <c r="I35" s="26" t="str">
        <f>'[3]勤務表 (2)'!I34</f>
        <v>●</v>
      </c>
      <c r="J35" s="26" t="str">
        <f>'[3]勤務表 (2)'!J34</f>
        <v/>
      </c>
      <c r="K35" s="26" t="str">
        <f>'[3]勤務表 (2)'!K34</f>
        <v/>
      </c>
      <c r="L35" s="26" t="str">
        <f>'[3]勤務表 (2)'!L34</f>
        <v/>
      </c>
      <c r="M35" s="26" t="str">
        <f>'[3]勤務表 (2)'!M34</f>
        <v/>
      </c>
      <c r="N35" s="26" t="str">
        <f>'[3]勤務表 (2)'!N34</f>
        <v/>
      </c>
      <c r="O35" s="26" t="str">
        <f>'[3]勤務表 (2)'!O34</f>
        <v>○</v>
      </c>
      <c r="P35" s="26" t="str">
        <f>'[3]勤務表 (2)'!P34</f>
        <v>●</v>
      </c>
      <c r="Q35" s="26" t="str">
        <f>'[3]勤務表 (2)'!Q34</f>
        <v/>
      </c>
      <c r="R35" s="26" t="str">
        <f>'[3]勤務表 (2)'!R34</f>
        <v/>
      </c>
      <c r="S35" s="26" t="str">
        <f>'[3]勤務表 (2)'!S34</f>
        <v/>
      </c>
      <c r="T35" s="26" t="str">
        <f>'[3]勤務表 (2)'!T34</f>
        <v/>
      </c>
      <c r="U35" s="26" t="str">
        <f>'[3]勤務表 (2)'!U34</f>
        <v/>
      </c>
      <c r="V35" s="26" t="str">
        <f>'[3]勤務表 (2)'!V34</f>
        <v>○</v>
      </c>
      <c r="W35" s="26" t="str">
        <f>'[3]勤務表 (2)'!W34</f>
        <v>●</v>
      </c>
      <c r="X35" s="26" t="str">
        <f>'[3]勤務表 (2)'!X34</f>
        <v/>
      </c>
      <c r="Y35" s="26" t="str">
        <f>'[3]勤務表 (2)'!Y34</f>
        <v/>
      </c>
      <c r="Z35" s="26" t="str">
        <f>'[3]勤務表 (2)'!Z34</f>
        <v/>
      </c>
      <c r="AA35" s="26" t="str">
        <f>'[3]勤務表 (2)'!AA34</f>
        <v/>
      </c>
      <c r="AB35" s="26" t="str">
        <f>'[3]勤務表 (2)'!AB34</f>
        <v/>
      </c>
      <c r="AC35" s="26" t="str">
        <f>'[3]勤務表 (2)'!AC34</f>
        <v>○</v>
      </c>
      <c r="AD35" s="26" t="str">
        <f>'[3]勤務表 (2)'!AD34</f>
        <v>●</v>
      </c>
      <c r="AE35" s="26" t="str">
        <f>'[3]勤務表 (2)'!AE34</f>
        <v/>
      </c>
      <c r="AF35" s="26" t="str">
        <f>'[3]勤務表 (2)'!AF34</f>
        <v/>
      </c>
      <c r="AG35" s="26" t="str">
        <f>'[3]勤務表 (2)'!AG34</f>
        <v/>
      </c>
      <c r="AH35" s="26" t="str">
        <f>'[3]勤務表 (2)'!AH34</f>
        <v/>
      </c>
      <c r="AJ35" s="12">
        <f>IF(D35&lt;&gt;勤務変更!D35,1,0)</f>
        <v>0</v>
      </c>
      <c r="AK35" s="12">
        <f>IF(E35&lt;&gt;勤務変更!E35,1,0)</f>
        <v>0</v>
      </c>
      <c r="AL35" s="12">
        <f>IF(F35&lt;&gt;勤務変更!F35,1,0)</f>
        <v>0</v>
      </c>
      <c r="AM35" s="12">
        <f>IF(G35&lt;&gt;勤務変更!G35,1,0)</f>
        <v>0</v>
      </c>
      <c r="AN35" s="12">
        <f>IF(H35&lt;&gt;勤務変更!H35,1,0)</f>
        <v>0</v>
      </c>
      <c r="AO35" s="12">
        <f>IF(I35&lt;&gt;勤務変更!I35,1,0)</f>
        <v>0</v>
      </c>
      <c r="AP35" s="12">
        <f>IF(J35&lt;&gt;勤務変更!J35,1,0)</f>
        <v>0</v>
      </c>
      <c r="AQ35" s="12">
        <f>IF(K35&lt;&gt;勤務変更!K35,1,0)</f>
        <v>0</v>
      </c>
      <c r="AR35" s="12">
        <f>IF(L35&lt;&gt;勤務変更!L35,1,0)</f>
        <v>0</v>
      </c>
      <c r="AS35" s="12">
        <f>IF(M35&lt;&gt;勤務変更!M35,1,0)</f>
        <v>0</v>
      </c>
      <c r="AT35" s="12">
        <f>IF(N35&lt;&gt;勤務変更!N35,1,0)</f>
        <v>0</v>
      </c>
      <c r="AU35" s="12">
        <f>IF(O35&lt;&gt;勤務変更!O35,1,0)</f>
        <v>0</v>
      </c>
      <c r="AV35" s="12">
        <f>IF(P35&lt;&gt;勤務変更!P35,1,0)</f>
        <v>0</v>
      </c>
      <c r="AW35" s="12">
        <f>IF(Q35&lt;&gt;勤務変更!Q35,1,0)</f>
        <v>0</v>
      </c>
      <c r="AX35" s="12">
        <f>IF(R35&lt;&gt;勤務変更!R35,1,0)</f>
        <v>0</v>
      </c>
      <c r="AY35" s="12">
        <f>IF(S35&lt;&gt;勤務変更!S35,1,0)</f>
        <v>0</v>
      </c>
      <c r="AZ35" s="12">
        <f>IF(T35&lt;&gt;勤務変更!T35,1,0)</f>
        <v>0</v>
      </c>
      <c r="BA35" s="12">
        <f>IF(U35&lt;&gt;勤務変更!U35,1,0)</f>
        <v>0</v>
      </c>
      <c r="BB35" s="12">
        <f>IF(V35&lt;&gt;勤務変更!V35,1,0)</f>
        <v>0</v>
      </c>
      <c r="BC35" s="12">
        <f>IF(W35&lt;&gt;勤務変更!W35,1,0)</f>
        <v>0</v>
      </c>
      <c r="BD35" s="12">
        <f>IF(X35&lt;&gt;勤務変更!X35,1,0)</f>
        <v>0</v>
      </c>
      <c r="BE35" s="12">
        <f>IF(Y35&lt;&gt;勤務変更!Y35,1,0)</f>
        <v>0</v>
      </c>
      <c r="BF35" s="12">
        <f>IF(Z35&lt;&gt;勤務変更!Z35,1,0)</f>
        <v>0</v>
      </c>
      <c r="BG35" s="12">
        <f>IF(AA35&lt;&gt;勤務変更!AA35,1,0)</f>
        <v>0</v>
      </c>
      <c r="BH35" s="12">
        <f>IF(AB35&lt;&gt;勤務変更!AB35,1,0)</f>
        <v>0</v>
      </c>
      <c r="BI35" s="12">
        <f>IF(AC35&lt;&gt;勤務変更!AC35,1,0)</f>
        <v>0</v>
      </c>
      <c r="BJ35" s="12">
        <f>IF(AD35&lt;&gt;勤務変更!AD35,1,0)</f>
        <v>0</v>
      </c>
      <c r="BK35" s="12">
        <f>IF(AE35&lt;&gt;勤務変更!AE35,1,0)</f>
        <v>0</v>
      </c>
      <c r="BL35" s="12">
        <f>IF(AF35&lt;&gt;勤務変更!AF35,1,0)</f>
        <v>0</v>
      </c>
      <c r="BM35" s="12">
        <f>IF(AG35&lt;&gt;勤務変更!AG35,1,0)</f>
        <v>0</v>
      </c>
      <c r="BN35" s="12">
        <f>IF(AH35&lt;&gt;勤務変更!AH35,1,0)</f>
        <v>0</v>
      </c>
      <c r="BO35" s="12">
        <f t="shared" si="1"/>
        <v>0</v>
      </c>
      <c r="BP35" s="12" t="str">
        <f>IF(BR35="","",COUNTA(BR$4:BR35)-COUNTBLANK(BR$4:BR35))</f>
        <v/>
      </c>
      <c r="BQ35" s="12" t="str">
        <f t="shared" si="2"/>
        <v/>
      </c>
      <c r="BR35" s="12" t="str">
        <f t="shared" si="3"/>
        <v/>
      </c>
    </row>
    <row r="36" spans="1:70" ht="13.15" customHeight="1" x14ac:dyDescent="0.2">
      <c r="A36" s="9">
        <f>'[3]勤務表 (2)'!A35</f>
        <v>33</v>
      </c>
      <c r="B36" s="9" t="str">
        <f>'[3]勤務表 (2)'!B35</f>
        <v>130439</v>
      </c>
      <c r="C36" s="74" t="str">
        <f>'[3]勤務表 (2)'!C35</f>
        <v>福知 千佳</v>
      </c>
      <c r="D36" s="26" t="str">
        <f>'[3]勤務表 (2)'!D35</f>
        <v/>
      </c>
      <c r="E36" s="26" t="str">
        <f>'[3]勤務表 (2)'!E35</f>
        <v/>
      </c>
      <c r="F36" s="26" t="str">
        <f>'[3]勤務表 (2)'!F35</f>
        <v/>
      </c>
      <c r="G36" s="26" t="str">
        <f>'[3]勤務表 (2)'!G35</f>
        <v/>
      </c>
      <c r="H36" s="26" t="str">
        <f>'[3]勤務表 (2)'!H35</f>
        <v>○</v>
      </c>
      <c r="I36" s="26" t="str">
        <f>'[3]勤務表 (2)'!I35</f>
        <v>当</v>
      </c>
      <c r="J36" s="26" t="str">
        <f>'[3]勤務表 (2)'!J35</f>
        <v>明</v>
      </c>
      <c r="K36" s="26" t="str">
        <f>'[3]勤務表 (2)'!K35</f>
        <v>●</v>
      </c>
      <c r="L36" s="26" t="str">
        <f>'[3]勤務表 (2)'!L35</f>
        <v/>
      </c>
      <c r="M36" s="26" t="str">
        <f>'[3]勤務表 (2)'!M35</f>
        <v/>
      </c>
      <c r="N36" s="26" t="str">
        <f>'[3]勤務表 (2)'!N35</f>
        <v/>
      </c>
      <c r="O36" s="26" t="str">
        <f>'[3]勤務表 (2)'!O35</f>
        <v>／</v>
      </c>
      <c r="P36" s="26" t="str">
        <f>'[3]勤務表 (2)'!P35</f>
        <v>●</v>
      </c>
      <c r="Q36" s="26" t="str">
        <f>'[3]勤務表 (2)'!Q35</f>
        <v/>
      </c>
      <c r="R36" s="26" t="str">
        <f>'[3]勤務表 (2)'!R35</f>
        <v/>
      </c>
      <c r="S36" s="26" t="str">
        <f>'[3]勤務表 (2)'!S35</f>
        <v/>
      </c>
      <c r="T36" s="26" t="str">
        <f>'[3]勤務表 (2)'!T35</f>
        <v/>
      </c>
      <c r="U36" s="26" t="str">
        <f>'[3]勤務表 (2)'!U35</f>
        <v/>
      </c>
      <c r="V36" s="26" t="str">
        <f>'[3]勤務表 (2)'!V35</f>
        <v>○</v>
      </c>
      <c r="W36" s="26" t="str">
        <f>'[3]勤務表 (2)'!W35</f>
        <v>●</v>
      </c>
      <c r="X36" s="26" t="str">
        <f>'[3]勤務表 (2)'!X35</f>
        <v/>
      </c>
      <c r="Y36" s="26" t="str">
        <f>'[3]勤務表 (2)'!Y35</f>
        <v/>
      </c>
      <c r="Z36" s="26" t="str">
        <f>'[3]勤務表 (2)'!Z35</f>
        <v/>
      </c>
      <c r="AA36" s="26" t="str">
        <f>'[3]勤務表 (2)'!AA35</f>
        <v/>
      </c>
      <c r="AB36" s="26" t="str">
        <f>'[3]勤務表 (2)'!AB35</f>
        <v>当</v>
      </c>
      <c r="AC36" s="26" t="str">
        <f>'[3]勤務表 (2)'!AC35</f>
        <v>明</v>
      </c>
      <c r="AD36" s="26" t="str">
        <f>'[3]勤務表 (2)'!AD35</f>
        <v>●</v>
      </c>
      <c r="AE36" s="26" t="str">
        <f>'[3]勤務表 (2)'!AE35</f>
        <v/>
      </c>
      <c r="AF36" s="26" t="str">
        <f>'[3]勤務表 (2)'!AF35</f>
        <v/>
      </c>
      <c r="AG36" s="26" t="str">
        <f>'[3]勤務表 (2)'!AG35</f>
        <v/>
      </c>
      <c r="AH36" s="26" t="str">
        <f>'[3]勤務表 (2)'!AH35</f>
        <v/>
      </c>
      <c r="AJ36" s="12">
        <f>IF(D36&lt;&gt;勤務変更!D36,1,0)</f>
        <v>0</v>
      </c>
      <c r="AK36" s="12">
        <f>IF(E36&lt;&gt;勤務変更!E36,1,0)</f>
        <v>0</v>
      </c>
      <c r="AL36" s="12">
        <f>IF(F36&lt;&gt;勤務変更!F36,1,0)</f>
        <v>0</v>
      </c>
      <c r="AM36" s="12">
        <f>IF(G36&lt;&gt;勤務変更!G36,1,0)</f>
        <v>0</v>
      </c>
      <c r="AN36" s="12">
        <f>IF(H36&lt;&gt;勤務変更!H36,1,0)</f>
        <v>0</v>
      </c>
      <c r="AO36" s="12">
        <f>IF(I36&lt;&gt;勤務変更!I36,1,0)</f>
        <v>0</v>
      </c>
      <c r="AP36" s="12">
        <f>IF(J36&lt;&gt;勤務変更!J36,1,0)</f>
        <v>0</v>
      </c>
      <c r="AQ36" s="12">
        <f>IF(K36&lt;&gt;勤務変更!K36,1,0)</f>
        <v>0</v>
      </c>
      <c r="AR36" s="12">
        <f>IF(L36&lt;&gt;勤務変更!L36,1,0)</f>
        <v>0</v>
      </c>
      <c r="AS36" s="12">
        <f>IF(M36&lt;&gt;勤務変更!M36,1,0)</f>
        <v>0</v>
      </c>
      <c r="AT36" s="12">
        <f>IF(N36&lt;&gt;勤務変更!N36,1,0)</f>
        <v>0</v>
      </c>
      <c r="AU36" s="12">
        <f>IF(O36&lt;&gt;勤務変更!O36,1,0)</f>
        <v>0</v>
      </c>
      <c r="AV36" s="12">
        <f>IF(P36&lt;&gt;勤務変更!P36,1,0)</f>
        <v>0</v>
      </c>
      <c r="AW36" s="12">
        <f>IF(Q36&lt;&gt;勤務変更!Q36,1,0)</f>
        <v>0</v>
      </c>
      <c r="AX36" s="12">
        <f>IF(R36&lt;&gt;勤務変更!R36,1,0)</f>
        <v>0</v>
      </c>
      <c r="AY36" s="12">
        <f>IF(S36&lt;&gt;勤務変更!S36,1,0)</f>
        <v>0</v>
      </c>
      <c r="AZ36" s="12">
        <f>IF(T36&lt;&gt;勤務変更!T36,1,0)</f>
        <v>0</v>
      </c>
      <c r="BA36" s="12">
        <f>IF(U36&lt;&gt;勤務変更!U36,1,0)</f>
        <v>0</v>
      </c>
      <c r="BB36" s="12">
        <f>IF(V36&lt;&gt;勤務変更!V36,1,0)</f>
        <v>0</v>
      </c>
      <c r="BC36" s="12">
        <f>IF(W36&lt;&gt;勤務変更!W36,1,0)</f>
        <v>0</v>
      </c>
      <c r="BD36" s="12">
        <f>IF(X36&lt;&gt;勤務変更!X36,1,0)</f>
        <v>0</v>
      </c>
      <c r="BE36" s="12">
        <f>IF(Y36&lt;&gt;勤務変更!Y36,1,0)</f>
        <v>0</v>
      </c>
      <c r="BF36" s="12">
        <f>IF(Z36&lt;&gt;勤務変更!Z36,1,0)</f>
        <v>0</v>
      </c>
      <c r="BG36" s="12">
        <f>IF(AA36&lt;&gt;勤務変更!AA36,1,0)</f>
        <v>0</v>
      </c>
      <c r="BH36" s="12">
        <f>IF(AB36&lt;&gt;勤務変更!AB36,1,0)</f>
        <v>0</v>
      </c>
      <c r="BI36" s="12">
        <f>IF(AC36&lt;&gt;勤務変更!AC36,1,0)</f>
        <v>0</v>
      </c>
      <c r="BJ36" s="12">
        <f>IF(AD36&lt;&gt;勤務変更!AD36,1,0)</f>
        <v>0</v>
      </c>
      <c r="BK36" s="12">
        <f>IF(AE36&lt;&gt;勤務変更!AE36,1,0)</f>
        <v>0</v>
      </c>
      <c r="BL36" s="12">
        <f>IF(AF36&lt;&gt;勤務変更!AF36,1,0)</f>
        <v>0</v>
      </c>
      <c r="BM36" s="12">
        <f>IF(AG36&lt;&gt;勤務変更!AG36,1,0)</f>
        <v>0</v>
      </c>
      <c r="BN36" s="12">
        <f>IF(AH36&lt;&gt;勤務変更!AH36,1,0)</f>
        <v>0</v>
      </c>
      <c r="BO36" s="12">
        <f t="shared" si="1"/>
        <v>0</v>
      </c>
      <c r="BP36" s="12" t="str">
        <f>IF(BR36="","",COUNTA(BR$4:BR36)-COUNTBLANK(BR$4:BR36))</f>
        <v/>
      </c>
      <c r="BQ36" s="12" t="str">
        <f t="shared" si="2"/>
        <v/>
      </c>
      <c r="BR36" s="12" t="str">
        <f t="shared" si="3"/>
        <v/>
      </c>
    </row>
    <row r="37" spans="1:70" ht="13.15" customHeight="1" x14ac:dyDescent="0.2">
      <c r="A37" s="9">
        <f>'[3]勤務表 (2)'!A36</f>
        <v>34</v>
      </c>
      <c r="B37" s="9" t="str">
        <f>'[3]勤務表 (2)'!B36</f>
        <v>130441</v>
      </c>
      <c r="C37" s="74" t="str">
        <f>'[3]勤務表 (2)'!C36</f>
        <v>袋 隼哉</v>
      </c>
      <c r="D37" s="26" t="str">
        <f>'[3]勤務表 (2)'!D36</f>
        <v/>
      </c>
      <c r="E37" s="26" t="str">
        <f>'[3]勤務表 (2)'!E36</f>
        <v/>
      </c>
      <c r="F37" s="26" t="str">
        <f>'[3]勤務表 (2)'!F36</f>
        <v/>
      </c>
      <c r="G37" s="26" t="str">
        <f>'[3]勤務表 (2)'!G36</f>
        <v>当</v>
      </c>
      <c r="H37" s="26" t="str">
        <f>'[3]勤務表 (2)'!H36</f>
        <v>明</v>
      </c>
      <c r="I37" s="26" t="str">
        <f>'[3]勤務表 (2)'!I36</f>
        <v>●</v>
      </c>
      <c r="J37" s="26" t="str">
        <f>'[3]勤務表 (2)'!J36</f>
        <v/>
      </c>
      <c r="K37" s="26" t="str">
        <f>'[3]勤務表 (2)'!K36</f>
        <v/>
      </c>
      <c r="L37" s="26" t="str">
        <f>'[3]勤務表 (2)'!L36</f>
        <v/>
      </c>
      <c r="M37" s="26" t="str">
        <f>'[3]勤務表 (2)'!M36</f>
        <v/>
      </c>
      <c r="N37" s="26" t="str">
        <f>'[3]勤務表 (2)'!N36</f>
        <v/>
      </c>
      <c r="O37" s="26" t="str">
        <f>'[3]勤務表 (2)'!O36</f>
        <v>○</v>
      </c>
      <c r="P37" s="26" t="str">
        <f>'[3]勤務表 (2)'!P36</f>
        <v>●</v>
      </c>
      <c r="Q37" s="26" t="str">
        <f>'[3]勤務表 (2)'!Q36</f>
        <v/>
      </c>
      <c r="R37" s="26" t="str">
        <f>'[3]勤務表 (2)'!R36</f>
        <v/>
      </c>
      <c r="S37" s="26" t="str">
        <f>'[3]勤務表 (2)'!S36</f>
        <v/>
      </c>
      <c r="T37" s="26" t="str">
        <f>'[3]勤務表 (2)'!T36</f>
        <v>当</v>
      </c>
      <c r="U37" s="26" t="str">
        <f>'[3]勤務表 (2)'!U36</f>
        <v>明</v>
      </c>
      <c r="V37" s="26" t="str">
        <f>'[3]勤務表 (2)'!V36</f>
        <v>／</v>
      </c>
      <c r="W37" s="26" t="str">
        <f>'[3]勤務表 (2)'!W36</f>
        <v>●</v>
      </c>
      <c r="X37" s="26" t="str">
        <f>'[3]勤務表 (2)'!X36</f>
        <v/>
      </c>
      <c r="Y37" s="26" t="str">
        <f>'[3]勤務表 (2)'!Y36</f>
        <v>当</v>
      </c>
      <c r="Z37" s="26" t="str">
        <f>'[3]勤務表 (2)'!Z36</f>
        <v>明</v>
      </c>
      <c r="AA37" s="26" t="str">
        <f>'[3]勤務表 (2)'!AA36</f>
        <v/>
      </c>
      <c r="AB37" s="26" t="str">
        <f>'[3]勤務表 (2)'!AB36</f>
        <v/>
      </c>
      <c r="AC37" s="26" t="str">
        <f>'[3]勤務表 (2)'!AC36</f>
        <v>○</v>
      </c>
      <c r="AD37" s="26" t="str">
        <f>'[3]勤務表 (2)'!AD36</f>
        <v>●</v>
      </c>
      <c r="AE37" s="26" t="str">
        <f>'[3]勤務表 (2)'!AE36</f>
        <v/>
      </c>
      <c r="AF37" s="26" t="str">
        <f>'[3]勤務表 (2)'!AF36</f>
        <v/>
      </c>
      <c r="AG37" s="26" t="str">
        <f>'[3]勤務表 (2)'!AG36</f>
        <v/>
      </c>
      <c r="AH37" s="26" t="str">
        <f>'[3]勤務表 (2)'!AH36</f>
        <v/>
      </c>
      <c r="AJ37" s="12">
        <f>IF(D37&lt;&gt;勤務変更!D37,1,0)</f>
        <v>0</v>
      </c>
      <c r="AK37" s="12">
        <f>IF(E37&lt;&gt;勤務変更!E37,1,0)</f>
        <v>0</v>
      </c>
      <c r="AL37" s="12">
        <f>IF(F37&lt;&gt;勤務変更!F37,1,0)</f>
        <v>0</v>
      </c>
      <c r="AM37" s="12">
        <f>IF(G37&lt;&gt;勤務変更!G37,1,0)</f>
        <v>0</v>
      </c>
      <c r="AN37" s="12">
        <f>IF(H37&lt;&gt;勤務変更!H37,1,0)</f>
        <v>0</v>
      </c>
      <c r="AO37" s="12">
        <f>IF(I37&lt;&gt;勤務変更!I37,1,0)</f>
        <v>0</v>
      </c>
      <c r="AP37" s="12">
        <f>IF(J37&lt;&gt;勤務変更!J37,1,0)</f>
        <v>0</v>
      </c>
      <c r="AQ37" s="12">
        <f>IF(K37&lt;&gt;勤務変更!K37,1,0)</f>
        <v>0</v>
      </c>
      <c r="AR37" s="12">
        <f>IF(L37&lt;&gt;勤務変更!L37,1,0)</f>
        <v>0</v>
      </c>
      <c r="AS37" s="12">
        <f>IF(M37&lt;&gt;勤務変更!M37,1,0)</f>
        <v>0</v>
      </c>
      <c r="AT37" s="12">
        <f>IF(N37&lt;&gt;勤務変更!N37,1,0)</f>
        <v>0</v>
      </c>
      <c r="AU37" s="12">
        <f>IF(O37&lt;&gt;勤務変更!O37,1,0)</f>
        <v>0</v>
      </c>
      <c r="AV37" s="12">
        <f>IF(P37&lt;&gt;勤務変更!P37,1,0)</f>
        <v>0</v>
      </c>
      <c r="AW37" s="12">
        <f>IF(Q37&lt;&gt;勤務変更!Q37,1,0)</f>
        <v>0</v>
      </c>
      <c r="AX37" s="12">
        <f>IF(R37&lt;&gt;勤務変更!R37,1,0)</f>
        <v>0</v>
      </c>
      <c r="AY37" s="12">
        <f>IF(S37&lt;&gt;勤務変更!S37,1,0)</f>
        <v>0</v>
      </c>
      <c r="AZ37" s="12">
        <f>IF(T37&lt;&gt;勤務変更!T37,1,0)</f>
        <v>0</v>
      </c>
      <c r="BA37" s="12">
        <f>IF(U37&lt;&gt;勤務変更!U37,1,0)</f>
        <v>0</v>
      </c>
      <c r="BB37" s="12">
        <f>IF(V37&lt;&gt;勤務変更!V37,1,0)</f>
        <v>0</v>
      </c>
      <c r="BC37" s="12">
        <f>IF(W37&lt;&gt;勤務変更!W37,1,0)</f>
        <v>0</v>
      </c>
      <c r="BD37" s="12">
        <f>IF(X37&lt;&gt;勤務変更!X37,1,0)</f>
        <v>0</v>
      </c>
      <c r="BE37" s="12">
        <f>IF(Y37&lt;&gt;勤務変更!Y37,1,0)</f>
        <v>0</v>
      </c>
      <c r="BF37" s="12">
        <f>IF(Z37&lt;&gt;勤務変更!Z37,1,0)</f>
        <v>0</v>
      </c>
      <c r="BG37" s="12">
        <f>IF(AA37&lt;&gt;勤務変更!AA37,1,0)</f>
        <v>0</v>
      </c>
      <c r="BH37" s="12">
        <f>IF(AB37&lt;&gt;勤務変更!AB37,1,0)</f>
        <v>0</v>
      </c>
      <c r="BI37" s="12">
        <f>IF(AC37&lt;&gt;勤務変更!AC37,1,0)</f>
        <v>0</v>
      </c>
      <c r="BJ37" s="12">
        <f>IF(AD37&lt;&gt;勤務変更!AD37,1,0)</f>
        <v>0</v>
      </c>
      <c r="BK37" s="12">
        <f>IF(AE37&lt;&gt;勤務変更!AE37,1,0)</f>
        <v>0</v>
      </c>
      <c r="BL37" s="12">
        <f>IF(AF37&lt;&gt;勤務変更!AF37,1,0)</f>
        <v>0</v>
      </c>
      <c r="BM37" s="12">
        <f>IF(AG37&lt;&gt;勤務変更!AG37,1,0)</f>
        <v>0</v>
      </c>
      <c r="BN37" s="12">
        <f>IF(AH37&lt;&gt;勤務変更!AH37,1,0)</f>
        <v>0</v>
      </c>
      <c r="BO37" s="12">
        <f t="shared" si="1"/>
        <v>0</v>
      </c>
      <c r="BP37" s="12" t="str">
        <f>IF(BR37="","",COUNTA(BR$4:BR37)-COUNTBLANK(BR$4:BR37))</f>
        <v/>
      </c>
      <c r="BQ37" s="12" t="str">
        <f t="shared" si="2"/>
        <v/>
      </c>
      <c r="BR37" s="12" t="str">
        <f t="shared" si="3"/>
        <v/>
      </c>
    </row>
    <row r="38" spans="1:70" ht="13.15" customHeight="1" x14ac:dyDescent="0.2">
      <c r="A38" s="9">
        <f>'[3]勤務表 (2)'!A37</f>
        <v>35</v>
      </c>
      <c r="B38" s="9" t="str">
        <f>'[3]勤務表 (2)'!B37</f>
        <v>130831</v>
      </c>
      <c r="C38" s="74" t="str">
        <f>'[3]勤務表 (2)'!C37</f>
        <v>雨池 凌也</v>
      </c>
      <c r="D38" s="26" t="str">
        <f>'[3]勤務表 (2)'!D37</f>
        <v/>
      </c>
      <c r="E38" s="26" t="str">
        <f>'[3]勤務表 (2)'!E37</f>
        <v/>
      </c>
      <c r="F38" s="26" t="str">
        <f>'[3]勤務表 (2)'!F37</f>
        <v/>
      </c>
      <c r="G38" s="26" t="str">
        <f>'[3]勤務表 (2)'!G37</f>
        <v/>
      </c>
      <c r="H38" s="26" t="str">
        <f>'[3]勤務表 (2)'!H37</f>
        <v>○</v>
      </c>
      <c r="I38" s="26" t="str">
        <f>'[3]勤務表 (2)'!I37</f>
        <v>●</v>
      </c>
      <c r="J38" s="26" t="str">
        <f>'[3]勤務表 (2)'!J37</f>
        <v/>
      </c>
      <c r="K38" s="26" t="str">
        <f>'[3]勤務表 (2)'!K37</f>
        <v>当</v>
      </c>
      <c r="L38" s="26" t="str">
        <f>'[3]勤務表 (2)'!L37</f>
        <v>明</v>
      </c>
      <c r="M38" s="26" t="str">
        <f>'[3]勤務表 (2)'!M37</f>
        <v/>
      </c>
      <c r="N38" s="26" t="str">
        <f>'[3]勤務表 (2)'!N37</f>
        <v/>
      </c>
      <c r="O38" s="26" t="str">
        <f>'[3]勤務表 (2)'!O37</f>
        <v>／</v>
      </c>
      <c r="P38" s="26" t="str">
        <f>'[3]勤務表 (2)'!P37</f>
        <v>●</v>
      </c>
      <c r="Q38" s="26" t="str">
        <f>'[3]勤務表 (2)'!Q37</f>
        <v/>
      </c>
      <c r="R38" s="26" t="str">
        <f>'[3]勤務表 (2)'!R37</f>
        <v/>
      </c>
      <c r="S38" s="26" t="str">
        <f>'[3]勤務表 (2)'!S37</f>
        <v/>
      </c>
      <c r="T38" s="26" t="str">
        <f>'[3]勤務表 (2)'!T37</f>
        <v/>
      </c>
      <c r="U38" s="26" t="str">
        <f>'[3]勤務表 (2)'!U37</f>
        <v/>
      </c>
      <c r="V38" s="26" t="str">
        <f>'[3]勤務表 (2)'!V37</f>
        <v>○</v>
      </c>
      <c r="W38" s="26" t="str">
        <f>'[3]勤務表 (2)'!W37</f>
        <v>当</v>
      </c>
      <c r="X38" s="26" t="str">
        <f>'[3]勤務表 (2)'!X37</f>
        <v>明</v>
      </c>
      <c r="Y38" s="26" t="str">
        <f>'[3]勤務表 (2)'!Y37</f>
        <v>●</v>
      </c>
      <c r="Z38" s="26" t="str">
        <f>'[3]勤務表 (2)'!Z37</f>
        <v/>
      </c>
      <c r="AA38" s="26" t="str">
        <f>'[3]勤務表 (2)'!AA37</f>
        <v/>
      </c>
      <c r="AB38" s="26" t="str">
        <f>'[3]勤務表 (2)'!AB37</f>
        <v/>
      </c>
      <c r="AC38" s="26" t="str">
        <f>'[3]勤務表 (2)'!AC37</f>
        <v>当</v>
      </c>
      <c r="AD38" s="26" t="str">
        <f>'[3]勤務表 (2)'!AD37</f>
        <v>明</v>
      </c>
      <c r="AE38" s="26" t="str">
        <f>'[3]勤務表 (2)'!AE37</f>
        <v>●</v>
      </c>
      <c r="AF38" s="26" t="str">
        <f>'[3]勤務表 (2)'!AF37</f>
        <v/>
      </c>
      <c r="AG38" s="26" t="str">
        <f>'[3]勤務表 (2)'!AG37</f>
        <v/>
      </c>
      <c r="AH38" s="26" t="str">
        <f>'[3]勤務表 (2)'!AH37</f>
        <v/>
      </c>
      <c r="AJ38" s="12">
        <f>IF(D38&lt;&gt;勤務変更!D38,1,0)</f>
        <v>0</v>
      </c>
      <c r="AK38" s="12">
        <f>IF(E38&lt;&gt;勤務変更!E38,1,0)</f>
        <v>0</v>
      </c>
      <c r="AL38" s="12">
        <f>IF(F38&lt;&gt;勤務変更!F38,1,0)</f>
        <v>0</v>
      </c>
      <c r="AM38" s="12">
        <f>IF(G38&lt;&gt;勤務変更!G38,1,0)</f>
        <v>0</v>
      </c>
      <c r="AN38" s="12">
        <f>IF(H38&lt;&gt;勤務変更!H38,1,0)</f>
        <v>0</v>
      </c>
      <c r="AO38" s="12">
        <f>IF(I38&lt;&gt;勤務変更!I38,1,0)</f>
        <v>0</v>
      </c>
      <c r="AP38" s="12">
        <f>IF(J38&lt;&gt;勤務変更!J38,1,0)</f>
        <v>0</v>
      </c>
      <c r="AQ38" s="12">
        <f>IF(K38&lt;&gt;勤務変更!K38,1,0)</f>
        <v>0</v>
      </c>
      <c r="AR38" s="12">
        <f>IF(L38&lt;&gt;勤務変更!L38,1,0)</f>
        <v>0</v>
      </c>
      <c r="AS38" s="12">
        <f>IF(M38&lt;&gt;勤務変更!M38,1,0)</f>
        <v>0</v>
      </c>
      <c r="AT38" s="12">
        <f>IF(N38&lt;&gt;勤務変更!N38,1,0)</f>
        <v>0</v>
      </c>
      <c r="AU38" s="12">
        <f>IF(O38&lt;&gt;勤務変更!O38,1,0)</f>
        <v>0</v>
      </c>
      <c r="AV38" s="12">
        <f>IF(P38&lt;&gt;勤務変更!P38,1,0)</f>
        <v>0</v>
      </c>
      <c r="AW38" s="12">
        <f>IF(Q38&lt;&gt;勤務変更!Q38,1,0)</f>
        <v>0</v>
      </c>
      <c r="AX38" s="12">
        <f>IF(R38&lt;&gt;勤務変更!R38,1,0)</f>
        <v>0</v>
      </c>
      <c r="AY38" s="12">
        <f>IF(S38&lt;&gt;勤務変更!S38,1,0)</f>
        <v>0</v>
      </c>
      <c r="AZ38" s="12">
        <f>IF(T38&lt;&gt;勤務変更!T38,1,0)</f>
        <v>0</v>
      </c>
      <c r="BA38" s="12">
        <f>IF(U38&lt;&gt;勤務変更!U38,1,0)</f>
        <v>0</v>
      </c>
      <c r="BB38" s="12">
        <f>IF(V38&lt;&gt;勤務変更!V38,1,0)</f>
        <v>0</v>
      </c>
      <c r="BC38" s="12">
        <f>IF(W38&lt;&gt;勤務変更!W38,1,0)</f>
        <v>0</v>
      </c>
      <c r="BD38" s="12">
        <f>IF(X38&lt;&gt;勤務変更!X38,1,0)</f>
        <v>0</v>
      </c>
      <c r="BE38" s="12">
        <f>IF(Y38&lt;&gt;勤務変更!Y38,1,0)</f>
        <v>0</v>
      </c>
      <c r="BF38" s="12">
        <f>IF(Z38&lt;&gt;勤務変更!Z38,1,0)</f>
        <v>0</v>
      </c>
      <c r="BG38" s="12">
        <f>IF(AA38&lt;&gt;勤務変更!AA38,1,0)</f>
        <v>0</v>
      </c>
      <c r="BH38" s="12">
        <f>IF(AB38&lt;&gt;勤務変更!AB38,1,0)</f>
        <v>0</v>
      </c>
      <c r="BI38" s="12">
        <f>IF(AC38&lt;&gt;勤務変更!AC38,1,0)</f>
        <v>0</v>
      </c>
      <c r="BJ38" s="12">
        <f>IF(AD38&lt;&gt;勤務変更!AD38,1,0)</f>
        <v>0</v>
      </c>
      <c r="BK38" s="12">
        <f>IF(AE38&lt;&gt;勤務変更!AE38,1,0)</f>
        <v>0</v>
      </c>
      <c r="BL38" s="12">
        <f>IF(AF38&lt;&gt;勤務変更!AF38,1,0)</f>
        <v>0</v>
      </c>
      <c r="BM38" s="12">
        <f>IF(AG38&lt;&gt;勤務変更!AG38,1,0)</f>
        <v>0</v>
      </c>
      <c r="BN38" s="12">
        <f>IF(AH38&lt;&gt;勤務変更!AH38,1,0)</f>
        <v>0</v>
      </c>
      <c r="BO38" s="12">
        <f t="shared" si="1"/>
        <v>0</v>
      </c>
      <c r="BP38" s="12" t="str">
        <f>IF(BR38="","",COUNTA(BR$4:BR38)-COUNTBLANK(BR$4:BR38))</f>
        <v/>
      </c>
      <c r="BQ38" s="12" t="str">
        <f t="shared" si="2"/>
        <v/>
      </c>
      <c r="BR38" s="12" t="str">
        <f t="shared" si="3"/>
        <v/>
      </c>
    </row>
    <row r="39" spans="1:70" ht="13.15" customHeight="1" x14ac:dyDescent="0.2">
      <c r="A39" s="9">
        <f>'[3]勤務表 (2)'!A38</f>
        <v>36</v>
      </c>
      <c r="B39" s="9" t="str">
        <f>'[3]勤務表 (2)'!B38</f>
        <v>131603</v>
      </c>
      <c r="C39" s="74" t="str">
        <f>'[3]勤務表 (2)'!C38</f>
        <v>中川 大誠</v>
      </c>
      <c r="D39" s="26" t="str">
        <f>'[3]勤務表 (2)'!D38</f>
        <v/>
      </c>
      <c r="E39" s="26" t="str">
        <f>'[3]勤務表 (2)'!E38</f>
        <v/>
      </c>
      <c r="F39" s="26" t="str">
        <f>'[3]勤務表 (2)'!F38</f>
        <v/>
      </c>
      <c r="G39" s="26" t="str">
        <f>'[3]勤務表 (2)'!G38</f>
        <v/>
      </c>
      <c r="H39" s="26" t="str">
        <f>'[3]勤務表 (2)'!H38</f>
        <v>○</v>
      </c>
      <c r="I39" s="26" t="str">
        <f>'[3]勤務表 (2)'!I38</f>
        <v>●</v>
      </c>
      <c r="J39" s="26" t="str">
        <f>'[3]勤務表 (2)'!J38</f>
        <v/>
      </c>
      <c r="K39" s="26" t="str">
        <f>'[3]勤務表 (2)'!K38</f>
        <v/>
      </c>
      <c r="L39" s="26" t="str">
        <f>'[3]勤務表 (2)'!L38</f>
        <v/>
      </c>
      <c r="M39" s="26" t="str">
        <f>'[3]勤務表 (2)'!M38</f>
        <v/>
      </c>
      <c r="N39" s="26" t="str">
        <f>'[3]勤務表 (2)'!N38</f>
        <v/>
      </c>
      <c r="O39" s="26" t="str">
        <f>'[3]勤務表 (2)'!O38</f>
        <v>○</v>
      </c>
      <c r="P39" s="26" t="str">
        <f>'[3]勤務表 (2)'!P38</f>
        <v>●</v>
      </c>
      <c r="Q39" s="26" t="str">
        <f>'[3]勤務表 (2)'!Q38</f>
        <v/>
      </c>
      <c r="R39" s="26" t="str">
        <f>'[3]勤務表 (2)'!R38</f>
        <v/>
      </c>
      <c r="S39" s="26" t="str">
        <f>'[3]勤務表 (2)'!S38</f>
        <v/>
      </c>
      <c r="T39" s="26" t="str">
        <f>'[3]勤務表 (2)'!T38</f>
        <v/>
      </c>
      <c r="U39" s="26" t="str">
        <f>'[3]勤務表 (2)'!U38</f>
        <v/>
      </c>
      <c r="V39" s="26" t="str">
        <f>'[3]勤務表 (2)'!V38</f>
        <v>○</v>
      </c>
      <c r="W39" s="26" t="str">
        <f>'[3]勤務表 (2)'!W38</f>
        <v>●</v>
      </c>
      <c r="X39" s="26" t="str">
        <f>'[3]勤務表 (2)'!X38</f>
        <v/>
      </c>
      <c r="Y39" s="26" t="str">
        <f>'[3]勤務表 (2)'!Y38</f>
        <v/>
      </c>
      <c r="Z39" s="26" t="str">
        <f>'[3]勤務表 (2)'!Z38</f>
        <v/>
      </c>
      <c r="AA39" s="26" t="str">
        <f>'[3]勤務表 (2)'!AA38</f>
        <v/>
      </c>
      <c r="AB39" s="26" t="str">
        <f>'[3]勤務表 (2)'!AB38</f>
        <v/>
      </c>
      <c r="AC39" s="26" t="str">
        <f>'[3]勤務表 (2)'!AC38</f>
        <v>○</v>
      </c>
      <c r="AD39" s="26" t="str">
        <f>'[3]勤務表 (2)'!AD38</f>
        <v>●</v>
      </c>
      <c r="AE39" s="26" t="str">
        <f>'[3]勤務表 (2)'!AE38</f>
        <v/>
      </c>
      <c r="AF39" s="26" t="str">
        <f>'[3]勤務表 (2)'!AF38</f>
        <v/>
      </c>
      <c r="AG39" s="26" t="str">
        <f>'[3]勤務表 (2)'!AG38</f>
        <v/>
      </c>
      <c r="AH39" s="26" t="str">
        <f>'[3]勤務表 (2)'!AH38</f>
        <v/>
      </c>
      <c r="AJ39" s="12">
        <f>IF(D39&lt;&gt;勤務変更!D39,1,0)</f>
        <v>0</v>
      </c>
      <c r="AK39" s="12">
        <f>IF(E39&lt;&gt;勤務変更!E39,1,0)</f>
        <v>0</v>
      </c>
      <c r="AL39" s="12">
        <f>IF(F39&lt;&gt;勤務変更!F39,1,0)</f>
        <v>0</v>
      </c>
      <c r="AM39" s="12">
        <f>IF(G39&lt;&gt;勤務変更!G39,1,0)</f>
        <v>0</v>
      </c>
      <c r="AN39" s="12">
        <f>IF(H39&lt;&gt;勤務変更!H39,1,0)</f>
        <v>0</v>
      </c>
      <c r="AO39" s="12">
        <f>IF(I39&lt;&gt;勤務変更!I39,1,0)</f>
        <v>0</v>
      </c>
      <c r="AP39" s="12">
        <f>IF(J39&lt;&gt;勤務変更!J39,1,0)</f>
        <v>0</v>
      </c>
      <c r="AQ39" s="12">
        <f>IF(K39&lt;&gt;勤務変更!K39,1,0)</f>
        <v>0</v>
      </c>
      <c r="AR39" s="12">
        <f>IF(L39&lt;&gt;勤務変更!L39,1,0)</f>
        <v>0</v>
      </c>
      <c r="AS39" s="12">
        <f>IF(M39&lt;&gt;勤務変更!M39,1,0)</f>
        <v>0</v>
      </c>
      <c r="AT39" s="12">
        <f>IF(N39&lt;&gt;勤務変更!N39,1,0)</f>
        <v>0</v>
      </c>
      <c r="AU39" s="12">
        <f>IF(O39&lt;&gt;勤務変更!O39,1,0)</f>
        <v>0</v>
      </c>
      <c r="AV39" s="12">
        <f>IF(P39&lt;&gt;勤務変更!P39,1,0)</f>
        <v>0</v>
      </c>
      <c r="AW39" s="12">
        <f>IF(Q39&lt;&gt;勤務変更!Q39,1,0)</f>
        <v>0</v>
      </c>
      <c r="AX39" s="12">
        <f>IF(R39&lt;&gt;勤務変更!R39,1,0)</f>
        <v>0</v>
      </c>
      <c r="AY39" s="12">
        <f>IF(S39&lt;&gt;勤務変更!S39,1,0)</f>
        <v>0</v>
      </c>
      <c r="AZ39" s="12">
        <f>IF(T39&lt;&gt;勤務変更!T39,1,0)</f>
        <v>0</v>
      </c>
      <c r="BA39" s="12">
        <f>IF(U39&lt;&gt;勤務変更!U39,1,0)</f>
        <v>0</v>
      </c>
      <c r="BB39" s="12">
        <f>IF(V39&lt;&gt;勤務変更!V39,1,0)</f>
        <v>0</v>
      </c>
      <c r="BC39" s="12">
        <f>IF(W39&lt;&gt;勤務変更!W39,1,0)</f>
        <v>0</v>
      </c>
      <c r="BD39" s="12">
        <f>IF(X39&lt;&gt;勤務変更!X39,1,0)</f>
        <v>0</v>
      </c>
      <c r="BE39" s="12">
        <f>IF(Y39&lt;&gt;勤務変更!Y39,1,0)</f>
        <v>0</v>
      </c>
      <c r="BF39" s="12">
        <f>IF(Z39&lt;&gt;勤務変更!Z39,1,0)</f>
        <v>0</v>
      </c>
      <c r="BG39" s="12">
        <f>IF(AA39&lt;&gt;勤務変更!AA39,1,0)</f>
        <v>0</v>
      </c>
      <c r="BH39" s="12">
        <f>IF(AB39&lt;&gt;勤務変更!AB39,1,0)</f>
        <v>0</v>
      </c>
      <c r="BI39" s="12">
        <f>IF(AC39&lt;&gt;勤務変更!AC39,1,0)</f>
        <v>0</v>
      </c>
      <c r="BJ39" s="12">
        <f>IF(AD39&lt;&gt;勤務変更!AD39,1,0)</f>
        <v>0</v>
      </c>
      <c r="BK39" s="12">
        <f>IF(AE39&lt;&gt;勤務変更!AE39,1,0)</f>
        <v>0</v>
      </c>
      <c r="BL39" s="12">
        <f>IF(AF39&lt;&gt;勤務変更!AF39,1,0)</f>
        <v>0</v>
      </c>
      <c r="BM39" s="12">
        <f>IF(AG39&lt;&gt;勤務変更!AG39,1,0)</f>
        <v>0</v>
      </c>
      <c r="BN39" s="12">
        <f>IF(AH39&lt;&gt;勤務変更!AH39,1,0)</f>
        <v>0</v>
      </c>
      <c r="BO39" s="12">
        <f t="shared" si="1"/>
        <v>0</v>
      </c>
      <c r="BP39" s="12" t="str">
        <f>IF(BR39="","",COUNTA(BR$4:BR39)-COUNTBLANK(BR$4:BR39))</f>
        <v/>
      </c>
      <c r="BQ39" s="12" t="str">
        <f t="shared" si="2"/>
        <v/>
      </c>
      <c r="BR39" s="12" t="str">
        <f t="shared" si="3"/>
        <v/>
      </c>
    </row>
    <row r="40" spans="1:70" ht="13.15" customHeight="1" x14ac:dyDescent="0.2">
      <c r="A40" s="9">
        <f>'[3]勤務表 (2)'!A39</f>
        <v>37</v>
      </c>
      <c r="B40" s="9" t="str">
        <f>'[3]勤務表 (2)'!B39</f>
        <v>138041</v>
      </c>
      <c r="C40" s="74" t="str">
        <f>'[3]勤務表 (2)'!C39</f>
        <v>清水 正生</v>
      </c>
      <c r="D40" s="26" t="str">
        <f>'[3]勤務表 (2)'!D39</f>
        <v/>
      </c>
      <c r="E40" s="26" t="str">
        <f>'[3]勤務表 (2)'!E39</f>
        <v/>
      </c>
      <c r="F40" s="26" t="str">
        <f>'[3]勤務表 (2)'!F39</f>
        <v/>
      </c>
      <c r="G40" s="26" t="str">
        <f>'[3]勤務表 (2)'!G39</f>
        <v>当</v>
      </c>
      <c r="H40" s="26" t="str">
        <f>'[3]勤務表 (2)'!H39</f>
        <v>明</v>
      </c>
      <c r="I40" s="26" t="str">
        <f>'[3]勤務表 (2)'!I39</f>
        <v>●</v>
      </c>
      <c r="J40" s="26" t="str">
        <f>'[3]勤務表 (2)'!J39</f>
        <v/>
      </c>
      <c r="K40" s="26" t="str">
        <f>'[3]勤務表 (2)'!K39</f>
        <v/>
      </c>
      <c r="L40" s="26" t="str">
        <f>'[3]勤務表 (2)'!L39</f>
        <v/>
      </c>
      <c r="M40" s="26" t="str">
        <f>'[3]勤務表 (2)'!M39</f>
        <v/>
      </c>
      <c r="N40" s="26" t="str">
        <f>'[3]勤務表 (2)'!N39</f>
        <v/>
      </c>
      <c r="O40" s="26" t="str">
        <f>'[3]勤務表 (2)'!O39</f>
        <v>○</v>
      </c>
      <c r="P40" s="26" t="str">
        <f>'[3]勤務表 (2)'!P39</f>
        <v>●</v>
      </c>
      <c r="Q40" s="26" t="str">
        <f>'[3]勤務表 (2)'!Q39</f>
        <v/>
      </c>
      <c r="R40" s="26" t="str">
        <f>'[3]勤務表 (2)'!R39</f>
        <v/>
      </c>
      <c r="S40" s="26" t="str">
        <f>'[3]勤務表 (2)'!S39</f>
        <v/>
      </c>
      <c r="T40" s="26" t="str">
        <f>'[3]勤務表 (2)'!T39</f>
        <v/>
      </c>
      <c r="U40" s="26" t="str">
        <f>'[3]勤務表 (2)'!U39</f>
        <v/>
      </c>
      <c r="V40" s="26" t="str">
        <f>'[3]勤務表 (2)'!V39</f>
        <v>／</v>
      </c>
      <c r="W40" s="26" t="str">
        <f>'[3]勤務表 (2)'!W39</f>
        <v>●</v>
      </c>
      <c r="X40" s="26" t="str">
        <f>'[3]勤務表 (2)'!X39</f>
        <v/>
      </c>
      <c r="Y40" s="26" t="str">
        <f>'[3]勤務表 (2)'!Y39</f>
        <v/>
      </c>
      <c r="Z40" s="26" t="str">
        <f>'[3]勤務表 (2)'!Z39</f>
        <v/>
      </c>
      <c r="AA40" s="26" t="str">
        <f>'[3]勤務表 (2)'!AA39</f>
        <v>当</v>
      </c>
      <c r="AB40" s="26" t="str">
        <f>'[3]勤務表 (2)'!AB39</f>
        <v>明</v>
      </c>
      <c r="AC40" s="26" t="str">
        <f>'[3]勤務表 (2)'!AC39</f>
        <v>○</v>
      </c>
      <c r="AD40" s="26" t="str">
        <f>'[3]勤務表 (2)'!AD39</f>
        <v>●</v>
      </c>
      <c r="AE40" s="26" t="str">
        <f>'[3]勤務表 (2)'!AE39</f>
        <v/>
      </c>
      <c r="AF40" s="26" t="str">
        <f>'[3]勤務表 (2)'!AF39</f>
        <v/>
      </c>
      <c r="AG40" s="26" t="str">
        <f>'[3]勤務表 (2)'!AG39</f>
        <v/>
      </c>
      <c r="AH40" s="26" t="str">
        <f>'[3]勤務表 (2)'!AH39</f>
        <v/>
      </c>
      <c r="AJ40" s="12">
        <f>IF(D40&lt;&gt;勤務変更!D40,1,0)</f>
        <v>0</v>
      </c>
      <c r="AK40" s="12">
        <f>IF(E40&lt;&gt;勤務変更!E40,1,0)</f>
        <v>0</v>
      </c>
      <c r="AL40" s="12">
        <f>IF(F40&lt;&gt;勤務変更!F40,1,0)</f>
        <v>0</v>
      </c>
      <c r="AM40" s="12">
        <f>IF(G40&lt;&gt;勤務変更!G40,1,0)</f>
        <v>0</v>
      </c>
      <c r="AN40" s="12">
        <f>IF(H40&lt;&gt;勤務変更!H40,1,0)</f>
        <v>0</v>
      </c>
      <c r="AO40" s="12">
        <f>IF(I40&lt;&gt;勤務変更!I40,1,0)</f>
        <v>0</v>
      </c>
      <c r="AP40" s="12">
        <f>IF(J40&lt;&gt;勤務変更!J40,1,0)</f>
        <v>0</v>
      </c>
      <c r="AQ40" s="12">
        <f>IF(K40&lt;&gt;勤務変更!K40,1,0)</f>
        <v>0</v>
      </c>
      <c r="AR40" s="12">
        <f>IF(L40&lt;&gt;勤務変更!L40,1,0)</f>
        <v>0</v>
      </c>
      <c r="AS40" s="12">
        <f>IF(M40&lt;&gt;勤務変更!M40,1,0)</f>
        <v>0</v>
      </c>
      <c r="AT40" s="12">
        <f>IF(N40&lt;&gt;勤務変更!N40,1,0)</f>
        <v>0</v>
      </c>
      <c r="AU40" s="12">
        <f>IF(O40&lt;&gt;勤務変更!O40,1,0)</f>
        <v>0</v>
      </c>
      <c r="AV40" s="12">
        <f>IF(P40&lt;&gt;勤務変更!P40,1,0)</f>
        <v>0</v>
      </c>
      <c r="AW40" s="12">
        <f>IF(Q40&lt;&gt;勤務変更!Q40,1,0)</f>
        <v>0</v>
      </c>
      <c r="AX40" s="12">
        <f>IF(R40&lt;&gt;勤務変更!R40,1,0)</f>
        <v>0</v>
      </c>
      <c r="AY40" s="12">
        <f>IF(S40&lt;&gt;勤務変更!S40,1,0)</f>
        <v>0</v>
      </c>
      <c r="AZ40" s="12">
        <f>IF(T40&lt;&gt;勤務変更!T40,1,0)</f>
        <v>0</v>
      </c>
      <c r="BA40" s="12">
        <f>IF(U40&lt;&gt;勤務変更!U40,1,0)</f>
        <v>0</v>
      </c>
      <c r="BB40" s="12">
        <f>IF(V40&lt;&gt;勤務変更!V40,1,0)</f>
        <v>0</v>
      </c>
      <c r="BC40" s="12">
        <f>IF(W40&lt;&gt;勤務変更!W40,1,0)</f>
        <v>0</v>
      </c>
      <c r="BD40" s="12">
        <f>IF(X40&lt;&gt;勤務変更!X40,1,0)</f>
        <v>0</v>
      </c>
      <c r="BE40" s="12">
        <f>IF(Y40&lt;&gt;勤務変更!Y40,1,0)</f>
        <v>0</v>
      </c>
      <c r="BF40" s="12">
        <f>IF(Z40&lt;&gt;勤務変更!Z40,1,0)</f>
        <v>0</v>
      </c>
      <c r="BG40" s="12">
        <f>IF(AA40&lt;&gt;勤務変更!AA40,1,0)</f>
        <v>0</v>
      </c>
      <c r="BH40" s="12">
        <f>IF(AB40&lt;&gt;勤務変更!AB40,1,0)</f>
        <v>0</v>
      </c>
      <c r="BI40" s="12">
        <f>IF(AC40&lt;&gt;勤務変更!AC40,1,0)</f>
        <v>0</v>
      </c>
      <c r="BJ40" s="12">
        <f>IF(AD40&lt;&gt;勤務変更!AD40,1,0)</f>
        <v>0</v>
      </c>
      <c r="BK40" s="12">
        <f>IF(AE40&lt;&gt;勤務変更!AE40,1,0)</f>
        <v>0</v>
      </c>
      <c r="BL40" s="12">
        <f>IF(AF40&lt;&gt;勤務変更!AF40,1,0)</f>
        <v>0</v>
      </c>
      <c r="BM40" s="12">
        <f>IF(AG40&lt;&gt;勤務変更!AG40,1,0)</f>
        <v>0</v>
      </c>
      <c r="BN40" s="12">
        <f>IF(AH40&lt;&gt;勤務変更!AH40,1,0)</f>
        <v>0</v>
      </c>
      <c r="BO40" s="12">
        <f t="shared" si="1"/>
        <v>0</v>
      </c>
      <c r="BP40" s="12" t="str">
        <f>IF(BR40="","",COUNTA(BR$4:BR40)-COUNTBLANK(BR$4:BR40))</f>
        <v/>
      </c>
      <c r="BQ40" s="12" t="str">
        <f t="shared" si="2"/>
        <v/>
      </c>
      <c r="BR40" s="12" t="str">
        <f t="shared" si="3"/>
        <v/>
      </c>
    </row>
    <row r="41" spans="1:70" ht="13.15" customHeight="1" x14ac:dyDescent="0.2">
      <c r="A41" s="9">
        <f>'[3]勤務表 (2)'!A40</f>
        <v>38</v>
      </c>
      <c r="B41" s="9" t="str">
        <f>'[3]勤務表 (2)'!B40</f>
        <v>138053</v>
      </c>
      <c r="C41" s="74" t="str">
        <f>'[3]勤務表 (2)'!C40</f>
        <v>菅野 祐萌</v>
      </c>
      <c r="D41" s="26" t="str">
        <f>'[3]勤務表 (2)'!D40</f>
        <v/>
      </c>
      <c r="E41" s="26" t="str">
        <f>'[3]勤務表 (2)'!E40</f>
        <v/>
      </c>
      <c r="F41" s="26" t="str">
        <f>'[3]勤務表 (2)'!F40</f>
        <v/>
      </c>
      <c r="G41" s="26" t="str">
        <f>'[3]勤務表 (2)'!G40</f>
        <v/>
      </c>
      <c r="H41" s="26" t="str">
        <f>'[3]勤務表 (2)'!H40</f>
        <v>○</v>
      </c>
      <c r="I41" s="26" t="str">
        <f>'[3]勤務表 (2)'!I40</f>
        <v/>
      </c>
      <c r="J41" s="26" t="str">
        <f>'[3]勤務表 (2)'!J40</f>
        <v/>
      </c>
      <c r="K41" s="26" t="str">
        <f>'[3]勤務表 (2)'!K40</f>
        <v/>
      </c>
      <c r="L41" s="26" t="str">
        <f>'[3]勤務表 (2)'!L40</f>
        <v/>
      </c>
      <c r="M41" s="26" t="str">
        <f>'[3]勤務表 (2)'!M40</f>
        <v/>
      </c>
      <c r="N41" s="26" t="str">
        <f>'[3]勤務表 (2)'!N40</f>
        <v/>
      </c>
      <c r="O41" s="26" t="str">
        <f>'[3]勤務表 (2)'!O40</f>
        <v>当</v>
      </c>
      <c r="P41" s="26" t="str">
        <f>'[3]勤務表 (2)'!P40</f>
        <v>明</v>
      </c>
      <c r="Q41" s="26" t="str">
        <f>'[3]勤務表 (2)'!Q40</f>
        <v>●</v>
      </c>
      <c r="R41" s="26" t="str">
        <f>'[3]勤務表 (2)'!R40</f>
        <v/>
      </c>
      <c r="S41" s="26" t="str">
        <f>'[3]勤務表 (2)'!S40</f>
        <v/>
      </c>
      <c r="T41" s="26" t="str">
        <f>'[3]勤務表 (2)'!T40</f>
        <v>当</v>
      </c>
      <c r="U41" s="26" t="str">
        <f>'[3]勤務表 (2)'!U40</f>
        <v>明</v>
      </c>
      <c r="V41" s="26" t="str">
        <f>'[3]勤務表 (2)'!V40</f>
        <v>○</v>
      </c>
      <c r="W41" s="26" t="str">
        <f>'[3]勤務表 (2)'!W40</f>
        <v>●</v>
      </c>
      <c r="X41" s="26" t="str">
        <f>'[3]勤務表 (2)'!X40</f>
        <v/>
      </c>
      <c r="Y41" s="26" t="str">
        <f>'[3]勤務表 (2)'!Y40</f>
        <v/>
      </c>
      <c r="Z41" s="26" t="str">
        <f>'[3]勤務表 (2)'!Z40</f>
        <v/>
      </c>
      <c r="AA41" s="26" t="str">
        <f>'[3]勤務表 (2)'!AA40</f>
        <v/>
      </c>
      <c r="AB41" s="26" t="str">
        <f>'[3]勤務表 (2)'!AB40</f>
        <v/>
      </c>
      <c r="AC41" s="26" t="str">
        <f>'[3]勤務表 (2)'!AC40</f>
        <v>／</v>
      </c>
      <c r="AD41" s="26" t="str">
        <f>'[3]勤務表 (2)'!AD40</f>
        <v>●</v>
      </c>
      <c r="AE41" s="26" t="str">
        <f>'[3]勤務表 (2)'!AE40</f>
        <v/>
      </c>
      <c r="AF41" s="26" t="str">
        <f>'[3]勤務表 (2)'!AF40</f>
        <v/>
      </c>
      <c r="AG41" s="26" t="str">
        <f>'[3]勤務表 (2)'!AG40</f>
        <v/>
      </c>
      <c r="AH41" s="26" t="str">
        <f>'[3]勤務表 (2)'!AH40</f>
        <v/>
      </c>
      <c r="AJ41" s="12">
        <f>IF(D41&lt;&gt;勤務変更!D41,1,0)</f>
        <v>0</v>
      </c>
      <c r="AK41" s="12">
        <f>IF(E41&lt;&gt;勤務変更!E41,1,0)</f>
        <v>0</v>
      </c>
      <c r="AL41" s="12">
        <f>IF(F41&lt;&gt;勤務変更!F41,1,0)</f>
        <v>0</v>
      </c>
      <c r="AM41" s="12">
        <f>IF(G41&lt;&gt;勤務変更!G41,1,0)</f>
        <v>0</v>
      </c>
      <c r="AN41" s="12">
        <f>IF(H41&lt;&gt;勤務変更!H41,1,0)</f>
        <v>0</v>
      </c>
      <c r="AO41" s="12">
        <f>IF(I41&lt;&gt;勤務変更!I41,1,0)</f>
        <v>0</v>
      </c>
      <c r="AP41" s="12">
        <f>IF(J41&lt;&gt;勤務変更!J41,1,0)</f>
        <v>0</v>
      </c>
      <c r="AQ41" s="12">
        <f>IF(K41&lt;&gt;勤務変更!K41,1,0)</f>
        <v>0</v>
      </c>
      <c r="AR41" s="12">
        <f>IF(L41&lt;&gt;勤務変更!L41,1,0)</f>
        <v>0</v>
      </c>
      <c r="AS41" s="12">
        <f>IF(M41&lt;&gt;勤務変更!M41,1,0)</f>
        <v>0</v>
      </c>
      <c r="AT41" s="12">
        <f>IF(N41&lt;&gt;勤務変更!N41,1,0)</f>
        <v>0</v>
      </c>
      <c r="AU41" s="12">
        <f>IF(O41&lt;&gt;勤務変更!O41,1,0)</f>
        <v>0</v>
      </c>
      <c r="AV41" s="12">
        <f>IF(P41&lt;&gt;勤務変更!P41,1,0)</f>
        <v>0</v>
      </c>
      <c r="AW41" s="12">
        <f>IF(Q41&lt;&gt;勤務変更!Q41,1,0)</f>
        <v>0</v>
      </c>
      <c r="AX41" s="12">
        <f>IF(R41&lt;&gt;勤務変更!R41,1,0)</f>
        <v>0</v>
      </c>
      <c r="AY41" s="12">
        <f>IF(S41&lt;&gt;勤務変更!S41,1,0)</f>
        <v>0</v>
      </c>
      <c r="AZ41" s="12">
        <f>IF(T41&lt;&gt;勤務変更!T41,1,0)</f>
        <v>0</v>
      </c>
      <c r="BA41" s="12">
        <f>IF(U41&lt;&gt;勤務変更!U41,1,0)</f>
        <v>0</v>
      </c>
      <c r="BB41" s="12">
        <f>IF(V41&lt;&gt;勤務変更!V41,1,0)</f>
        <v>0</v>
      </c>
      <c r="BC41" s="12">
        <f>IF(W41&lt;&gt;勤務変更!W41,1,0)</f>
        <v>0</v>
      </c>
      <c r="BD41" s="12">
        <f>IF(X41&lt;&gt;勤務変更!X41,1,0)</f>
        <v>0</v>
      </c>
      <c r="BE41" s="12">
        <f>IF(Y41&lt;&gt;勤務変更!Y41,1,0)</f>
        <v>0</v>
      </c>
      <c r="BF41" s="12">
        <f>IF(Z41&lt;&gt;勤務変更!Z41,1,0)</f>
        <v>0</v>
      </c>
      <c r="BG41" s="12">
        <f>IF(AA41&lt;&gt;勤務変更!AA41,1,0)</f>
        <v>0</v>
      </c>
      <c r="BH41" s="12">
        <f>IF(AB41&lt;&gt;勤務変更!AB41,1,0)</f>
        <v>0</v>
      </c>
      <c r="BI41" s="12">
        <f>IF(AC41&lt;&gt;勤務変更!AC41,1,0)</f>
        <v>0</v>
      </c>
      <c r="BJ41" s="12">
        <f>IF(AD41&lt;&gt;勤務変更!AD41,1,0)</f>
        <v>0</v>
      </c>
      <c r="BK41" s="12">
        <f>IF(AE41&lt;&gt;勤務変更!AE41,1,0)</f>
        <v>0</v>
      </c>
      <c r="BL41" s="12">
        <f>IF(AF41&lt;&gt;勤務変更!AF41,1,0)</f>
        <v>0</v>
      </c>
      <c r="BM41" s="12">
        <f>IF(AG41&lt;&gt;勤務変更!AG41,1,0)</f>
        <v>0</v>
      </c>
      <c r="BN41" s="12">
        <f>IF(AH41&lt;&gt;勤務変更!AH41,1,0)</f>
        <v>0</v>
      </c>
      <c r="BO41" s="12">
        <f t="shared" si="1"/>
        <v>0</v>
      </c>
      <c r="BP41" s="12" t="str">
        <f>IF(BR41="","",COUNTA(BR$4:BR41)-COUNTBLANK(BR$4:BR41))</f>
        <v/>
      </c>
      <c r="BQ41" s="12" t="str">
        <f t="shared" si="2"/>
        <v/>
      </c>
      <c r="BR41" s="12" t="str">
        <f t="shared" si="3"/>
        <v/>
      </c>
    </row>
    <row r="42" spans="1:70" ht="13.15" customHeight="1" x14ac:dyDescent="0.2">
      <c r="A42" s="9">
        <f>'[3]勤務表 (2)'!A41</f>
        <v>39</v>
      </c>
      <c r="B42" s="9">
        <f>'[3]勤務表 (2)'!B41</f>
        <v>142042</v>
      </c>
      <c r="C42" s="74" t="str">
        <f>'[3]勤務表 (2)'!C41</f>
        <v>別所 貴仁</v>
      </c>
      <c r="D42" s="26" t="str">
        <f>'[3]勤務表 (2)'!D41</f>
        <v/>
      </c>
      <c r="E42" s="26" t="str">
        <f>'[3]勤務表 (2)'!E41</f>
        <v/>
      </c>
      <c r="F42" s="26" t="str">
        <f>'[3]勤務表 (2)'!F41</f>
        <v>当</v>
      </c>
      <c r="G42" s="26" t="str">
        <f>'[3]勤務表 (2)'!G41</f>
        <v>明</v>
      </c>
      <c r="H42" s="26" t="str">
        <f>'[3]勤務表 (2)'!H41</f>
        <v>／</v>
      </c>
      <c r="I42" s="26" t="str">
        <f>'[3]勤務表 (2)'!I41</f>
        <v>●</v>
      </c>
      <c r="J42" s="26" t="str">
        <f>'[3]勤務表 (2)'!J41</f>
        <v/>
      </c>
      <c r="K42" s="26" t="str">
        <f>'[3]勤務表 (2)'!K41</f>
        <v/>
      </c>
      <c r="L42" s="26" t="str">
        <f>'[3]勤務表 (2)'!L41</f>
        <v/>
      </c>
      <c r="M42" s="26" t="str">
        <f>'[3]勤務表 (2)'!M41</f>
        <v/>
      </c>
      <c r="N42" s="26" t="str">
        <f>'[3]勤務表 (2)'!N41</f>
        <v/>
      </c>
      <c r="O42" s="26" t="str">
        <f>'[3]勤務表 (2)'!O41</f>
        <v>○</v>
      </c>
      <c r="P42" s="26" t="str">
        <f>'[3]勤務表 (2)'!P41</f>
        <v>当</v>
      </c>
      <c r="Q42" s="26" t="str">
        <f>'[3]勤務表 (2)'!Q41</f>
        <v>明</v>
      </c>
      <c r="R42" s="26" t="str">
        <f>'[3]勤務表 (2)'!R41</f>
        <v>●</v>
      </c>
      <c r="S42" s="26" t="str">
        <f>'[3]勤務表 (2)'!S41</f>
        <v/>
      </c>
      <c r="T42" s="26" t="str">
        <f>'[3]勤務表 (2)'!T41</f>
        <v/>
      </c>
      <c r="U42" s="26" t="str">
        <f>'[3]勤務表 (2)'!U41</f>
        <v/>
      </c>
      <c r="V42" s="26" t="str">
        <f>'[3]勤務表 (2)'!V41</f>
        <v>当</v>
      </c>
      <c r="W42" s="26" t="str">
        <f>'[3]勤務表 (2)'!W41</f>
        <v>明</v>
      </c>
      <c r="X42" s="26" t="str">
        <f>'[3]勤務表 (2)'!X41</f>
        <v>●</v>
      </c>
      <c r="Y42" s="26" t="str">
        <f>'[3]勤務表 (2)'!Y41</f>
        <v/>
      </c>
      <c r="Z42" s="26" t="str">
        <f>'[3]勤務表 (2)'!Z41</f>
        <v/>
      </c>
      <c r="AA42" s="26" t="str">
        <f>'[3]勤務表 (2)'!AA41</f>
        <v/>
      </c>
      <c r="AB42" s="26" t="str">
        <f>'[3]勤務表 (2)'!AB41</f>
        <v/>
      </c>
      <c r="AC42" s="26" t="str">
        <f>'[3]勤務表 (2)'!AC41</f>
        <v>○</v>
      </c>
      <c r="AD42" s="26" t="str">
        <f>'[3]勤務表 (2)'!AD41</f>
        <v>●</v>
      </c>
      <c r="AE42" s="26" t="str">
        <f>'[3]勤務表 (2)'!AE41</f>
        <v>当</v>
      </c>
      <c r="AF42" s="26" t="str">
        <f>'[3]勤務表 (2)'!AF41</f>
        <v>明</v>
      </c>
      <c r="AG42" s="26" t="str">
        <f>'[3]勤務表 (2)'!AG41</f>
        <v/>
      </c>
      <c r="AH42" s="26" t="str">
        <f>'[3]勤務表 (2)'!AH41</f>
        <v/>
      </c>
      <c r="AJ42" s="12">
        <f>IF(D42&lt;&gt;勤務変更!D42,1,0)</f>
        <v>0</v>
      </c>
      <c r="AK42" s="12">
        <f>IF(E42&lt;&gt;勤務変更!E42,1,0)</f>
        <v>0</v>
      </c>
      <c r="AL42" s="12">
        <f>IF(F42&lt;&gt;勤務変更!F42,1,0)</f>
        <v>0</v>
      </c>
      <c r="AM42" s="12">
        <f>IF(G42&lt;&gt;勤務変更!G42,1,0)</f>
        <v>0</v>
      </c>
      <c r="AN42" s="12">
        <f>IF(H42&lt;&gt;勤務変更!H42,1,0)</f>
        <v>0</v>
      </c>
      <c r="AO42" s="12">
        <f>IF(I42&lt;&gt;勤務変更!I42,1,0)</f>
        <v>0</v>
      </c>
      <c r="AP42" s="12">
        <f>IF(J42&lt;&gt;勤務変更!J42,1,0)</f>
        <v>0</v>
      </c>
      <c r="AQ42" s="12">
        <f>IF(K42&lt;&gt;勤務変更!K42,1,0)</f>
        <v>0</v>
      </c>
      <c r="AR42" s="12">
        <f>IF(L42&lt;&gt;勤務変更!L42,1,0)</f>
        <v>0</v>
      </c>
      <c r="AS42" s="12">
        <f>IF(M42&lt;&gt;勤務変更!M42,1,0)</f>
        <v>0</v>
      </c>
      <c r="AT42" s="12">
        <f>IF(N42&lt;&gt;勤務変更!N42,1,0)</f>
        <v>0</v>
      </c>
      <c r="AU42" s="12">
        <f>IF(O42&lt;&gt;勤務変更!O42,1,0)</f>
        <v>0</v>
      </c>
      <c r="AV42" s="12">
        <f>IF(P42&lt;&gt;勤務変更!P42,1,0)</f>
        <v>0</v>
      </c>
      <c r="AW42" s="12">
        <f>IF(Q42&lt;&gt;勤務変更!Q42,1,0)</f>
        <v>0</v>
      </c>
      <c r="AX42" s="12">
        <f>IF(R42&lt;&gt;勤務変更!R42,1,0)</f>
        <v>0</v>
      </c>
      <c r="AY42" s="12">
        <f>IF(S42&lt;&gt;勤務変更!S42,1,0)</f>
        <v>0</v>
      </c>
      <c r="AZ42" s="12">
        <f>IF(T42&lt;&gt;勤務変更!T42,1,0)</f>
        <v>0</v>
      </c>
      <c r="BA42" s="12">
        <f>IF(U42&lt;&gt;勤務変更!U42,1,0)</f>
        <v>0</v>
      </c>
      <c r="BB42" s="12">
        <f>IF(V42&lt;&gt;勤務変更!V42,1,0)</f>
        <v>0</v>
      </c>
      <c r="BC42" s="12">
        <f>IF(W42&lt;&gt;勤務変更!W42,1,0)</f>
        <v>0</v>
      </c>
      <c r="BD42" s="12">
        <f>IF(X42&lt;&gt;勤務変更!X42,1,0)</f>
        <v>0</v>
      </c>
      <c r="BE42" s="12">
        <f>IF(Y42&lt;&gt;勤務変更!Y42,1,0)</f>
        <v>0</v>
      </c>
      <c r="BF42" s="12">
        <f>IF(Z42&lt;&gt;勤務変更!Z42,1,0)</f>
        <v>0</v>
      </c>
      <c r="BG42" s="12">
        <f>IF(AA42&lt;&gt;勤務変更!AA42,1,0)</f>
        <v>0</v>
      </c>
      <c r="BH42" s="12">
        <f>IF(AB42&lt;&gt;勤務変更!AB42,1,0)</f>
        <v>0</v>
      </c>
      <c r="BI42" s="12">
        <f>IF(AC42&lt;&gt;勤務変更!AC42,1,0)</f>
        <v>0</v>
      </c>
      <c r="BJ42" s="12">
        <f>IF(AD42&lt;&gt;勤務変更!AD42,1,0)</f>
        <v>0</v>
      </c>
      <c r="BK42" s="12">
        <f>IF(AE42&lt;&gt;勤務変更!AE42,1,0)</f>
        <v>0</v>
      </c>
      <c r="BL42" s="12">
        <f>IF(AF42&lt;&gt;勤務変更!AF42,1,0)</f>
        <v>0</v>
      </c>
      <c r="BM42" s="12">
        <f>IF(AG42&lt;&gt;勤務変更!AG42,1,0)</f>
        <v>0</v>
      </c>
      <c r="BN42" s="12">
        <f>IF(AH42&lt;&gt;勤務変更!AH42,1,0)</f>
        <v>0</v>
      </c>
      <c r="BO42" s="12">
        <f t="shared" si="1"/>
        <v>0</v>
      </c>
      <c r="BP42" s="12" t="str">
        <f>IF(BR42="","",COUNTA(BR$4:BR42)-COUNTBLANK(BR$4:BR42))</f>
        <v/>
      </c>
      <c r="BQ42" s="12" t="str">
        <f t="shared" si="2"/>
        <v/>
      </c>
      <c r="BR42" s="12" t="str">
        <f t="shared" si="3"/>
        <v/>
      </c>
    </row>
    <row r="43" spans="1:70" ht="13.15" customHeight="1" x14ac:dyDescent="0.2">
      <c r="A43" s="9">
        <f>'[3]勤務表 (2)'!A42</f>
        <v>40</v>
      </c>
      <c r="B43" s="9">
        <f>'[3]勤務表 (2)'!B42</f>
        <v>145410</v>
      </c>
      <c r="C43" s="74" t="str">
        <f>'[3]勤務表 (2)'!C42</f>
        <v>坂下 大知</v>
      </c>
      <c r="D43" s="26" t="str">
        <f>'[3]勤務表 (2)'!D42</f>
        <v/>
      </c>
      <c r="E43" s="26" t="str">
        <f>'[3]勤務表 (2)'!E42</f>
        <v/>
      </c>
      <c r="F43" s="26" t="str">
        <f>'[3]勤務表 (2)'!F42</f>
        <v/>
      </c>
      <c r="G43" s="26" t="str">
        <f>'[3]勤務表 (2)'!G42</f>
        <v/>
      </c>
      <c r="H43" s="26" t="str">
        <f>'[3]勤務表 (2)'!H42</f>
        <v>／</v>
      </c>
      <c r="I43" s="26" t="str">
        <f>'[3]勤務表 (2)'!I42</f>
        <v>●</v>
      </c>
      <c r="J43" s="26" t="str">
        <f>'[3]勤務表 (2)'!J42</f>
        <v>当</v>
      </c>
      <c r="K43" s="26" t="str">
        <f>'[3]勤務表 (2)'!K42</f>
        <v>明</v>
      </c>
      <c r="L43" s="26" t="str">
        <f>'[3]勤務表 (2)'!L42</f>
        <v/>
      </c>
      <c r="M43" s="26" t="str">
        <f>'[3]勤務表 (2)'!M42</f>
        <v/>
      </c>
      <c r="N43" s="26">
        <f>'[3]勤務表 (2)'!N42</f>
        <v>0</v>
      </c>
      <c r="O43" s="26" t="str">
        <f>'[3]勤務表 (2)'!O42</f>
        <v>○</v>
      </c>
      <c r="P43" s="26" t="str">
        <f>'[3]勤務表 (2)'!P42</f>
        <v>●</v>
      </c>
      <c r="Q43" s="26" t="str">
        <f>'[3]勤務表 (2)'!Q42</f>
        <v/>
      </c>
      <c r="R43" s="26" t="str">
        <f>'[3]勤務表 (2)'!R42</f>
        <v/>
      </c>
      <c r="S43" s="26" t="str">
        <f>'[3]勤務表 (2)'!S42</f>
        <v/>
      </c>
      <c r="T43" s="26" t="str">
        <f>'[3]勤務表 (2)'!T42</f>
        <v/>
      </c>
      <c r="U43" s="26" t="str">
        <f>'[3]勤務表 (2)'!U42</f>
        <v>当</v>
      </c>
      <c r="V43" s="26" t="str">
        <f>'[3]勤務表 (2)'!V42</f>
        <v>明</v>
      </c>
      <c r="W43" s="26" t="str">
        <f>'[3]勤務表 (2)'!W42</f>
        <v>●</v>
      </c>
      <c r="X43" s="26" t="str">
        <f>'[3]勤務表 (2)'!X42</f>
        <v/>
      </c>
      <c r="Y43" s="26" t="str">
        <f>'[3]勤務表 (2)'!Y42</f>
        <v/>
      </c>
      <c r="Z43" s="26" t="str">
        <f>'[3]勤務表 (2)'!Z42</f>
        <v/>
      </c>
      <c r="AA43" s="26" t="str">
        <f>'[3]勤務表 (2)'!AA42</f>
        <v/>
      </c>
      <c r="AB43" s="26" t="str">
        <f>'[3]勤務表 (2)'!AB42</f>
        <v/>
      </c>
      <c r="AC43" s="26" t="str">
        <f>'[3]勤務表 (2)'!AC42</f>
        <v>○</v>
      </c>
      <c r="AD43" s="26" t="str">
        <f>'[3]勤務表 (2)'!AD42</f>
        <v>●</v>
      </c>
      <c r="AE43" s="26" t="str">
        <f>'[3]勤務表 (2)'!AE42</f>
        <v/>
      </c>
      <c r="AF43" s="26" t="str">
        <f>'[3]勤務表 (2)'!AF42</f>
        <v/>
      </c>
      <c r="AG43" s="26" t="str">
        <f>'[3]勤務表 (2)'!AG42</f>
        <v/>
      </c>
      <c r="AH43" s="26" t="str">
        <f>'[3]勤務表 (2)'!AH42</f>
        <v/>
      </c>
      <c r="AJ43" s="12">
        <f>IF(D43&lt;&gt;勤務変更!D43,1,0)</f>
        <v>0</v>
      </c>
      <c r="AK43" s="12">
        <f>IF(E43&lt;&gt;勤務変更!E43,1,0)</f>
        <v>0</v>
      </c>
      <c r="AL43" s="12">
        <f>IF(F43&lt;&gt;勤務変更!F43,1,0)</f>
        <v>0</v>
      </c>
      <c r="AM43" s="12">
        <f>IF(G43&lt;&gt;勤務変更!G43,1,0)</f>
        <v>0</v>
      </c>
      <c r="AN43" s="12">
        <f>IF(H43&lt;&gt;勤務変更!H43,1,0)</f>
        <v>0</v>
      </c>
      <c r="AO43" s="12">
        <f>IF(I43&lt;&gt;勤務変更!I43,1,0)</f>
        <v>0</v>
      </c>
      <c r="AP43" s="12">
        <f>IF(J43&lt;&gt;勤務変更!J43,1,0)</f>
        <v>0</v>
      </c>
      <c r="AQ43" s="12">
        <f>IF(K43&lt;&gt;勤務変更!K43,1,0)</f>
        <v>0</v>
      </c>
      <c r="AR43" s="12">
        <f>IF(L43&lt;&gt;勤務変更!L43,1,0)</f>
        <v>0</v>
      </c>
      <c r="AS43" s="12">
        <f>IF(M43&lt;&gt;勤務変更!M43,1,0)</f>
        <v>0</v>
      </c>
      <c r="AT43" s="12">
        <f>IF(N43&lt;&gt;勤務変更!N43,1,0)</f>
        <v>0</v>
      </c>
      <c r="AU43" s="12">
        <f>IF(O43&lt;&gt;勤務変更!O43,1,0)</f>
        <v>0</v>
      </c>
      <c r="AV43" s="12">
        <f>IF(P43&lt;&gt;勤務変更!P43,1,0)</f>
        <v>0</v>
      </c>
      <c r="AW43" s="12">
        <f>IF(Q43&lt;&gt;勤務変更!Q43,1,0)</f>
        <v>0</v>
      </c>
      <c r="AX43" s="12">
        <f>IF(R43&lt;&gt;勤務変更!R43,1,0)</f>
        <v>0</v>
      </c>
      <c r="AY43" s="12">
        <f>IF(S43&lt;&gt;勤務変更!S43,1,0)</f>
        <v>0</v>
      </c>
      <c r="AZ43" s="12">
        <f>IF(T43&lt;&gt;勤務変更!T43,1,0)</f>
        <v>0</v>
      </c>
      <c r="BA43" s="12">
        <f>IF(U43&lt;&gt;勤務変更!U43,1,0)</f>
        <v>0</v>
      </c>
      <c r="BB43" s="12">
        <f>IF(V43&lt;&gt;勤務変更!V43,1,0)</f>
        <v>0</v>
      </c>
      <c r="BC43" s="12">
        <f>IF(W43&lt;&gt;勤務変更!W43,1,0)</f>
        <v>0</v>
      </c>
      <c r="BD43" s="12">
        <f>IF(X43&lt;&gt;勤務変更!X43,1,0)</f>
        <v>0</v>
      </c>
      <c r="BE43" s="12">
        <f>IF(Y43&lt;&gt;勤務変更!Y43,1,0)</f>
        <v>0</v>
      </c>
      <c r="BF43" s="12">
        <f>IF(Z43&lt;&gt;勤務変更!Z43,1,0)</f>
        <v>0</v>
      </c>
      <c r="BG43" s="12">
        <f>IF(AA43&lt;&gt;勤務変更!AA43,1,0)</f>
        <v>0</v>
      </c>
      <c r="BH43" s="12">
        <f>IF(AB43&lt;&gt;勤務変更!AB43,1,0)</f>
        <v>0</v>
      </c>
      <c r="BI43" s="12">
        <f>IF(AC43&lt;&gt;勤務変更!AC43,1,0)</f>
        <v>0</v>
      </c>
      <c r="BJ43" s="12">
        <f>IF(AD43&lt;&gt;勤務変更!AD43,1,0)</f>
        <v>0</v>
      </c>
      <c r="BK43" s="12">
        <f>IF(AE43&lt;&gt;勤務変更!AE43,1,0)</f>
        <v>0</v>
      </c>
      <c r="BL43" s="12">
        <f>IF(AF43&lt;&gt;勤務変更!AF43,1,0)</f>
        <v>0</v>
      </c>
      <c r="BM43" s="12">
        <f>IF(AG43&lt;&gt;勤務変更!AG43,1,0)</f>
        <v>0</v>
      </c>
      <c r="BN43" s="12">
        <f>IF(AH43&lt;&gt;勤務変更!AH43,1,0)</f>
        <v>0</v>
      </c>
      <c r="BO43" s="12">
        <f t="shared" si="1"/>
        <v>0</v>
      </c>
      <c r="BP43" s="12" t="str">
        <f>IF(BR43="","",COUNTA(BR$4:BR43)-COUNTBLANK(BR$4:BR43))</f>
        <v/>
      </c>
      <c r="BQ43" s="12" t="str">
        <f t="shared" si="2"/>
        <v/>
      </c>
      <c r="BR43" s="12" t="str">
        <f t="shared" si="3"/>
        <v/>
      </c>
    </row>
    <row r="44" spans="1:70" ht="13.15" customHeight="1" x14ac:dyDescent="0.2">
      <c r="A44" s="9" t="str">
        <f>'[3]勤務表 (2)'!A43</f>
        <v/>
      </c>
      <c r="B44" s="9">
        <f>'[3]勤務表 (2)'!B43</f>
        <v>0</v>
      </c>
      <c r="C44" s="74">
        <f>'[3]勤務表 (2)'!C43</f>
        <v>0</v>
      </c>
      <c r="D44" s="26" t="str">
        <f>'[3]勤務表 (2)'!D43</f>
        <v/>
      </c>
      <c r="E44" s="26" t="str">
        <f>'[3]勤務表 (2)'!E43</f>
        <v/>
      </c>
      <c r="F44" s="26" t="str">
        <f>'[3]勤務表 (2)'!F43</f>
        <v/>
      </c>
      <c r="G44" s="26" t="str">
        <f>'[3]勤務表 (2)'!G43</f>
        <v/>
      </c>
      <c r="H44" s="26" t="str">
        <f>'[3]勤務表 (2)'!H43</f>
        <v/>
      </c>
      <c r="I44" s="26" t="str">
        <f>'[3]勤務表 (2)'!I43</f>
        <v/>
      </c>
      <c r="J44" s="26" t="str">
        <f>'[3]勤務表 (2)'!J43</f>
        <v/>
      </c>
      <c r="K44" s="26" t="str">
        <f>'[3]勤務表 (2)'!K43</f>
        <v/>
      </c>
      <c r="L44" s="26" t="str">
        <f>'[3]勤務表 (2)'!L43</f>
        <v/>
      </c>
      <c r="M44" s="26" t="str">
        <f>'[3]勤務表 (2)'!M43</f>
        <v/>
      </c>
      <c r="N44" s="26">
        <f>'[3]勤務表 (2)'!N43</f>
        <v>0</v>
      </c>
      <c r="O44" s="26" t="str">
        <f>'[3]勤務表 (2)'!O43</f>
        <v/>
      </c>
      <c r="P44" s="26" t="str">
        <f>'[3]勤務表 (2)'!P43</f>
        <v/>
      </c>
      <c r="Q44" s="26" t="str">
        <f>'[3]勤務表 (2)'!Q43</f>
        <v/>
      </c>
      <c r="R44" s="26" t="str">
        <f>'[3]勤務表 (2)'!R43</f>
        <v/>
      </c>
      <c r="S44" s="26" t="str">
        <f>'[3]勤務表 (2)'!S43</f>
        <v/>
      </c>
      <c r="T44" s="26" t="str">
        <f>'[3]勤務表 (2)'!T43</f>
        <v/>
      </c>
      <c r="U44" s="26" t="str">
        <f>'[3]勤務表 (2)'!U43</f>
        <v/>
      </c>
      <c r="V44" s="26" t="str">
        <f>'[3]勤務表 (2)'!V43</f>
        <v/>
      </c>
      <c r="W44" s="26" t="str">
        <f>'[3]勤務表 (2)'!W43</f>
        <v/>
      </c>
      <c r="X44" s="26" t="str">
        <f>'[3]勤務表 (2)'!X43</f>
        <v/>
      </c>
      <c r="Y44" s="26" t="str">
        <f>'[3]勤務表 (2)'!Y43</f>
        <v/>
      </c>
      <c r="Z44" s="26" t="str">
        <f>'[3]勤務表 (2)'!Z43</f>
        <v/>
      </c>
      <c r="AA44" s="26" t="str">
        <f>'[3]勤務表 (2)'!AA43</f>
        <v/>
      </c>
      <c r="AB44" s="26" t="str">
        <f>'[3]勤務表 (2)'!AB43</f>
        <v/>
      </c>
      <c r="AC44" s="26" t="str">
        <f>'[3]勤務表 (2)'!AC43</f>
        <v/>
      </c>
      <c r="AD44" s="26" t="str">
        <f>'[3]勤務表 (2)'!AD43</f>
        <v/>
      </c>
      <c r="AE44" s="26" t="str">
        <f>'[3]勤務表 (2)'!AE43</f>
        <v/>
      </c>
      <c r="AF44" s="26" t="str">
        <f>'[3]勤務表 (2)'!AF43</f>
        <v/>
      </c>
      <c r="AG44" s="26" t="str">
        <f>'[3]勤務表 (2)'!AG43</f>
        <v/>
      </c>
      <c r="AH44" s="26" t="str">
        <f>'[3]勤務表 (2)'!AH43</f>
        <v/>
      </c>
      <c r="AJ44" s="12">
        <f>IF(D44&lt;&gt;勤務変更!D44,1,0)</f>
        <v>0</v>
      </c>
      <c r="AK44" s="12">
        <f>IF(E44&lt;&gt;勤務変更!E44,1,0)</f>
        <v>0</v>
      </c>
      <c r="AL44" s="12">
        <f>IF(F44&lt;&gt;勤務変更!F44,1,0)</f>
        <v>0</v>
      </c>
      <c r="AM44" s="12">
        <f>IF(G44&lt;&gt;勤務変更!G44,1,0)</f>
        <v>0</v>
      </c>
      <c r="AN44" s="12">
        <f>IF(H44&lt;&gt;勤務変更!H44,1,0)</f>
        <v>0</v>
      </c>
      <c r="AO44" s="12">
        <f>IF(I44&lt;&gt;勤務変更!I44,1,0)</f>
        <v>0</v>
      </c>
      <c r="AP44" s="12">
        <f>IF(J44&lt;&gt;勤務変更!J44,1,0)</f>
        <v>0</v>
      </c>
      <c r="AQ44" s="12">
        <f>IF(K44&lt;&gt;勤務変更!K44,1,0)</f>
        <v>0</v>
      </c>
      <c r="AR44" s="12">
        <f>IF(L44&lt;&gt;勤務変更!L44,1,0)</f>
        <v>0</v>
      </c>
      <c r="AS44" s="12">
        <f>IF(M44&lt;&gt;勤務変更!M44,1,0)</f>
        <v>0</v>
      </c>
      <c r="AT44" s="12">
        <f>IF(N44&lt;&gt;勤務変更!N44,1,0)</f>
        <v>0</v>
      </c>
      <c r="AU44" s="12">
        <f>IF(O44&lt;&gt;勤務変更!O44,1,0)</f>
        <v>0</v>
      </c>
      <c r="AV44" s="12">
        <f>IF(P44&lt;&gt;勤務変更!P44,1,0)</f>
        <v>0</v>
      </c>
      <c r="AW44" s="12">
        <f>IF(Q44&lt;&gt;勤務変更!Q44,1,0)</f>
        <v>0</v>
      </c>
      <c r="AX44" s="12">
        <f>IF(R44&lt;&gt;勤務変更!R44,1,0)</f>
        <v>0</v>
      </c>
      <c r="AY44" s="12">
        <f>IF(S44&lt;&gt;勤務変更!S44,1,0)</f>
        <v>0</v>
      </c>
      <c r="AZ44" s="12">
        <f>IF(T44&lt;&gt;勤務変更!T44,1,0)</f>
        <v>0</v>
      </c>
      <c r="BA44" s="12">
        <f>IF(U44&lt;&gt;勤務変更!U44,1,0)</f>
        <v>0</v>
      </c>
      <c r="BB44" s="12">
        <f>IF(V44&lt;&gt;勤務変更!V44,1,0)</f>
        <v>0</v>
      </c>
      <c r="BC44" s="12">
        <f>IF(W44&lt;&gt;勤務変更!W44,1,0)</f>
        <v>0</v>
      </c>
      <c r="BD44" s="12">
        <f>IF(X44&lt;&gt;勤務変更!X44,1,0)</f>
        <v>0</v>
      </c>
      <c r="BE44" s="12">
        <f>IF(Y44&lt;&gt;勤務変更!Y44,1,0)</f>
        <v>0</v>
      </c>
      <c r="BF44" s="12">
        <f>IF(Z44&lt;&gt;勤務変更!Z44,1,0)</f>
        <v>0</v>
      </c>
      <c r="BG44" s="12">
        <f>IF(AA44&lt;&gt;勤務変更!AA44,1,0)</f>
        <v>0</v>
      </c>
      <c r="BH44" s="12">
        <f>IF(AB44&lt;&gt;勤務変更!AB44,1,0)</f>
        <v>0</v>
      </c>
      <c r="BI44" s="12">
        <f>IF(AC44&lt;&gt;勤務変更!AC44,1,0)</f>
        <v>0</v>
      </c>
      <c r="BJ44" s="12">
        <f>IF(AD44&lt;&gt;勤務変更!AD44,1,0)</f>
        <v>0</v>
      </c>
      <c r="BK44" s="12">
        <f>IF(AE44&lt;&gt;勤務変更!AE44,1,0)</f>
        <v>0</v>
      </c>
      <c r="BL44" s="12">
        <f>IF(AF44&lt;&gt;勤務変更!AF44,1,0)</f>
        <v>0</v>
      </c>
      <c r="BM44" s="12">
        <f>IF(AG44&lt;&gt;勤務変更!AG44,1,0)</f>
        <v>0</v>
      </c>
      <c r="BN44" s="12">
        <f>IF(AH44&lt;&gt;勤務変更!AH44,1,0)</f>
        <v>0</v>
      </c>
      <c r="BO44" s="12">
        <f t="shared" si="1"/>
        <v>0</v>
      </c>
      <c r="BP44" s="12" t="str">
        <f>IF(BR44="","",COUNTA(BR$4:BR44)-COUNTBLANK(BR$4:BR44))</f>
        <v/>
      </c>
      <c r="BQ44" s="12" t="str">
        <f t="shared" si="2"/>
        <v/>
      </c>
      <c r="BR44" s="12" t="str">
        <f t="shared" si="3"/>
        <v/>
      </c>
    </row>
    <row r="45" spans="1:70" ht="13.15" customHeight="1" x14ac:dyDescent="0.2">
      <c r="A45" s="9" t="str">
        <f>'[3]勤務表 (2)'!A44</f>
        <v/>
      </c>
      <c r="B45" s="9">
        <f>'[3]勤務表 (2)'!B44</f>
        <v>0</v>
      </c>
      <c r="C45" s="74">
        <f>'[3]勤務表 (2)'!C44</f>
        <v>0</v>
      </c>
      <c r="D45" s="26" t="str">
        <f>'[3]勤務表 (2)'!D44</f>
        <v/>
      </c>
      <c r="E45" s="26" t="str">
        <f>'[3]勤務表 (2)'!E44</f>
        <v/>
      </c>
      <c r="F45" s="26" t="str">
        <f>'[3]勤務表 (2)'!F44</f>
        <v/>
      </c>
      <c r="G45" s="26" t="str">
        <f>'[3]勤務表 (2)'!G44</f>
        <v/>
      </c>
      <c r="H45" s="26" t="str">
        <f>'[3]勤務表 (2)'!H44</f>
        <v/>
      </c>
      <c r="I45" s="26" t="str">
        <f>'[3]勤務表 (2)'!I44</f>
        <v/>
      </c>
      <c r="J45" s="26" t="str">
        <f>'[3]勤務表 (2)'!J44</f>
        <v/>
      </c>
      <c r="K45" s="26" t="str">
        <f>'[3]勤務表 (2)'!K44</f>
        <v/>
      </c>
      <c r="L45" s="26" t="str">
        <f>'[3]勤務表 (2)'!L44</f>
        <v/>
      </c>
      <c r="M45" s="26" t="str">
        <f>'[3]勤務表 (2)'!M44</f>
        <v/>
      </c>
      <c r="N45" s="26">
        <f>'[3]勤務表 (2)'!N44</f>
        <v>0</v>
      </c>
      <c r="O45" s="26" t="str">
        <f>'[3]勤務表 (2)'!O44</f>
        <v/>
      </c>
      <c r="P45" s="26" t="str">
        <f>'[3]勤務表 (2)'!P44</f>
        <v/>
      </c>
      <c r="Q45" s="26" t="str">
        <f>'[3]勤務表 (2)'!Q44</f>
        <v/>
      </c>
      <c r="R45" s="26" t="str">
        <f>'[3]勤務表 (2)'!R44</f>
        <v/>
      </c>
      <c r="S45" s="26" t="str">
        <f>'[3]勤務表 (2)'!S44</f>
        <v/>
      </c>
      <c r="T45" s="26" t="str">
        <f>'[3]勤務表 (2)'!T44</f>
        <v/>
      </c>
      <c r="U45" s="26" t="str">
        <f>'[3]勤務表 (2)'!U44</f>
        <v/>
      </c>
      <c r="V45" s="26" t="str">
        <f>'[3]勤務表 (2)'!V44</f>
        <v/>
      </c>
      <c r="W45" s="26" t="str">
        <f>'[3]勤務表 (2)'!W44</f>
        <v/>
      </c>
      <c r="X45" s="26" t="str">
        <f>'[3]勤務表 (2)'!X44</f>
        <v/>
      </c>
      <c r="Y45" s="26" t="str">
        <f>'[3]勤務表 (2)'!Y44</f>
        <v/>
      </c>
      <c r="Z45" s="26" t="str">
        <f>'[3]勤務表 (2)'!Z44</f>
        <v/>
      </c>
      <c r="AA45" s="26" t="str">
        <f>'[3]勤務表 (2)'!AA44</f>
        <v/>
      </c>
      <c r="AB45" s="26" t="str">
        <f>'[3]勤務表 (2)'!AB44</f>
        <v/>
      </c>
      <c r="AC45" s="26" t="str">
        <f>'[3]勤務表 (2)'!AC44</f>
        <v/>
      </c>
      <c r="AD45" s="26" t="str">
        <f>'[3]勤務表 (2)'!AD44</f>
        <v/>
      </c>
      <c r="AE45" s="26" t="str">
        <f>'[3]勤務表 (2)'!AE44</f>
        <v/>
      </c>
      <c r="AF45" s="26" t="str">
        <f>'[3]勤務表 (2)'!AF44</f>
        <v/>
      </c>
      <c r="AG45" s="26" t="str">
        <f>'[3]勤務表 (2)'!AG44</f>
        <v/>
      </c>
      <c r="AH45" s="26" t="str">
        <f>'[3]勤務表 (2)'!AH44</f>
        <v/>
      </c>
      <c r="AJ45" s="12">
        <f>IF(D45&lt;&gt;勤務変更!D45,1,0)</f>
        <v>0</v>
      </c>
      <c r="AK45" s="12">
        <f>IF(E45&lt;&gt;勤務変更!E45,1,0)</f>
        <v>0</v>
      </c>
      <c r="AL45" s="12">
        <f>IF(F45&lt;&gt;勤務変更!F45,1,0)</f>
        <v>0</v>
      </c>
      <c r="AM45" s="12">
        <f>IF(G45&lt;&gt;勤務変更!G45,1,0)</f>
        <v>0</v>
      </c>
      <c r="AN45" s="12">
        <f>IF(H45&lt;&gt;勤務変更!H45,1,0)</f>
        <v>0</v>
      </c>
      <c r="AO45" s="12">
        <f>IF(I45&lt;&gt;勤務変更!I45,1,0)</f>
        <v>0</v>
      </c>
      <c r="AP45" s="12">
        <f>IF(J45&lt;&gt;勤務変更!J45,1,0)</f>
        <v>0</v>
      </c>
      <c r="AQ45" s="12">
        <f>IF(K45&lt;&gt;勤務変更!K45,1,0)</f>
        <v>0</v>
      </c>
      <c r="AR45" s="12">
        <f>IF(L45&lt;&gt;勤務変更!L45,1,0)</f>
        <v>0</v>
      </c>
      <c r="AS45" s="12">
        <f>IF(M45&lt;&gt;勤務変更!M45,1,0)</f>
        <v>0</v>
      </c>
      <c r="AT45" s="12">
        <f>IF(N45&lt;&gt;勤務変更!N45,1,0)</f>
        <v>0</v>
      </c>
      <c r="AU45" s="12">
        <f>IF(O45&lt;&gt;勤務変更!O45,1,0)</f>
        <v>0</v>
      </c>
      <c r="AV45" s="12">
        <f>IF(P45&lt;&gt;勤務変更!P45,1,0)</f>
        <v>0</v>
      </c>
      <c r="AW45" s="12">
        <f>IF(Q45&lt;&gt;勤務変更!Q45,1,0)</f>
        <v>0</v>
      </c>
      <c r="AX45" s="12">
        <f>IF(R45&lt;&gt;勤務変更!R45,1,0)</f>
        <v>0</v>
      </c>
      <c r="AY45" s="12">
        <f>IF(S45&lt;&gt;勤務変更!S45,1,0)</f>
        <v>0</v>
      </c>
      <c r="AZ45" s="12">
        <f>IF(T45&lt;&gt;勤務変更!T45,1,0)</f>
        <v>0</v>
      </c>
      <c r="BA45" s="12">
        <f>IF(U45&lt;&gt;勤務変更!U45,1,0)</f>
        <v>0</v>
      </c>
      <c r="BB45" s="12">
        <f>IF(V45&lt;&gt;勤務変更!V45,1,0)</f>
        <v>0</v>
      </c>
      <c r="BC45" s="12">
        <f>IF(W45&lt;&gt;勤務変更!W45,1,0)</f>
        <v>0</v>
      </c>
      <c r="BD45" s="12">
        <f>IF(X45&lt;&gt;勤務変更!X45,1,0)</f>
        <v>0</v>
      </c>
      <c r="BE45" s="12">
        <f>IF(Y45&lt;&gt;勤務変更!Y45,1,0)</f>
        <v>0</v>
      </c>
      <c r="BF45" s="12">
        <f>IF(Z45&lt;&gt;勤務変更!Z45,1,0)</f>
        <v>0</v>
      </c>
      <c r="BG45" s="12">
        <f>IF(AA45&lt;&gt;勤務変更!AA45,1,0)</f>
        <v>0</v>
      </c>
      <c r="BH45" s="12">
        <f>IF(AB45&lt;&gt;勤務変更!AB45,1,0)</f>
        <v>0</v>
      </c>
      <c r="BI45" s="12">
        <f>IF(AC45&lt;&gt;勤務変更!AC45,1,0)</f>
        <v>0</v>
      </c>
      <c r="BJ45" s="12">
        <f>IF(AD45&lt;&gt;勤務変更!AD45,1,0)</f>
        <v>0</v>
      </c>
      <c r="BK45" s="12">
        <f>IF(AE45&lt;&gt;勤務変更!AE45,1,0)</f>
        <v>0</v>
      </c>
      <c r="BL45" s="12">
        <f>IF(AF45&lt;&gt;勤務変更!AF45,1,0)</f>
        <v>0</v>
      </c>
      <c r="BM45" s="12">
        <f>IF(AG45&lt;&gt;勤務変更!AG45,1,0)</f>
        <v>0</v>
      </c>
      <c r="BN45" s="12">
        <f>IF(AH45&lt;&gt;勤務変更!AH45,1,0)</f>
        <v>0</v>
      </c>
      <c r="BO45" s="12">
        <f t="shared" si="1"/>
        <v>0</v>
      </c>
      <c r="BP45" s="12" t="str">
        <f>IF(BR45="","",COUNTA(BR$4:BR45)-COUNTBLANK(BR$4:BR45))</f>
        <v/>
      </c>
      <c r="BQ45" s="12" t="str">
        <f t="shared" si="2"/>
        <v/>
      </c>
      <c r="BR45" s="12" t="str">
        <f t="shared" si="3"/>
        <v/>
      </c>
    </row>
    <row r="46" spans="1:70" ht="13.15" customHeight="1" x14ac:dyDescent="0.2">
      <c r="A46" s="9" t="str">
        <f>'[3]勤務表 (2)'!A45</f>
        <v/>
      </c>
      <c r="B46" s="9">
        <f>'[3]勤務表 (2)'!B45</f>
        <v>0</v>
      </c>
      <c r="C46" s="74">
        <f>'[3]勤務表 (2)'!C45</f>
        <v>0</v>
      </c>
      <c r="D46" s="24" t="str">
        <f>'[3]勤務表 (2)'!D45</f>
        <v/>
      </c>
      <c r="E46" s="18" t="str">
        <f>'[3]勤務表 (2)'!E45</f>
        <v/>
      </c>
      <c r="F46" s="18" t="str">
        <f>'[3]勤務表 (2)'!F45</f>
        <v/>
      </c>
      <c r="G46" s="18" t="str">
        <f>'[3]勤務表 (2)'!G45</f>
        <v/>
      </c>
      <c r="H46" s="18" t="str">
        <f>'[3]勤務表 (2)'!H45</f>
        <v/>
      </c>
      <c r="I46" s="26" t="str">
        <f>'[3]勤務表 (2)'!I45</f>
        <v/>
      </c>
      <c r="J46" s="18" t="str">
        <f>'[3]勤務表 (2)'!J45</f>
        <v/>
      </c>
      <c r="K46" s="18" t="str">
        <f>'[3]勤務表 (2)'!K45</f>
        <v/>
      </c>
      <c r="L46" s="18" t="str">
        <f>'[3]勤務表 (2)'!L45</f>
        <v/>
      </c>
      <c r="M46" s="18" t="str">
        <f>'[3]勤務表 (2)'!M45</f>
        <v/>
      </c>
      <c r="N46" s="18">
        <f>'[3]勤務表 (2)'!N45</f>
        <v>0</v>
      </c>
      <c r="O46" s="18" t="str">
        <f>'[3]勤務表 (2)'!O45</f>
        <v/>
      </c>
      <c r="P46" s="18" t="str">
        <f>'[3]勤務表 (2)'!P45</f>
        <v/>
      </c>
      <c r="Q46" s="18" t="str">
        <f>'[3]勤務表 (2)'!Q45</f>
        <v/>
      </c>
      <c r="R46" s="18" t="str">
        <f>'[3]勤務表 (2)'!R45</f>
        <v/>
      </c>
      <c r="S46" s="18" t="str">
        <f>'[3]勤務表 (2)'!S45</f>
        <v/>
      </c>
      <c r="T46" s="18" t="str">
        <f>'[3]勤務表 (2)'!T45</f>
        <v/>
      </c>
      <c r="U46" s="18" t="str">
        <f>'[3]勤務表 (2)'!U45</f>
        <v/>
      </c>
      <c r="V46" s="18" t="str">
        <f>'[3]勤務表 (2)'!V45</f>
        <v/>
      </c>
      <c r="W46" s="18" t="str">
        <f>'[3]勤務表 (2)'!W45</f>
        <v/>
      </c>
      <c r="X46" s="18" t="str">
        <f>'[3]勤務表 (2)'!X45</f>
        <v/>
      </c>
      <c r="Y46" s="18" t="str">
        <f>'[3]勤務表 (2)'!Y45</f>
        <v/>
      </c>
      <c r="Z46" s="18" t="str">
        <f>'[3]勤務表 (2)'!Z45</f>
        <v/>
      </c>
      <c r="AA46" s="18" t="str">
        <f>'[3]勤務表 (2)'!AA45</f>
        <v/>
      </c>
      <c r="AB46" s="18" t="str">
        <f>'[3]勤務表 (2)'!AB45</f>
        <v/>
      </c>
      <c r="AC46" s="18" t="str">
        <f>'[3]勤務表 (2)'!AC45</f>
        <v/>
      </c>
      <c r="AD46" s="18" t="str">
        <f>'[3]勤務表 (2)'!AD45</f>
        <v/>
      </c>
      <c r="AE46" s="18" t="str">
        <f>'[3]勤務表 (2)'!AE45</f>
        <v/>
      </c>
      <c r="AF46" s="18" t="str">
        <f>'[3]勤務表 (2)'!AF45</f>
        <v/>
      </c>
      <c r="AG46" s="18" t="str">
        <f>'[3]勤務表 (2)'!AG45</f>
        <v/>
      </c>
      <c r="AH46" s="17" t="str">
        <f>'[3]勤務表 (2)'!AH45</f>
        <v/>
      </c>
      <c r="AJ46" s="12">
        <f>IF(D46&lt;&gt;勤務変更!D46,1,0)</f>
        <v>0</v>
      </c>
      <c r="AK46" s="12">
        <f>IF(E46&lt;&gt;勤務変更!E46,1,0)</f>
        <v>0</v>
      </c>
      <c r="AL46" s="12">
        <f>IF(F46&lt;&gt;勤務変更!F46,1,0)</f>
        <v>0</v>
      </c>
      <c r="AM46" s="12">
        <f>IF(G46&lt;&gt;勤務変更!G46,1,0)</f>
        <v>0</v>
      </c>
      <c r="AN46" s="12">
        <f>IF(H46&lt;&gt;勤務変更!H46,1,0)</f>
        <v>0</v>
      </c>
      <c r="AO46" s="12">
        <f>IF(I46&lt;&gt;勤務変更!I46,1,0)</f>
        <v>0</v>
      </c>
      <c r="AP46" s="12">
        <f>IF(J46&lt;&gt;勤務変更!J46,1,0)</f>
        <v>0</v>
      </c>
      <c r="AQ46" s="12">
        <f>IF(K46&lt;&gt;勤務変更!K46,1,0)</f>
        <v>0</v>
      </c>
      <c r="AR46" s="12">
        <f>IF(L46&lt;&gt;勤務変更!L46,1,0)</f>
        <v>0</v>
      </c>
      <c r="AS46" s="12">
        <f>IF(M46&lt;&gt;勤務変更!M46,1,0)</f>
        <v>0</v>
      </c>
      <c r="AT46" s="12">
        <f>IF(N46&lt;&gt;勤務変更!N46,1,0)</f>
        <v>0</v>
      </c>
      <c r="AU46" s="12">
        <f>IF(O46&lt;&gt;勤務変更!O46,1,0)</f>
        <v>0</v>
      </c>
      <c r="AV46" s="12">
        <f>IF(P46&lt;&gt;勤務変更!P46,1,0)</f>
        <v>0</v>
      </c>
      <c r="AW46" s="12">
        <f>IF(Q46&lt;&gt;勤務変更!Q46,1,0)</f>
        <v>0</v>
      </c>
      <c r="AX46" s="12">
        <f>IF(R46&lt;&gt;勤務変更!R46,1,0)</f>
        <v>0</v>
      </c>
      <c r="AY46" s="12">
        <f>IF(S46&lt;&gt;勤務変更!S46,1,0)</f>
        <v>0</v>
      </c>
      <c r="AZ46" s="12">
        <f>IF(T46&lt;&gt;勤務変更!T46,1,0)</f>
        <v>0</v>
      </c>
      <c r="BA46" s="12">
        <f>IF(U46&lt;&gt;勤務変更!U46,1,0)</f>
        <v>0</v>
      </c>
      <c r="BB46" s="12">
        <f>IF(V46&lt;&gt;勤務変更!V46,1,0)</f>
        <v>0</v>
      </c>
      <c r="BC46" s="12">
        <f>IF(W46&lt;&gt;勤務変更!W46,1,0)</f>
        <v>0</v>
      </c>
      <c r="BD46" s="12">
        <f>IF(X46&lt;&gt;勤務変更!X46,1,0)</f>
        <v>0</v>
      </c>
      <c r="BE46" s="12">
        <f>IF(Y46&lt;&gt;勤務変更!Y46,1,0)</f>
        <v>0</v>
      </c>
      <c r="BF46" s="12">
        <f>IF(Z46&lt;&gt;勤務変更!Z46,1,0)</f>
        <v>0</v>
      </c>
      <c r="BG46" s="12">
        <f>IF(AA46&lt;&gt;勤務変更!AA46,1,0)</f>
        <v>0</v>
      </c>
      <c r="BH46" s="12">
        <f>IF(AB46&lt;&gt;勤務変更!AB46,1,0)</f>
        <v>0</v>
      </c>
      <c r="BI46" s="12">
        <f>IF(AC46&lt;&gt;勤務変更!AC46,1,0)</f>
        <v>0</v>
      </c>
      <c r="BJ46" s="12">
        <f>IF(AD46&lt;&gt;勤務変更!AD46,1,0)</f>
        <v>0</v>
      </c>
      <c r="BK46" s="12">
        <f>IF(AE46&lt;&gt;勤務変更!AE46,1,0)</f>
        <v>0</v>
      </c>
      <c r="BL46" s="12">
        <f>IF(AF46&lt;&gt;勤務変更!AF46,1,0)</f>
        <v>0</v>
      </c>
      <c r="BM46" s="12">
        <f>IF(AG46&lt;&gt;勤務変更!AG46,1,0)</f>
        <v>0</v>
      </c>
      <c r="BN46" s="12">
        <f>IF(AH46&lt;&gt;勤務変更!AH46,1,0)</f>
        <v>0</v>
      </c>
      <c r="BO46" s="12">
        <f t="shared" si="1"/>
        <v>0</v>
      </c>
      <c r="BP46" s="12" t="str">
        <f>IF(BR46="","",COUNTA(BR$4:BR46)-COUNTBLANK(BR$4:BR46))</f>
        <v/>
      </c>
      <c r="BQ46" s="12" t="str">
        <f t="shared" si="2"/>
        <v/>
      </c>
      <c r="BR46" s="12" t="str">
        <f t="shared" si="3"/>
        <v/>
      </c>
    </row>
    <row r="47" spans="1:70" ht="13.15" customHeight="1" x14ac:dyDescent="0.2">
      <c r="A47" s="9" t="str">
        <f>IFERROR(IF(A46+1&lt;=MAX('[2]デイリーデータ (2)'!G:G),A46+1,""),"")</f>
        <v/>
      </c>
      <c r="B47" s="19" t="str">
        <f>IFERROR(VLOOKUP(A47,[2]スタッフ!A:C,2,FALSE),"")</f>
        <v/>
      </c>
      <c r="C47" s="75" t="str">
        <f>IFERROR(VLOOKUP(A47,[2]スタッフ!A:C,3,FALSE),"")</f>
        <v/>
      </c>
      <c r="D47" s="20" t="str">
        <f>IFERROR(VLOOKUP($B47&amp;D$2,'[2]デイリーデータ (2)'!$A:$F,5,FALSE),"")</f>
        <v/>
      </c>
      <c r="E47" s="11" t="str">
        <f>IFERROR(VLOOKUP($B47&amp;E$2,'[2]デイリーデータ (2)'!$A:$F,5,FALSE),"")</f>
        <v/>
      </c>
      <c r="F47" s="11" t="str">
        <f>IFERROR(VLOOKUP($B47&amp;F$2,'[2]デイリーデータ (2)'!$A:$F,5,FALSE),"")</f>
        <v/>
      </c>
      <c r="G47" s="11" t="str">
        <f>IFERROR(VLOOKUP($B47&amp;G$2,'[2]デイリーデータ (2)'!$A:$F,5,FALSE),"")</f>
        <v/>
      </c>
      <c r="H47" s="11" t="str">
        <f>IFERROR(VLOOKUP($B47&amp;H$2,'[2]デイリーデータ (2)'!$A:$F,5,FALSE),"")</f>
        <v/>
      </c>
      <c r="I47" s="11" t="str">
        <f>IFERROR(VLOOKUP($B47&amp;I$2,'[2]デイリーデータ (2)'!$A:$F,5,FALSE),"")</f>
        <v/>
      </c>
      <c r="J47" s="11" t="str">
        <f>IFERROR(VLOOKUP($B47&amp;J$2,'[2]デイリーデータ (2)'!$A:$F,5,FALSE),"")</f>
        <v/>
      </c>
      <c r="K47" s="11" t="str">
        <f>IFERROR(VLOOKUP($B47&amp;K$2,'[2]デイリーデータ (2)'!$A:$F,5,FALSE),"")</f>
        <v/>
      </c>
      <c r="L47" s="11" t="str">
        <f>IFERROR(VLOOKUP($B47&amp;L$2,'[2]デイリーデータ (2)'!$A:$F,5,FALSE),"")</f>
        <v/>
      </c>
      <c r="M47" s="11" t="str">
        <f>IFERROR(VLOOKUP($B47&amp;M$2,'[2]デイリーデータ (2)'!$A:$F,5,FALSE),"")</f>
        <v/>
      </c>
      <c r="N47" s="11" t="str">
        <f>IFERROR(VLOOKUP($B47&amp;N$2,'[2]デイリーデータ (2)'!$A:$F,5,FALSE),"")</f>
        <v/>
      </c>
      <c r="O47" s="11" t="str">
        <f>IFERROR(VLOOKUP($B47&amp;O$2,'[2]デイリーデータ (2)'!$A:$F,5,FALSE),"")</f>
        <v/>
      </c>
      <c r="P47" s="11" t="str">
        <f>IFERROR(VLOOKUP($B47&amp;P$2,'[2]デイリーデータ (2)'!$A:$F,5,FALSE),"")</f>
        <v/>
      </c>
      <c r="Q47" s="11" t="str">
        <f>IFERROR(VLOOKUP($B47&amp;Q$2,'[2]デイリーデータ (2)'!$A:$F,5,FALSE),"")</f>
        <v/>
      </c>
      <c r="R47" s="11" t="str">
        <f>IFERROR(VLOOKUP($B47&amp;R$2,'[2]デイリーデータ (2)'!$A:$F,5,FALSE),"")</f>
        <v/>
      </c>
      <c r="S47" s="11" t="str">
        <f>IFERROR(VLOOKUP($B47&amp;S$2,'[2]デイリーデータ (2)'!$A:$F,5,FALSE),"")</f>
        <v/>
      </c>
      <c r="T47" s="11" t="str">
        <f>IFERROR(VLOOKUP($B47&amp;T$2,'[2]デイリーデータ (2)'!$A:$F,5,FALSE),"")</f>
        <v/>
      </c>
      <c r="U47" s="11" t="str">
        <f>IFERROR(VLOOKUP($B47&amp;U$2,'[2]デイリーデータ (2)'!$A:$F,5,FALSE),"")</f>
        <v/>
      </c>
      <c r="V47" s="11" t="str">
        <f>IFERROR(VLOOKUP($B47&amp;V$2,'[2]デイリーデータ (2)'!$A:$F,5,FALSE),"")</f>
        <v/>
      </c>
      <c r="W47" s="11" t="str">
        <f>IFERROR(VLOOKUP($B47&amp;W$2,'[2]デイリーデータ (2)'!$A:$F,5,FALSE),"")</f>
        <v/>
      </c>
      <c r="X47" s="11" t="str">
        <f>IFERROR(VLOOKUP($B47&amp;X$2,'[2]デイリーデータ (2)'!$A:$F,5,FALSE),"")</f>
        <v/>
      </c>
      <c r="Y47" s="11" t="str">
        <f>IFERROR(VLOOKUP($B47&amp;Y$2,'[2]デイリーデータ (2)'!$A:$F,5,FALSE),"")</f>
        <v/>
      </c>
      <c r="Z47" s="11" t="str">
        <f>IFERROR(VLOOKUP($B47&amp;Z$2,'[2]デイリーデータ (2)'!$A:$F,5,FALSE),"")</f>
        <v/>
      </c>
      <c r="AA47" s="11" t="str">
        <f>IFERROR(VLOOKUP($B47&amp;AA$2,'[2]デイリーデータ (2)'!$A:$F,5,FALSE),"")</f>
        <v/>
      </c>
      <c r="AB47" s="11" t="str">
        <f>IFERROR(VLOOKUP($B47&amp;AB$2,'[2]デイリーデータ (2)'!$A:$F,5,FALSE),"")</f>
        <v/>
      </c>
      <c r="AC47" s="11" t="str">
        <f>IFERROR(VLOOKUP($B47&amp;AC$2,'[2]デイリーデータ (2)'!$A:$F,5,FALSE),"")</f>
        <v/>
      </c>
      <c r="AD47" s="11" t="str">
        <f>IFERROR(VLOOKUP($B47&amp;AD$2,'[2]デイリーデータ (2)'!$A:$F,5,FALSE),"")</f>
        <v/>
      </c>
      <c r="AE47" s="11" t="str">
        <f>IFERROR(VLOOKUP($B47&amp;AE$2,'[2]デイリーデータ (2)'!$A:$F,5,FALSE),"")</f>
        <v/>
      </c>
      <c r="AF47" s="11" t="str">
        <f>IFERROR(VLOOKUP($B47&amp;AF$2,'[2]デイリーデータ (2)'!$A:$F,5,FALSE),"")</f>
        <v/>
      </c>
      <c r="AG47" s="11" t="str">
        <f>IFERROR(VLOOKUP($B47&amp;AG$2,'[2]デイリーデータ (2)'!$A:$F,5,FALSE),"")</f>
        <v/>
      </c>
      <c r="AH47" s="10" t="str">
        <f>IFERROR(VLOOKUP($B47&amp;AH$2,'[2]デイリーデータ (2)'!$A:$F,5,FALSE),"")</f>
        <v/>
      </c>
      <c r="BQ47" s="12" t="str">
        <f t="shared" si="2"/>
        <v/>
      </c>
      <c r="BR47" s="12" t="str">
        <f>IF(BO47&lt;&gt;"",C47,"")</f>
        <v/>
      </c>
    </row>
    <row r="48" spans="1:70" ht="13.15" customHeight="1" x14ac:dyDescent="0.2">
      <c r="A48" s="13" t="str">
        <f>IFERROR(IF(A47+1&lt;=MAX('[2]デイリーデータ (2)'!G:G),A47+1,""),"")</f>
        <v/>
      </c>
      <c r="B48" s="21" t="str">
        <f>IFERROR(VLOOKUP(A48,[2]スタッフ!A:C,2,FALSE),"")</f>
        <v/>
      </c>
      <c r="C48" s="76" t="str">
        <f>IFERROR(VLOOKUP(A48,[2]スタッフ!A:C,3,FALSE),"")</f>
        <v/>
      </c>
      <c r="D48" s="22" t="str">
        <f>IFERROR(VLOOKUP($B48&amp;D$2,'[2]デイリーデータ (2)'!$A:$F,5,FALSE),"")</f>
        <v/>
      </c>
      <c r="E48" s="15" t="str">
        <f>IFERROR(VLOOKUP($B48&amp;E$2,'[2]デイリーデータ (2)'!$A:$F,5,FALSE),"")</f>
        <v/>
      </c>
      <c r="F48" s="15" t="str">
        <f>IFERROR(VLOOKUP($B48&amp;F$2,'[2]デイリーデータ (2)'!$A:$F,5,FALSE),"")</f>
        <v/>
      </c>
      <c r="G48" s="15" t="str">
        <f>IFERROR(VLOOKUP($B48&amp;G$2,'[2]デイリーデータ (2)'!$A:$F,5,FALSE),"")</f>
        <v/>
      </c>
      <c r="H48" s="15" t="str">
        <f>IFERROR(VLOOKUP($B48&amp;H$2,'[2]デイリーデータ (2)'!$A:$F,5,FALSE),"")</f>
        <v/>
      </c>
      <c r="I48" s="15" t="str">
        <f>IFERROR(VLOOKUP($B48&amp;I$2,'[2]デイリーデータ (2)'!$A:$F,5,FALSE),"")</f>
        <v/>
      </c>
      <c r="J48" s="15" t="str">
        <f>IFERROR(VLOOKUP($B48&amp;J$2,'[2]デイリーデータ (2)'!$A:$F,5,FALSE),"")</f>
        <v/>
      </c>
      <c r="K48" s="15" t="str">
        <f>IFERROR(VLOOKUP($B48&amp;K$2,'[2]デイリーデータ (2)'!$A:$F,5,FALSE),"")</f>
        <v/>
      </c>
      <c r="L48" s="15" t="str">
        <f>IFERROR(VLOOKUP($B48&amp;L$2,'[2]デイリーデータ (2)'!$A:$F,5,FALSE),"")</f>
        <v/>
      </c>
      <c r="M48" s="15" t="str">
        <f>IFERROR(VLOOKUP($B48&amp;M$2,'[2]デイリーデータ (2)'!$A:$F,5,FALSE),"")</f>
        <v/>
      </c>
      <c r="N48" s="15" t="str">
        <f>IFERROR(VLOOKUP($B48&amp;N$2,'[2]デイリーデータ (2)'!$A:$F,5,FALSE),"")</f>
        <v/>
      </c>
      <c r="O48" s="15" t="str">
        <f>IFERROR(VLOOKUP($B48&amp;O$2,'[2]デイリーデータ (2)'!$A:$F,5,FALSE),"")</f>
        <v/>
      </c>
      <c r="P48" s="15" t="str">
        <f>IFERROR(VLOOKUP($B48&amp;P$2,'[2]デイリーデータ (2)'!$A:$F,5,FALSE),"")</f>
        <v/>
      </c>
      <c r="Q48" s="15" t="str">
        <f>IFERROR(VLOOKUP($B48&amp;Q$2,'[2]デイリーデータ (2)'!$A:$F,5,FALSE),"")</f>
        <v/>
      </c>
      <c r="R48" s="15" t="str">
        <f>IFERROR(VLOOKUP($B48&amp;R$2,'[2]デイリーデータ (2)'!$A:$F,5,FALSE),"")</f>
        <v/>
      </c>
      <c r="S48" s="15" t="str">
        <f>IFERROR(VLOOKUP($B48&amp;S$2,'[2]デイリーデータ (2)'!$A:$F,5,FALSE),"")</f>
        <v/>
      </c>
      <c r="T48" s="15" t="str">
        <f>IFERROR(VLOOKUP($B48&amp;T$2,'[2]デイリーデータ (2)'!$A:$F,5,FALSE),"")</f>
        <v/>
      </c>
      <c r="U48" s="15" t="str">
        <f>IFERROR(VLOOKUP($B48&amp;U$2,'[2]デイリーデータ (2)'!$A:$F,5,FALSE),"")</f>
        <v/>
      </c>
      <c r="V48" s="15" t="str">
        <f>IFERROR(VLOOKUP($B48&amp;V$2,'[2]デイリーデータ (2)'!$A:$F,5,FALSE),"")</f>
        <v/>
      </c>
      <c r="W48" s="15" t="str">
        <f>IFERROR(VLOOKUP($B48&amp;W$2,'[2]デイリーデータ (2)'!$A:$F,5,FALSE),"")</f>
        <v/>
      </c>
      <c r="X48" s="15" t="str">
        <f>IFERROR(VLOOKUP($B48&amp;X$2,'[2]デイリーデータ (2)'!$A:$F,5,FALSE),"")</f>
        <v/>
      </c>
      <c r="Y48" s="15" t="str">
        <f>IFERROR(VLOOKUP($B48&amp;Y$2,'[2]デイリーデータ (2)'!$A:$F,5,FALSE),"")</f>
        <v/>
      </c>
      <c r="Z48" s="15" t="str">
        <f>IFERROR(VLOOKUP($B48&amp;Z$2,'[2]デイリーデータ (2)'!$A:$F,5,FALSE),"")</f>
        <v/>
      </c>
      <c r="AA48" s="15" t="str">
        <f>IFERROR(VLOOKUP($B48&amp;AA$2,'[2]デイリーデータ (2)'!$A:$F,5,FALSE),"")</f>
        <v/>
      </c>
      <c r="AB48" s="15" t="str">
        <f>IFERROR(VLOOKUP($B48&amp;AB$2,'[2]デイリーデータ (2)'!$A:$F,5,FALSE),"")</f>
        <v/>
      </c>
      <c r="AC48" s="15" t="str">
        <f>IFERROR(VLOOKUP($B48&amp;AC$2,'[2]デイリーデータ (2)'!$A:$F,5,FALSE),"")</f>
        <v/>
      </c>
      <c r="AD48" s="15" t="str">
        <f>IFERROR(VLOOKUP($B48&amp;AD$2,'[2]デイリーデータ (2)'!$A:$F,5,FALSE),"")</f>
        <v/>
      </c>
      <c r="AE48" s="15" t="str">
        <f>IFERROR(VLOOKUP($B48&amp;AE$2,'[2]デイリーデータ (2)'!$A:$F,5,FALSE),"")</f>
        <v/>
      </c>
      <c r="AF48" s="15" t="str">
        <f>IFERROR(VLOOKUP($B48&amp;AF$2,'[2]デイリーデータ (2)'!$A:$F,5,FALSE),"")</f>
        <v/>
      </c>
      <c r="AG48" s="15" t="str">
        <f>IFERROR(VLOOKUP($B48&amp;AG$2,'[2]デイリーデータ (2)'!$A:$F,5,FALSE),"")</f>
        <v/>
      </c>
      <c r="AH48" s="14" t="str">
        <f>IFERROR(VLOOKUP($B48&amp;AH$2,'[2]デイリーデータ (2)'!$A:$F,5,FALSE),"")</f>
        <v/>
      </c>
      <c r="BQ48" s="12" t="str">
        <f t="shared" si="2"/>
        <v/>
      </c>
    </row>
    <row r="49" spans="1:69" ht="13.15" customHeight="1" x14ac:dyDescent="0.2">
      <c r="A49" s="13" t="str">
        <f>IFERROR(IF(A48+1&lt;=MAX('[2]デイリーデータ (2)'!G:G),A48+1,""),"")</f>
        <v/>
      </c>
      <c r="B49" s="21" t="str">
        <f>IFERROR(VLOOKUP(A49,[2]スタッフ!A:C,2,FALSE),"")</f>
        <v/>
      </c>
      <c r="C49" s="76" t="str">
        <f>IFERROR(VLOOKUP(A49,[2]スタッフ!A:C,3,FALSE),"")</f>
        <v/>
      </c>
      <c r="D49" s="22" t="str">
        <f>IFERROR(VLOOKUP($B49&amp;D$2,'[2]デイリーデータ (2)'!$A:$F,5,FALSE),"")</f>
        <v/>
      </c>
      <c r="E49" s="15" t="str">
        <f>IFERROR(VLOOKUP($B49&amp;E$2,'[2]デイリーデータ (2)'!$A:$F,5,FALSE),"")</f>
        <v/>
      </c>
      <c r="F49" s="15" t="str">
        <f>IFERROR(VLOOKUP($B49&amp;F$2,'[2]デイリーデータ (2)'!$A:$F,5,FALSE),"")</f>
        <v/>
      </c>
      <c r="G49" s="15" t="str">
        <f>IFERROR(VLOOKUP($B49&amp;G$2,'[2]デイリーデータ (2)'!$A:$F,5,FALSE),"")</f>
        <v/>
      </c>
      <c r="H49" s="15" t="str">
        <f>IFERROR(VLOOKUP($B49&amp;H$2,'[2]デイリーデータ (2)'!$A:$F,5,FALSE),"")</f>
        <v/>
      </c>
      <c r="I49" s="15" t="str">
        <f>IFERROR(VLOOKUP($B49&amp;I$2,'[2]デイリーデータ (2)'!$A:$F,5,FALSE),"")</f>
        <v/>
      </c>
      <c r="J49" s="15" t="str">
        <f>IFERROR(VLOOKUP($B49&amp;J$2,'[2]デイリーデータ (2)'!$A:$F,5,FALSE),"")</f>
        <v/>
      </c>
      <c r="K49" s="15" t="str">
        <f>IFERROR(VLOOKUP($B49&amp;K$2,'[2]デイリーデータ (2)'!$A:$F,5,FALSE),"")</f>
        <v/>
      </c>
      <c r="L49" s="15" t="str">
        <f>IFERROR(VLOOKUP($B49&amp;L$2,'[2]デイリーデータ (2)'!$A:$F,5,FALSE),"")</f>
        <v/>
      </c>
      <c r="M49" s="15" t="str">
        <f>IFERROR(VLOOKUP($B49&amp;M$2,'[2]デイリーデータ (2)'!$A:$F,5,FALSE),"")</f>
        <v/>
      </c>
      <c r="N49" s="15" t="str">
        <f>IFERROR(VLOOKUP($B49&amp;N$2,'[2]デイリーデータ (2)'!$A:$F,5,FALSE),"")</f>
        <v/>
      </c>
      <c r="O49" s="15" t="str">
        <f>IFERROR(VLOOKUP($B49&amp;O$2,'[2]デイリーデータ (2)'!$A:$F,5,FALSE),"")</f>
        <v/>
      </c>
      <c r="P49" s="15" t="str">
        <f>IFERROR(VLOOKUP($B49&amp;P$2,'[2]デイリーデータ (2)'!$A:$F,5,FALSE),"")</f>
        <v/>
      </c>
      <c r="Q49" s="15" t="str">
        <f>IFERROR(VLOOKUP($B49&amp;Q$2,'[2]デイリーデータ (2)'!$A:$F,5,FALSE),"")</f>
        <v/>
      </c>
      <c r="R49" s="15" t="str">
        <f>IFERROR(VLOOKUP($B49&amp;R$2,'[2]デイリーデータ (2)'!$A:$F,5,FALSE),"")</f>
        <v/>
      </c>
      <c r="S49" s="15" t="str">
        <f>IFERROR(VLOOKUP($B49&amp;S$2,'[2]デイリーデータ (2)'!$A:$F,5,FALSE),"")</f>
        <v/>
      </c>
      <c r="T49" s="15" t="str">
        <f>IFERROR(VLOOKUP($B49&amp;T$2,'[2]デイリーデータ (2)'!$A:$F,5,FALSE),"")</f>
        <v/>
      </c>
      <c r="U49" s="15" t="str">
        <f>IFERROR(VLOOKUP($B49&amp;U$2,'[2]デイリーデータ (2)'!$A:$F,5,FALSE),"")</f>
        <v/>
      </c>
      <c r="V49" s="15" t="str">
        <f>IFERROR(VLOOKUP($B49&amp;V$2,'[2]デイリーデータ (2)'!$A:$F,5,FALSE),"")</f>
        <v/>
      </c>
      <c r="W49" s="15" t="str">
        <f>IFERROR(VLOOKUP($B49&amp;W$2,'[2]デイリーデータ (2)'!$A:$F,5,FALSE),"")</f>
        <v/>
      </c>
      <c r="X49" s="15" t="str">
        <f>IFERROR(VLOOKUP($B49&amp;X$2,'[2]デイリーデータ (2)'!$A:$F,5,FALSE),"")</f>
        <v/>
      </c>
      <c r="Y49" s="15" t="str">
        <f>IFERROR(VLOOKUP($B49&amp;Y$2,'[2]デイリーデータ (2)'!$A:$F,5,FALSE),"")</f>
        <v/>
      </c>
      <c r="Z49" s="15" t="str">
        <f>IFERROR(VLOOKUP($B49&amp;Z$2,'[2]デイリーデータ (2)'!$A:$F,5,FALSE),"")</f>
        <v/>
      </c>
      <c r="AA49" s="15" t="str">
        <f>IFERROR(VLOOKUP($B49&amp;AA$2,'[2]デイリーデータ (2)'!$A:$F,5,FALSE),"")</f>
        <v/>
      </c>
      <c r="AB49" s="15" t="str">
        <f>IFERROR(VLOOKUP($B49&amp;AB$2,'[2]デイリーデータ (2)'!$A:$F,5,FALSE),"")</f>
        <v/>
      </c>
      <c r="AC49" s="15" t="str">
        <f>IFERROR(VLOOKUP($B49&amp;AC$2,'[2]デイリーデータ (2)'!$A:$F,5,FALSE),"")</f>
        <v/>
      </c>
      <c r="AD49" s="15" t="str">
        <f>IFERROR(VLOOKUP($B49&amp;AD$2,'[2]デイリーデータ (2)'!$A:$F,5,FALSE),"")</f>
        <v/>
      </c>
      <c r="AE49" s="15" t="str">
        <f>IFERROR(VLOOKUP($B49&amp;AE$2,'[2]デイリーデータ (2)'!$A:$F,5,FALSE),"")</f>
        <v/>
      </c>
      <c r="AF49" s="15" t="str">
        <f>IFERROR(VLOOKUP($B49&amp;AF$2,'[2]デイリーデータ (2)'!$A:$F,5,FALSE),"")</f>
        <v/>
      </c>
      <c r="AG49" s="15" t="str">
        <f>IFERROR(VLOOKUP($B49&amp;AG$2,'[2]デイリーデータ (2)'!$A:$F,5,FALSE),"")</f>
        <v/>
      </c>
      <c r="AH49" s="14" t="str">
        <f>IFERROR(VLOOKUP($B49&amp;AH$2,'[2]デイリーデータ (2)'!$A:$F,5,FALSE),"")</f>
        <v/>
      </c>
      <c r="BQ49" s="12" t="str">
        <f t="shared" si="2"/>
        <v/>
      </c>
    </row>
    <row r="50" spans="1:69" ht="13.15" customHeight="1" x14ac:dyDescent="0.2">
      <c r="A50" s="13" t="str">
        <f>IFERROR(IF(A49+1&lt;=MAX('[2]デイリーデータ (2)'!G:G),A49+1,""),"")</f>
        <v/>
      </c>
      <c r="B50" s="21" t="str">
        <f>IFERROR(VLOOKUP(A50,[2]スタッフ!A:C,2,FALSE),"")</f>
        <v/>
      </c>
      <c r="C50" s="76" t="str">
        <f>IFERROR(VLOOKUP(A50,[2]スタッフ!A:C,3,FALSE),"")</f>
        <v/>
      </c>
      <c r="D50" s="22" t="str">
        <f>IFERROR(VLOOKUP($B50&amp;D$2,'[2]デイリーデータ (2)'!$A:$F,5,FALSE),"")</f>
        <v/>
      </c>
      <c r="E50" s="15" t="str">
        <f>IFERROR(VLOOKUP($B50&amp;E$2,'[2]デイリーデータ (2)'!$A:$F,5,FALSE),"")</f>
        <v/>
      </c>
      <c r="F50" s="15" t="str">
        <f>IFERROR(VLOOKUP($B50&amp;F$2,'[2]デイリーデータ (2)'!$A:$F,5,FALSE),"")</f>
        <v/>
      </c>
      <c r="G50" s="15" t="str">
        <f>IFERROR(VLOOKUP($B50&amp;G$2,'[2]デイリーデータ (2)'!$A:$F,5,FALSE),"")</f>
        <v/>
      </c>
      <c r="H50" s="15" t="str">
        <f>IFERROR(VLOOKUP($B50&amp;H$2,'[2]デイリーデータ (2)'!$A:$F,5,FALSE),"")</f>
        <v/>
      </c>
      <c r="I50" s="15" t="str">
        <f>IFERROR(VLOOKUP($B50&amp;I$2,'[2]デイリーデータ (2)'!$A:$F,5,FALSE),"")</f>
        <v/>
      </c>
      <c r="J50" s="15" t="str">
        <f>IFERROR(VLOOKUP($B50&amp;J$2,'[2]デイリーデータ (2)'!$A:$F,5,FALSE),"")</f>
        <v/>
      </c>
      <c r="K50" s="15" t="str">
        <f>IFERROR(VLOOKUP($B50&amp;K$2,'[2]デイリーデータ (2)'!$A:$F,5,FALSE),"")</f>
        <v/>
      </c>
      <c r="L50" s="15" t="str">
        <f>IFERROR(VLOOKUP($B50&amp;L$2,'[2]デイリーデータ (2)'!$A:$F,5,FALSE),"")</f>
        <v/>
      </c>
      <c r="M50" s="15" t="str">
        <f>IFERROR(VLOOKUP($B50&amp;M$2,'[2]デイリーデータ (2)'!$A:$F,5,FALSE),"")</f>
        <v/>
      </c>
      <c r="N50" s="15" t="str">
        <f>IFERROR(VLOOKUP($B50&amp;N$2,'[2]デイリーデータ (2)'!$A:$F,5,FALSE),"")</f>
        <v/>
      </c>
      <c r="O50" s="15" t="str">
        <f>IFERROR(VLOOKUP($B50&amp;O$2,'[2]デイリーデータ (2)'!$A:$F,5,FALSE),"")</f>
        <v/>
      </c>
      <c r="P50" s="15" t="str">
        <f>IFERROR(VLOOKUP($B50&amp;P$2,'[2]デイリーデータ (2)'!$A:$F,5,FALSE),"")</f>
        <v/>
      </c>
      <c r="Q50" s="15" t="str">
        <f>IFERROR(VLOOKUP($B50&amp;Q$2,'[2]デイリーデータ (2)'!$A:$F,5,FALSE),"")</f>
        <v/>
      </c>
      <c r="R50" s="15" t="str">
        <f>IFERROR(VLOOKUP($B50&amp;R$2,'[2]デイリーデータ (2)'!$A:$F,5,FALSE),"")</f>
        <v/>
      </c>
      <c r="S50" s="15" t="str">
        <f>IFERROR(VLOOKUP($B50&amp;S$2,'[2]デイリーデータ (2)'!$A:$F,5,FALSE),"")</f>
        <v/>
      </c>
      <c r="T50" s="15" t="str">
        <f>IFERROR(VLOOKUP($B50&amp;T$2,'[2]デイリーデータ (2)'!$A:$F,5,FALSE),"")</f>
        <v/>
      </c>
      <c r="U50" s="15" t="str">
        <f>IFERROR(VLOOKUP($B50&amp;U$2,'[2]デイリーデータ (2)'!$A:$F,5,FALSE),"")</f>
        <v/>
      </c>
      <c r="V50" s="15" t="str">
        <f>IFERROR(VLOOKUP($B50&amp;V$2,'[2]デイリーデータ (2)'!$A:$F,5,FALSE),"")</f>
        <v/>
      </c>
      <c r="W50" s="15" t="str">
        <f>IFERROR(VLOOKUP($B50&amp;W$2,'[2]デイリーデータ (2)'!$A:$F,5,FALSE),"")</f>
        <v/>
      </c>
      <c r="X50" s="15" t="str">
        <f>IFERROR(VLOOKUP($B50&amp;X$2,'[2]デイリーデータ (2)'!$A:$F,5,FALSE),"")</f>
        <v/>
      </c>
      <c r="Y50" s="15" t="str">
        <f>IFERROR(VLOOKUP($B50&amp;Y$2,'[2]デイリーデータ (2)'!$A:$F,5,FALSE),"")</f>
        <v/>
      </c>
      <c r="Z50" s="15" t="str">
        <f>IFERROR(VLOOKUP($B50&amp;Z$2,'[2]デイリーデータ (2)'!$A:$F,5,FALSE),"")</f>
        <v/>
      </c>
      <c r="AA50" s="15" t="str">
        <f>IFERROR(VLOOKUP($B50&amp;AA$2,'[2]デイリーデータ (2)'!$A:$F,5,FALSE),"")</f>
        <v/>
      </c>
      <c r="AB50" s="15" t="str">
        <f>IFERROR(VLOOKUP($B50&amp;AB$2,'[2]デイリーデータ (2)'!$A:$F,5,FALSE),"")</f>
        <v/>
      </c>
      <c r="AC50" s="15" t="str">
        <f>IFERROR(VLOOKUP($B50&amp;AC$2,'[2]デイリーデータ (2)'!$A:$F,5,FALSE),"")</f>
        <v/>
      </c>
      <c r="AD50" s="15" t="str">
        <f>IFERROR(VLOOKUP($B50&amp;AD$2,'[2]デイリーデータ (2)'!$A:$F,5,FALSE),"")</f>
        <v/>
      </c>
      <c r="AE50" s="15" t="str">
        <f>IFERROR(VLOOKUP($B50&amp;AE$2,'[2]デイリーデータ (2)'!$A:$F,5,FALSE),"")</f>
        <v/>
      </c>
      <c r="AF50" s="15" t="str">
        <f>IFERROR(VLOOKUP($B50&amp;AF$2,'[2]デイリーデータ (2)'!$A:$F,5,FALSE),"")</f>
        <v/>
      </c>
      <c r="AG50" s="15" t="str">
        <f>IFERROR(VLOOKUP($B50&amp;AG$2,'[2]デイリーデータ (2)'!$A:$F,5,FALSE),"")</f>
        <v/>
      </c>
      <c r="AH50" s="14" t="str">
        <f>IFERROR(VLOOKUP($B50&amp;AH$2,'[2]デイリーデータ (2)'!$A:$F,5,FALSE),"")</f>
        <v/>
      </c>
      <c r="BQ50" s="12" t="str">
        <f t="shared" si="2"/>
        <v/>
      </c>
    </row>
    <row r="51" spans="1:69" ht="13.15" customHeight="1" x14ac:dyDescent="0.2">
      <c r="A51" s="16" t="str">
        <f>IFERROR(IF(A50+1&lt;=MAX('[2]デイリーデータ (2)'!G:G),A50+1,""),"")</f>
        <v/>
      </c>
      <c r="B51" s="23" t="str">
        <f>IFERROR(VLOOKUP(A51,[2]スタッフ!A:C,2,FALSE),"")</f>
        <v/>
      </c>
      <c r="C51" s="77" t="str">
        <f>IFERROR(VLOOKUP(A51,[2]スタッフ!A:C,3,FALSE),"")</f>
        <v/>
      </c>
      <c r="D51" s="24" t="str">
        <f>IFERROR(VLOOKUP($B51&amp;D$2,'[2]デイリーデータ (2)'!$A:$F,5,FALSE),"")</f>
        <v/>
      </c>
      <c r="E51" s="18" t="str">
        <f>IFERROR(VLOOKUP($B51&amp;E$2,'[2]デイリーデータ (2)'!$A:$F,5,FALSE),"")</f>
        <v/>
      </c>
      <c r="F51" s="18" t="str">
        <f>IFERROR(VLOOKUP($B51&amp;F$2,'[2]デイリーデータ (2)'!$A:$F,5,FALSE),"")</f>
        <v/>
      </c>
      <c r="G51" s="18" t="str">
        <f>IFERROR(VLOOKUP($B51&amp;G$2,'[2]デイリーデータ (2)'!$A:$F,5,FALSE),"")</f>
        <v/>
      </c>
      <c r="H51" s="18" t="str">
        <f>IFERROR(VLOOKUP($B51&amp;H$2,'[2]デイリーデータ (2)'!$A:$F,5,FALSE),"")</f>
        <v/>
      </c>
      <c r="I51" s="18" t="str">
        <f>IFERROR(VLOOKUP($B51&amp;I$2,'[2]デイリーデータ (2)'!$A:$F,5,FALSE),"")</f>
        <v/>
      </c>
      <c r="J51" s="18" t="str">
        <f>IFERROR(VLOOKUP($B51&amp;J$2,'[2]デイリーデータ (2)'!$A:$F,5,FALSE),"")</f>
        <v/>
      </c>
      <c r="K51" s="18" t="str">
        <f>IFERROR(VLOOKUP($B51&amp;K$2,'[2]デイリーデータ (2)'!$A:$F,5,FALSE),"")</f>
        <v/>
      </c>
      <c r="L51" s="18" t="str">
        <f>IFERROR(VLOOKUP($B51&amp;L$2,'[2]デイリーデータ (2)'!$A:$F,5,FALSE),"")</f>
        <v/>
      </c>
      <c r="M51" s="18" t="str">
        <f>IFERROR(VLOOKUP($B51&amp;M$2,'[2]デイリーデータ (2)'!$A:$F,5,FALSE),"")</f>
        <v/>
      </c>
      <c r="N51" s="18" t="str">
        <f>IFERROR(VLOOKUP($B51&amp;N$2,'[2]デイリーデータ (2)'!$A:$F,5,FALSE),"")</f>
        <v/>
      </c>
      <c r="O51" s="18" t="str">
        <f>IFERROR(VLOOKUP($B51&amp;O$2,'[2]デイリーデータ (2)'!$A:$F,5,FALSE),"")</f>
        <v/>
      </c>
      <c r="P51" s="18" t="str">
        <f>IFERROR(VLOOKUP($B51&amp;P$2,'[2]デイリーデータ (2)'!$A:$F,5,FALSE),"")</f>
        <v/>
      </c>
      <c r="Q51" s="18" t="str">
        <f>IFERROR(VLOOKUP($B51&amp;Q$2,'[2]デイリーデータ (2)'!$A:$F,5,FALSE),"")</f>
        <v/>
      </c>
      <c r="R51" s="18" t="str">
        <f>IFERROR(VLOOKUP($B51&amp;R$2,'[2]デイリーデータ (2)'!$A:$F,5,FALSE),"")</f>
        <v/>
      </c>
      <c r="S51" s="18" t="str">
        <f>IFERROR(VLOOKUP($B51&amp;S$2,'[2]デイリーデータ (2)'!$A:$F,5,FALSE),"")</f>
        <v/>
      </c>
      <c r="T51" s="18" t="str">
        <f>IFERROR(VLOOKUP($B51&amp;T$2,'[2]デイリーデータ (2)'!$A:$F,5,FALSE),"")</f>
        <v/>
      </c>
      <c r="U51" s="18" t="str">
        <f>IFERROR(VLOOKUP($B51&amp;U$2,'[2]デイリーデータ (2)'!$A:$F,5,FALSE),"")</f>
        <v/>
      </c>
      <c r="V51" s="18" t="str">
        <f>IFERROR(VLOOKUP($B51&amp;V$2,'[2]デイリーデータ (2)'!$A:$F,5,FALSE),"")</f>
        <v/>
      </c>
      <c r="W51" s="18" t="str">
        <f>IFERROR(VLOOKUP($B51&amp;W$2,'[2]デイリーデータ (2)'!$A:$F,5,FALSE),"")</f>
        <v/>
      </c>
      <c r="X51" s="18" t="str">
        <f>IFERROR(VLOOKUP($B51&amp;X$2,'[2]デイリーデータ (2)'!$A:$F,5,FALSE),"")</f>
        <v/>
      </c>
      <c r="Y51" s="18" t="str">
        <f>IFERROR(VLOOKUP($B51&amp;Y$2,'[2]デイリーデータ (2)'!$A:$F,5,FALSE),"")</f>
        <v/>
      </c>
      <c r="Z51" s="18" t="str">
        <f>IFERROR(VLOOKUP($B51&amp;Z$2,'[2]デイリーデータ (2)'!$A:$F,5,FALSE),"")</f>
        <v/>
      </c>
      <c r="AA51" s="18" t="str">
        <f>IFERROR(VLOOKUP($B51&amp;AA$2,'[2]デイリーデータ (2)'!$A:$F,5,FALSE),"")</f>
        <v/>
      </c>
      <c r="AB51" s="18" t="str">
        <f>IFERROR(VLOOKUP($B51&amp;AB$2,'[2]デイリーデータ (2)'!$A:$F,5,FALSE),"")</f>
        <v/>
      </c>
      <c r="AC51" s="18" t="str">
        <f>IFERROR(VLOOKUP($B51&amp;AC$2,'[2]デイリーデータ (2)'!$A:$F,5,FALSE),"")</f>
        <v/>
      </c>
      <c r="AD51" s="18" t="str">
        <f>IFERROR(VLOOKUP($B51&amp;AD$2,'[2]デイリーデータ (2)'!$A:$F,5,FALSE),"")</f>
        <v/>
      </c>
      <c r="AE51" s="18" t="str">
        <f>IFERROR(VLOOKUP($B51&amp;AE$2,'[2]デイリーデータ (2)'!$A:$F,5,FALSE),"")</f>
        <v/>
      </c>
      <c r="AF51" s="18" t="str">
        <f>IFERROR(VLOOKUP($B51&amp;AF$2,'[2]デイリーデータ (2)'!$A:$F,5,FALSE),"")</f>
        <v/>
      </c>
      <c r="AG51" s="18" t="str">
        <f>IFERROR(VLOOKUP($B51&amp;AG$2,'[2]デイリーデータ (2)'!$A:$F,5,FALSE),"")</f>
        <v/>
      </c>
      <c r="AH51" s="17" t="str">
        <f>IFERROR(VLOOKUP($B51&amp;AH$2,'[2]デイリーデータ (2)'!$A:$F,5,FALSE),"")</f>
        <v/>
      </c>
      <c r="BQ51" s="12" t="str">
        <f t="shared" si="2"/>
        <v/>
      </c>
    </row>
    <row r="52" spans="1:69" ht="13.15" customHeight="1" x14ac:dyDescent="0.2">
      <c r="D52" s="12" t="str">
        <f>IFERROR(VLOOKUP($B52&amp;D$2,'[2]デイリーデータ (2)'!$A:$F,5,FALSE),"")</f>
        <v/>
      </c>
      <c r="E52" s="12" t="str">
        <f>IFERROR(VLOOKUP($B52&amp;E$2,'[2]デイリーデータ (2)'!$A:$F,5,FALSE),"")</f>
        <v/>
      </c>
      <c r="F52" s="12" t="str">
        <f>IFERROR(VLOOKUP($B52&amp;F$2,'[2]デイリーデータ (2)'!$A:$F,5,FALSE),"")</f>
        <v/>
      </c>
      <c r="G52" s="12" t="str">
        <f>IFERROR(VLOOKUP($B52&amp;G$2,'[2]デイリーデータ (2)'!$A:$F,5,FALSE),"")</f>
        <v/>
      </c>
      <c r="H52" s="12" t="str">
        <f>IFERROR(VLOOKUP($B52&amp;H$2,'[2]デイリーデータ (2)'!$A:$F,5,FALSE),"")</f>
        <v/>
      </c>
      <c r="I52" s="12" t="str">
        <f>IFERROR(VLOOKUP($B52&amp;I$2,'[2]デイリーデータ (2)'!$A:$F,5,FALSE),"")</f>
        <v/>
      </c>
      <c r="J52" s="12" t="str">
        <f>IFERROR(VLOOKUP($B52&amp;J$2,'[2]デイリーデータ (2)'!$A:$F,5,FALSE),"")</f>
        <v/>
      </c>
      <c r="K52" s="12" t="str">
        <f>IFERROR(VLOOKUP($B52&amp;K$2,'[2]デイリーデータ (2)'!$A:$F,5,FALSE),"")</f>
        <v/>
      </c>
      <c r="L52" s="12" t="str">
        <f>IFERROR(VLOOKUP($B52&amp;L$2,'[2]デイリーデータ (2)'!$A:$F,5,FALSE),"")</f>
        <v/>
      </c>
      <c r="M52" s="12" t="str">
        <f>IFERROR(VLOOKUP($B52&amp;M$2,'[2]デイリーデータ (2)'!$A:$F,5,FALSE),"")</f>
        <v/>
      </c>
      <c r="N52" s="12" t="str">
        <f>IFERROR(VLOOKUP($B52&amp;N$2,'[2]デイリーデータ (2)'!$A:$F,5,FALSE),"")</f>
        <v/>
      </c>
      <c r="O52" s="12" t="str">
        <f>IFERROR(VLOOKUP($B52&amp;O$2,'[2]デイリーデータ (2)'!$A:$F,5,FALSE),"")</f>
        <v/>
      </c>
      <c r="P52" s="12" t="str">
        <f>IFERROR(VLOOKUP($B52&amp;P$2,'[2]デイリーデータ (2)'!$A:$F,5,FALSE),"")</f>
        <v/>
      </c>
      <c r="Q52" s="12" t="str">
        <f>IFERROR(VLOOKUP($B52&amp;Q$2,'[2]デイリーデータ (2)'!$A:$F,5,FALSE),"")</f>
        <v/>
      </c>
      <c r="R52" s="12" t="str">
        <f>IFERROR(VLOOKUP($B52&amp;R$2,'[2]デイリーデータ (2)'!$A:$F,5,FALSE),"")</f>
        <v/>
      </c>
      <c r="S52" s="12" t="str">
        <f>IFERROR(VLOOKUP($B52&amp;S$2,'[2]デイリーデータ (2)'!$A:$F,5,FALSE),"")</f>
        <v/>
      </c>
      <c r="T52" s="12" t="str">
        <f>IFERROR(VLOOKUP($B52&amp;T$2,'[2]デイリーデータ (2)'!$A:$F,5,FALSE),"")</f>
        <v/>
      </c>
      <c r="U52" s="12" t="str">
        <f>IFERROR(VLOOKUP($B52&amp;U$2,'[2]デイリーデータ (2)'!$A:$F,5,FALSE),"")</f>
        <v/>
      </c>
      <c r="V52" s="12" t="str">
        <f>IFERROR(VLOOKUP($B52&amp;V$2,'[2]デイリーデータ (2)'!$A:$F,5,FALSE),"")</f>
        <v/>
      </c>
      <c r="W52" s="12" t="str">
        <f>IFERROR(VLOOKUP($B52&amp;W$2,'[2]デイリーデータ (2)'!$A:$F,5,FALSE),"")</f>
        <v/>
      </c>
      <c r="X52" s="12" t="str">
        <f>IFERROR(VLOOKUP($B52&amp;X$2,'[2]デイリーデータ (2)'!$A:$F,5,FALSE),"")</f>
        <v/>
      </c>
      <c r="Y52" s="12" t="str">
        <f>IFERROR(VLOOKUP($B52&amp;Y$2,'[2]デイリーデータ (2)'!$A:$F,5,FALSE),"")</f>
        <v/>
      </c>
      <c r="Z52" s="12" t="str">
        <f>IFERROR(VLOOKUP($B52&amp;Z$2,'[2]デイリーデータ (2)'!$A:$F,5,FALSE),"")</f>
        <v/>
      </c>
      <c r="AA52" s="12" t="str">
        <f>IFERROR(VLOOKUP($B52&amp;AA$2,'[2]デイリーデータ (2)'!$A:$F,5,FALSE),"")</f>
        <v/>
      </c>
      <c r="AB52" s="12" t="str">
        <f>IFERROR(VLOOKUP($B52&amp;AB$2,'[2]デイリーデータ (2)'!$A:$F,5,FALSE),"")</f>
        <v/>
      </c>
      <c r="AC52" s="12" t="str">
        <f>IFERROR(VLOOKUP($B52&amp;AC$2,'[2]デイリーデータ (2)'!$A:$F,5,FALSE),"")</f>
        <v/>
      </c>
      <c r="AD52" s="12" t="str">
        <f>IFERROR(VLOOKUP($B52&amp;AD$2,'[2]デイリーデータ (2)'!$A:$F,5,FALSE),"")</f>
        <v/>
      </c>
      <c r="AE52" s="12" t="str">
        <f>IFERROR(VLOOKUP($B52&amp;AE$2,'[2]デイリーデータ (2)'!$A:$F,5,FALSE),"")</f>
        <v/>
      </c>
      <c r="AF52" s="12" t="str">
        <f>IFERROR(VLOOKUP($B52&amp;AF$2,'[2]デイリーデータ (2)'!$A:$F,5,FALSE),"")</f>
        <v/>
      </c>
      <c r="AG52" s="12" t="str">
        <f>IFERROR(VLOOKUP($B52&amp;AG$2,'[2]デイリーデータ (2)'!$A:$F,5,FALSE),"")</f>
        <v/>
      </c>
      <c r="AH52" s="12" t="str">
        <f>IFERROR(VLOOKUP($B52&amp;AH$2,'[2]デイリーデータ (2)'!$A:$F,5,FALSE),"")</f>
        <v/>
      </c>
      <c r="BQ52" s="12" t="str">
        <f t="shared" si="2"/>
        <v/>
      </c>
    </row>
    <row r="53" spans="1:69" x14ac:dyDescent="0.2">
      <c r="BQ53" s="12" t="str">
        <f t="shared" si="2"/>
        <v/>
      </c>
    </row>
    <row r="54" spans="1:69" ht="13.15" customHeight="1" x14ac:dyDescent="0.2">
      <c r="C54" s="73" t="s">
        <v>41</v>
      </c>
      <c r="D54" s="12">
        <f>COUNTIF(D4:D46,$C54)</f>
        <v>2</v>
      </c>
      <c r="E54" s="12">
        <f t="shared" ref="E54:AH54" si="4">COUNTIF(E4:E46,$C54)</f>
        <v>2</v>
      </c>
      <c r="F54" s="12">
        <f t="shared" si="4"/>
        <v>2</v>
      </c>
      <c r="G54" s="12">
        <f t="shared" si="4"/>
        <v>2</v>
      </c>
      <c r="H54" s="12">
        <f t="shared" si="4"/>
        <v>2</v>
      </c>
      <c r="I54" s="12">
        <f t="shared" si="4"/>
        <v>2</v>
      </c>
      <c r="J54" s="12">
        <f t="shared" si="4"/>
        <v>2</v>
      </c>
      <c r="K54" s="12">
        <f t="shared" si="4"/>
        <v>2</v>
      </c>
      <c r="L54" s="12">
        <f t="shared" si="4"/>
        <v>2</v>
      </c>
      <c r="M54" s="12">
        <f t="shared" si="4"/>
        <v>2</v>
      </c>
      <c r="N54" s="12">
        <f t="shared" si="4"/>
        <v>2</v>
      </c>
      <c r="O54" s="12">
        <f t="shared" si="4"/>
        <v>2</v>
      </c>
      <c r="P54" s="12">
        <f t="shared" si="4"/>
        <v>2</v>
      </c>
      <c r="Q54" s="12">
        <f t="shared" si="4"/>
        <v>2</v>
      </c>
      <c r="R54" s="12">
        <f t="shared" si="4"/>
        <v>2</v>
      </c>
      <c r="S54" s="12">
        <f t="shared" si="4"/>
        <v>2</v>
      </c>
      <c r="T54" s="12">
        <f t="shared" si="4"/>
        <v>2</v>
      </c>
      <c r="U54" s="12">
        <f>COUNTIF(U4:U46,$C54)</f>
        <v>2</v>
      </c>
      <c r="V54" s="12">
        <f t="shared" si="4"/>
        <v>2</v>
      </c>
      <c r="W54" s="12">
        <f t="shared" si="4"/>
        <v>2</v>
      </c>
      <c r="X54" s="12">
        <f t="shared" si="4"/>
        <v>2</v>
      </c>
      <c r="Y54" s="12">
        <f t="shared" si="4"/>
        <v>2</v>
      </c>
      <c r="Z54" s="12">
        <f t="shared" si="4"/>
        <v>2</v>
      </c>
      <c r="AA54" s="12">
        <f t="shared" si="4"/>
        <v>2</v>
      </c>
      <c r="AB54" s="12">
        <f t="shared" si="4"/>
        <v>2</v>
      </c>
      <c r="AC54" s="12">
        <f t="shared" si="4"/>
        <v>2</v>
      </c>
      <c r="AD54" s="12">
        <f t="shared" si="4"/>
        <v>2</v>
      </c>
      <c r="AE54" s="12">
        <f t="shared" si="4"/>
        <v>2</v>
      </c>
      <c r="AF54" s="12">
        <f t="shared" si="4"/>
        <v>2</v>
      </c>
      <c r="AG54" s="12">
        <f t="shared" si="4"/>
        <v>2</v>
      </c>
      <c r="AH54" s="12">
        <f t="shared" si="4"/>
        <v>0</v>
      </c>
      <c r="BQ54" s="12" t="str">
        <f t="shared" si="2"/>
        <v/>
      </c>
    </row>
    <row r="55" spans="1:69" x14ac:dyDescent="0.2">
      <c r="C55" s="73" t="s">
        <v>42</v>
      </c>
      <c r="D55" s="12">
        <f>COUNTIF(D4:D47,$C55)</f>
        <v>0</v>
      </c>
      <c r="E55" s="12">
        <f t="shared" ref="E55:AH55" si="5">COUNTIF(E4:E47,$C55)</f>
        <v>0</v>
      </c>
      <c r="F55" s="12">
        <f t="shared" si="5"/>
        <v>0</v>
      </c>
      <c r="G55" s="12">
        <f t="shared" si="5"/>
        <v>0</v>
      </c>
      <c r="H55" s="12">
        <f t="shared" si="5"/>
        <v>0</v>
      </c>
      <c r="I55" s="12">
        <f t="shared" si="5"/>
        <v>35</v>
      </c>
      <c r="J55" s="12">
        <f t="shared" si="5"/>
        <v>2</v>
      </c>
      <c r="K55" s="12">
        <f t="shared" si="5"/>
        <v>2</v>
      </c>
      <c r="L55" s="12">
        <f t="shared" si="5"/>
        <v>0</v>
      </c>
      <c r="M55" s="12">
        <f t="shared" si="5"/>
        <v>0</v>
      </c>
      <c r="N55" s="12">
        <f t="shared" si="5"/>
        <v>0</v>
      </c>
      <c r="O55" s="12">
        <f t="shared" si="5"/>
        <v>0</v>
      </c>
      <c r="P55" s="12">
        <f t="shared" si="5"/>
        <v>35</v>
      </c>
      <c r="Q55" s="12">
        <f t="shared" si="5"/>
        <v>2</v>
      </c>
      <c r="R55" s="12">
        <f t="shared" si="5"/>
        <v>2</v>
      </c>
      <c r="S55" s="12">
        <f t="shared" si="5"/>
        <v>0</v>
      </c>
      <c r="T55" s="12">
        <f t="shared" si="5"/>
        <v>0</v>
      </c>
      <c r="U55" s="12">
        <f t="shared" si="5"/>
        <v>0</v>
      </c>
      <c r="V55" s="12">
        <f t="shared" si="5"/>
        <v>0</v>
      </c>
      <c r="W55" s="12">
        <f t="shared" si="5"/>
        <v>35</v>
      </c>
      <c r="X55" s="12">
        <f t="shared" si="5"/>
        <v>2</v>
      </c>
      <c r="Y55" s="12">
        <f t="shared" si="5"/>
        <v>2</v>
      </c>
      <c r="Z55" s="12">
        <f t="shared" si="5"/>
        <v>0</v>
      </c>
      <c r="AA55" s="12">
        <f t="shared" si="5"/>
        <v>0</v>
      </c>
      <c r="AB55" s="12">
        <f t="shared" si="5"/>
        <v>0</v>
      </c>
      <c r="AC55" s="12">
        <f t="shared" si="5"/>
        <v>0</v>
      </c>
      <c r="AD55" s="12">
        <f t="shared" si="5"/>
        <v>35</v>
      </c>
      <c r="AE55" s="12">
        <f t="shared" si="5"/>
        <v>2</v>
      </c>
      <c r="AF55" s="12">
        <f t="shared" si="5"/>
        <v>2</v>
      </c>
      <c r="AG55" s="12">
        <f t="shared" si="5"/>
        <v>0</v>
      </c>
      <c r="AH55" s="12">
        <f t="shared" si="5"/>
        <v>0</v>
      </c>
      <c r="AI55" s="12">
        <f>SUM(D55:AH55)</f>
        <v>156</v>
      </c>
    </row>
  </sheetData>
  <sheetProtection selectLockedCells="1" selectUnlockedCells="1"/>
  <mergeCells count="2">
    <mergeCell ref="A2:B3"/>
    <mergeCell ref="C2:C3"/>
  </mergeCells>
  <phoneticPr fontId="1"/>
  <conditionalFormatting sqref="A1:XFD1048576">
    <cfRule type="expression" dxfId="5" priority="1">
      <formula>A1="日拘"</formula>
    </cfRule>
    <cfRule type="expression" dxfId="4" priority="2">
      <formula>A1="PM拘"</formula>
    </cfRule>
    <cfRule type="expression" dxfId="3" priority="3">
      <formula>A1="拘"</formula>
    </cfRule>
  </conditionalFormatting>
  <pageMargins left="0.62992125984251968" right="0.23622047244094491" top="0.35433070866141736" bottom="0.35433070866141736" header="0" footer="0"/>
  <pageSetup paperSize="9" scale="98" orientation="landscape"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S34"/>
  <sheetViews>
    <sheetView showGridLines="0" tabSelected="1" zoomScale="85" zoomScaleNormal="85" workbookViewId="0">
      <pane ySplit="33" topLeftCell="A34" activePane="bottomLeft" state="frozen"/>
      <selection pane="bottomLeft" activeCell="D7" sqref="D7"/>
    </sheetView>
  </sheetViews>
  <sheetFormatPr defaultRowHeight="13" x14ac:dyDescent="0.2"/>
  <cols>
    <col min="1" max="1" width="7.453125" style="32" customWidth="1"/>
    <col min="2" max="2" width="14.6328125" style="32" customWidth="1"/>
    <col min="3" max="3" width="4.90625" style="48" customWidth="1"/>
    <col min="4" max="4" width="14" style="31" customWidth="1"/>
    <col min="5" max="5" width="4.453125" style="32" customWidth="1"/>
    <col min="6" max="7" width="4.36328125" style="32" customWidth="1"/>
    <col min="8" max="8" width="4.90625" style="33" customWidth="1"/>
    <col min="9" max="10" width="8.90625" style="32"/>
    <col min="11" max="11" width="12.08984375" style="32" customWidth="1"/>
    <col min="12" max="12" width="8.90625" style="32"/>
    <col min="13" max="13" width="10" style="32" customWidth="1"/>
    <col min="14" max="256" width="8.90625" style="32"/>
    <col min="257" max="257" width="7.453125" style="32" customWidth="1"/>
    <col min="258" max="258" width="14.6328125" style="32" customWidth="1"/>
    <col min="259" max="259" width="4.90625" style="32" customWidth="1"/>
    <col min="260" max="260" width="9.90625" style="32" customWidth="1"/>
    <col min="261" max="261" width="4.453125" style="32" customWidth="1"/>
    <col min="262" max="263" width="4.36328125" style="32" customWidth="1"/>
    <col min="264" max="264" width="4.90625" style="32" customWidth="1"/>
    <col min="265" max="266" width="8.90625" style="32"/>
    <col min="267" max="267" width="12.08984375" style="32" customWidth="1"/>
    <col min="268" max="268" width="8.90625" style="32"/>
    <col min="269" max="269" width="10" style="32" customWidth="1"/>
    <col min="270" max="512" width="8.90625" style="32"/>
    <col min="513" max="513" width="7.453125" style="32" customWidth="1"/>
    <col min="514" max="514" width="14.6328125" style="32" customWidth="1"/>
    <col min="515" max="515" width="4.90625" style="32" customWidth="1"/>
    <col min="516" max="516" width="9.90625" style="32" customWidth="1"/>
    <col min="517" max="517" width="4.453125" style="32" customWidth="1"/>
    <col min="518" max="519" width="4.36328125" style="32" customWidth="1"/>
    <col min="520" max="520" width="4.90625" style="32" customWidth="1"/>
    <col min="521" max="522" width="8.90625" style="32"/>
    <col min="523" max="523" width="12.08984375" style="32" customWidth="1"/>
    <col min="524" max="524" width="8.90625" style="32"/>
    <col min="525" max="525" width="10" style="32" customWidth="1"/>
    <col min="526" max="768" width="8.90625" style="32"/>
    <col min="769" max="769" width="7.453125" style="32" customWidth="1"/>
    <col min="770" max="770" width="14.6328125" style="32" customWidth="1"/>
    <col min="771" max="771" width="4.90625" style="32" customWidth="1"/>
    <col min="772" max="772" width="9.90625" style="32" customWidth="1"/>
    <col min="773" max="773" width="4.453125" style="32" customWidth="1"/>
    <col min="774" max="775" width="4.36328125" style="32" customWidth="1"/>
    <col min="776" max="776" width="4.90625" style="32" customWidth="1"/>
    <col min="777" max="778" width="8.90625" style="32"/>
    <col min="779" max="779" width="12.08984375" style="32" customWidth="1"/>
    <col min="780" max="780" width="8.90625" style="32"/>
    <col min="781" max="781" width="10" style="32" customWidth="1"/>
    <col min="782" max="1024" width="8.90625" style="32"/>
    <col min="1025" max="1025" width="7.453125" style="32" customWidth="1"/>
    <col min="1026" max="1026" width="14.6328125" style="32" customWidth="1"/>
    <col min="1027" max="1027" width="4.90625" style="32" customWidth="1"/>
    <col min="1028" max="1028" width="9.90625" style="32" customWidth="1"/>
    <col min="1029" max="1029" width="4.453125" style="32" customWidth="1"/>
    <col min="1030" max="1031" width="4.36328125" style="32" customWidth="1"/>
    <col min="1032" max="1032" width="4.90625" style="32" customWidth="1"/>
    <col min="1033" max="1034" width="8.90625" style="32"/>
    <col min="1035" max="1035" width="12.08984375" style="32" customWidth="1"/>
    <col min="1036" max="1036" width="8.90625" style="32"/>
    <col min="1037" max="1037" width="10" style="32" customWidth="1"/>
    <col min="1038" max="1280" width="8.90625" style="32"/>
    <col min="1281" max="1281" width="7.453125" style="32" customWidth="1"/>
    <col min="1282" max="1282" width="14.6328125" style="32" customWidth="1"/>
    <col min="1283" max="1283" width="4.90625" style="32" customWidth="1"/>
    <col min="1284" max="1284" width="9.90625" style="32" customWidth="1"/>
    <col min="1285" max="1285" width="4.453125" style="32" customWidth="1"/>
    <col min="1286" max="1287" width="4.36328125" style="32" customWidth="1"/>
    <col min="1288" max="1288" width="4.90625" style="32" customWidth="1"/>
    <col min="1289" max="1290" width="8.90625" style="32"/>
    <col min="1291" max="1291" width="12.08984375" style="32" customWidth="1"/>
    <col min="1292" max="1292" width="8.90625" style="32"/>
    <col min="1293" max="1293" width="10" style="32" customWidth="1"/>
    <col min="1294" max="1536" width="8.90625" style="32"/>
    <col min="1537" max="1537" width="7.453125" style="32" customWidth="1"/>
    <col min="1538" max="1538" width="14.6328125" style="32" customWidth="1"/>
    <col min="1539" max="1539" width="4.90625" style="32" customWidth="1"/>
    <col min="1540" max="1540" width="9.90625" style="32" customWidth="1"/>
    <col min="1541" max="1541" width="4.453125" style="32" customWidth="1"/>
    <col min="1542" max="1543" width="4.36328125" style="32" customWidth="1"/>
    <col min="1544" max="1544" width="4.90625" style="32" customWidth="1"/>
    <col min="1545" max="1546" width="8.90625" style="32"/>
    <col min="1547" max="1547" width="12.08984375" style="32" customWidth="1"/>
    <col min="1548" max="1548" width="8.90625" style="32"/>
    <col min="1549" max="1549" width="10" style="32" customWidth="1"/>
    <col min="1550" max="1792" width="8.90625" style="32"/>
    <col min="1793" max="1793" width="7.453125" style="32" customWidth="1"/>
    <col min="1794" max="1794" width="14.6328125" style="32" customWidth="1"/>
    <col min="1795" max="1795" width="4.90625" style="32" customWidth="1"/>
    <col min="1796" max="1796" width="9.90625" style="32" customWidth="1"/>
    <col min="1797" max="1797" width="4.453125" style="32" customWidth="1"/>
    <col min="1798" max="1799" width="4.36328125" style="32" customWidth="1"/>
    <col min="1800" max="1800" width="4.90625" style="32" customWidth="1"/>
    <col min="1801" max="1802" width="8.90625" style="32"/>
    <col min="1803" max="1803" width="12.08984375" style="32" customWidth="1"/>
    <col min="1804" max="1804" width="8.90625" style="32"/>
    <col min="1805" max="1805" width="10" style="32" customWidth="1"/>
    <col min="1806" max="2048" width="8.90625" style="32"/>
    <col min="2049" max="2049" width="7.453125" style="32" customWidth="1"/>
    <col min="2050" max="2050" width="14.6328125" style="32" customWidth="1"/>
    <col min="2051" max="2051" width="4.90625" style="32" customWidth="1"/>
    <col min="2052" max="2052" width="9.90625" style="32" customWidth="1"/>
    <col min="2053" max="2053" width="4.453125" style="32" customWidth="1"/>
    <col min="2054" max="2055" width="4.36328125" style="32" customWidth="1"/>
    <col min="2056" max="2056" width="4.90625" style="32" customWidth="1"/>
    <col min="2057" max="2058" width="8.90625" style="32"/>
    <col min="2059" max="2059" width="12.08984375" style="32" customWidth="1"/>
    <col min="2060" max="2060" width="8.90625" style="32"/>
    <col min="2061" max="2061" width="10" style="32" customWidth="1"/>
    <col min="2062" max="2304" width="8.90625" style="32"/>
    <col min="2305" max="2305" width="7.453125" style="32" customWidth="1"/>
    <col min="2306" max="2306" width="14.6328125" style="32" customWidth="1"/>
    <col min="2307" max="2307" width="4.90625" style="32" customWidth="1"/>
    <col min="2308" max="2308" width="9.90625" style="32" customWidth="1"/>
    <col min="2309" max="2309" width="4.453125" style="32" customWidth="1"/>
    <col min="2310" max="2311" width="4.36328125" style="32" customWidth="1"/>
    <col min="2312" max="2312" width="4.90625" style="32" customWidth="1"/>
    <col min="2313" max="2314" width="8.90625" style="32"/>
    <col min="2315" max="2315" width="12.08984375" style="32" customWidth="1"/>
    <col min="2316" max="2316" width="8.90625" style="32"/>
    <col min="2317" max="2317" width="10" style="32" customWidth="1"/>
    <col min="2318" max="2560" width="8.90625" style="32"/>
    <col min="2561" max="2561" width="7.453125" style="32" customWidth="1"/>
    <col min="2562" max="2562" width="14.6328125" style="32" customWidth="1"/>
    <col min="2563" max="2563" width="4.90625" style="32" customWidth="1"/>
    <col min="2564" max="2564" width="9.90625" style="32" customWidth="1"/>
    <col min="2565" max="2565" width="4.453125" style="32" customWidth="1"/>
    <col min="2566" max="2567" width="4.36328125" style="32" customWidth="1"/>
    <col min="2568" max="2568" width="4.90625" style="32" customWidth="1"/>
    <col min="2569" max="2570" width="8.90625" style="32"/>
    <col min="2571" max="2571" width="12.08984375" style="32" customWidth="1"/>
    <col min="2572" max="2572" width="8.90625" style="32"/>
    <col min="2573" max="2573" width="10" style="32" customWidth="1"/>
    <col min="2574" max="2816" width="8.90625" style="32"/>
    <col min="2817" max="2817" width="7.453125" style="32" customWidth="1"/>
    <col min="2818" max="2818" width="14.6328125" style="32" customWidth="1"/>
    <col min="2819" max="2819" width="4.90625" style="32" customWidth="1"/>
    <col min="2820" max="2820" width="9.90625" style="32" customWidth="1"/>
    <col min="2821" max="2821" width="4.453125" style="32" customWidth="1"/>
    <col min="2822" max="2823" width="4.36328125" style="32" customWidth="1"/>
    <col min="2824" max="2824" width="4.90625" style="32" customWidth="1"/>
    <col min="2825" max="2826" width="8.90625" style="32"/>
    <col min="2827" max="2827" width="12.08984375" style="32" customWidth="1"/>
    <col min="2828" max="2828" width="8.90625" style="32"/>
    <col min="2829" max="2829" width="10" style="32" customWidth="1"/>
    <col min="2830" max="3072" width="8.90625" style="32"/>
    <col min="3073" max="3073" width="7.453125" style="32" customWidth="1"/>
    <col min="3074" max="3074" width="14.6328125" style="32" customWidth="1"/>
    <col min="3075" max="3075" width="4.90625" style="32" customWidth="1"/>
    <col min="3076" max="3076" width="9.90625" style="32" customWidth="1"/>
    <col min="3077" max="3077" width="4.453125" style="32" customWidth="1"/>
    <col min="3078" max="3079" width="4.36328125" style="32" customWidth="1"/>
    <col min="3080" max="3080" width="4.90625" style="32" customWidth="1"/>
    <col min="3081" max="3082" width="8.90625" style="32"/>
    <col min="3083" max="3083" width="12.08984375" style="32" customWidth="1"/>
    <col min="3084" max="3084" width="8.90625" style="32"/>
    <col min="3085" max="3085" width="10" style="32" customWidth="1"/>
    <col min="3086" max="3328" width="8.90625" style="32"/>
    <col min="3329" max="3329" width="7.453125" style="32" customWidth="1"/>
    <col min="3330" max="3330" width="14.6328125" style="32" customWidth="1"/>
    <col min="3331" max="3331" width="4.90625" style="32" customWidth="1"/>
    <col min="3332" max="3332" width="9.90625" style="32" customWidth="1"/>
    <col min="3333" max="3333" width="4.453125" style="32" customWidth="1"/>
    <col min="3334" max="3335" width="4.36328125" style="32" customWidth="1"/>
    <col min="3336" max="3336" width="4.90625" style="32" customWidth="1"/>
    <col min="3337" max="3338" width="8.90625" style="32"/>
    <col min="3339" max="3339" width="12.08984375" style="32" customWidth="1"/>
    <col min="3340" max="3340" width="8.90625" style="32"/>
    <col min="3341" max="3341" width="10" style="32" customWidth="1"/>
    <col min="3342" max="3584" width="8.90625" style="32"/>
    <col min="3585" max="3585" width="7.453125" style="32" customWidth="1"/>
    <col min="3586" max="3586" width="14.6328125" style="32" customWidth="1"/>
    <col min="3587" max="3587" width="4.90625" style="32" customWidth="1"/>
    <col min="3588" max="3588" width="9.90625" style="32" customWidth="1"/>
    <col min="3589" max="3589" width="4.453125" style="32" customWidth="1"/>
    <col min="3590" max="3591" width="4.36328125" style="32" customWidth="1"/>
    <col min="3592" max="3592" width="4.90625" style="32" customWidth="1"/>
    <col min="3593" max="3594" width="8.90625" style="32"/>
    <col min="3595" max="3595" width="12.08984375" style="32" customWidth="1"/>
    <col min="3596" max="3596" width="8.90625" style="32"/>
    <col min="3597" max="3597" width="10" style="32" customWidth="1"/>
    <col min="3598" max="3840" width="8.90625" style="32"/>
    <col min="3841" max="3841" width="7.453125" style="32" customWidth="1"/>
    <col min="3842" max="3842" width="14.6328125" style="32" customWidth="1"/>
    <col min="3843" max="3843" width="4.90625" style="32" customWidth="1"/>
    <col min="3844" max="3844" width="9.90625" style="32" customWidth="1"/>
    <col min="3845" max="3845" width="4.453125" style="32" customWidth="1"/>
    <col min="3846" max="3847" width="4.36328125" style="32" customWidth="1"/>
    <col min="3848" max="3848" width="4.90625" style="32" customWidth="1"/>
    <col min="3849" max="3850" width="8.90625" style="32"/>
    <col min="3851" max="3851" width="12.08984375" style="32" customWidth="1"/>
    <col min="3852" max="3852" width="8.90625" style="32"/>
    <col min="3853" max="3853" width="10" style="32" customWidth="1"/>
    <col min="3854" max="4096" width="8.90625" style="32"/>
    <col min="4097" max="4097" width="7.453125" style="32" customWidth="1"/>
    <col min="4098" max="4098" width="14.6328125" style="32" customWidth="1"/>
    <col min="4099" max="4099" width="4.90625" style="32" customWidth="1"/>
    <col min="4100" max="4100" width="9.90625" style="32" customWidth="1"/>
    <col min="4101" max="4101" width="4.453125" style="32" customWidth="1"/>
    <col min="4102" max="4103" width="4.36328125" style="32" customWidth="1"/>
    <col min="4104" max="4104" width="4.90625" style="32" customWidth="1"/>
    <col min="4105" max="4106" width="8.90625" style="32"/>
    <col min="4107" max="4107" width="12.08984375" style="32" customWidth="1"/>
    <col min="4108" max="4108" width="8.90625" style="32"/>
    <col min="4109" max="4109" width="10" style="32" customWidth="1"/>
    <col min="4110" max="4352" width="8.90625" style="32"/>
    <col min="4353" max="4353" width="7.453125" style="32" customWidth="1"/>
    <col min="4354" max="4354" width="14.6328125" style="32" customWidth="1"/>
    <col min="4355" max="4355" width="4.90625" style="32" customWidth="1"/>
    <col min="4356" max="4356" width="9.90625" style="32" customWidth="1"/>
    <col min="4357" max="4357" width="4.453125" style="32" customWidth="1"/>
    <col min="4358" max="4359" width="4.36328125" style="32" customWidth="1"/>
    <col min="4360" max="4360" width="4.90625" style="32" customWidth="1"/>
    <col min="4361" max="4362" width="8.90625" style="32"/>
    <col min="4363" max="4363" width="12.08984375" style="32" customWidth="1"/>
    <col min="4364" max="4364" width="8.90625" style="32"/>
    <col min="4365" max="4365" width="10" style="32" customWidth="1"/>
    <col min="4366" max="4608" width="8.90625" style="32"/>
    <col min="4609" max="4609" width="7.453125" style="32" customWidth="1"/>
    <col min="4610" max="4610" width="14.6328125" style="32" customWidth="1"/>
    <col min="4611" max="4611" width="4.90625" style="32" customWidth="1"/>
    <col min="4612" max="4612" width="9.90625" style="32" customWidth="1"/>
    <col min="4613" max="4613" width="4.453125" style="32" customWidth="1"/>
    <col min="4614" max="4615" width="4.36328125" style="32" customWidth="1"/>
    <col min="4616" max="4616" width="4.90625" style="32" customWidth="1"/>
    <col min="4617" max="4618" width="8.90625" style="32"/>
    <col min="4619" max="4619" width="12.08984375" style="32" customWidth="1"/>
    <col min="4620" max="4620" width="8.90625" style="32"/>
    <col min="4621" max="4621" width="10" style="32" customWidth="1"/>
    <col min="4622" max="4864" width="8.90625" style="32"/>
    <col min="4865" max="4865" width="7.453125" style="32" customWidth="1"/>
    <col min="4866" max="4866" width="14.6328125" style="32" customWidth="1"/>
    <col min="4867" max="4867" width="4.90625" style="32" customWidth="1"/>
    <col min="4868" max="4868" width="9.90625" style="32" customWidth="1"/>
    <col min="4869" max="4869" width="4.453125" style="32" customWidth="1"/>
    <col min="4870" max="4871" width="4.36328125" style="32" customWidth="1"/>
    <col min="4872" max="4872" width="4.90625" style="32" customWidth="1"/>
    <col min="4873" max="4874" width="8.90625" style="32"/>
    <col min="4875" max="4875" width="12.08984375" style="32" customWidth="1"/>
    <col min="4876" max="4876" width="8.90625" style="32"/>
    <col min="4877" max="4877" width="10" style="32" customWidth="1"/>
    <col min="4878" max="5120" width="8.90625" style="32"/>
    <col min="5121" max="5121" width="7.453125" style="32" customWidth="1"/>
    <col min="5122" max="5122" width="14.6328125" style="32" customWidth="1"/>
    <col min="5123" max="5123" width="4.90625" style="32" customWidth="1"/>
    <col min="5124" max="5124" width="9.90625" style="32" customWidth="1"/>
    <col min="5125" max="5125" width="4.453125" style="32" customWidth="1"/>
    <col min="5126" max="5127" width="4.36328125" style="32" customWidth="1"/>
    <col min="5128" max="5128" width="4.90625" style="32" customWidth="1"/>
    <col min="5129" max="5130" width="8.90625" style="32"/>
    <col min="5131" max="5131" width="12.08984375" style="32" customWidth="1"/>
    <col min="5132" max="5132" width="8.90625" style="32"/>
    <col min="5133" max="5133" width="10" style="32" customWidth="1"/>
    <col min="5134" max="5376" width="8.90625" style="32"/>
    <col min="5377" max="5377" width="7.453125" style="32" customWidth="1"/>
    <col min="5378" max="5378" width="14.6328125" style="32" customWidth="1"/>
    <col min="5379" max="5379" width="4.90625" style="32" customWidth="1"/>
    <col min="5380" max="5380" width="9.90625" style="32" customWidth="1"/>
    <col min="5381" max="5381" width="4.453125" style="32" customWidth="1"/>
    <col min="5382" max="5383" width="4.36328125" style="32" customWidth="1"/>
    <col min="5384" max="5384" width="4.90625" style="32" customWidth="1"/>
    <col min="5385" max="5386" width="8.90625" style="32"/>
    <col min="5387" max="5387" width="12.08984375" style="32" customWidth="1"/>
    <col min="5388" max="5388" width="8.90625" style="32"/>
    <col min="5389" max="5389" width="10" style="32" customWidth="1"/>
    <col min="5390" max="5632" width="8.90625" style="32"/>
    <col min="5633" max="5633" width="7.453125" style="32" customWidth="1"/>
    <col min="5634" max="5634" width="14.6328125" style="32" customWidth="1"/>
    <col min="5635" max="5635" width="4.90625" style="32" customWidth="1"/>
    <col min="5636" max="5636" width="9.90625" style="32" customWidth="1"/>
    <col min="5637" max="5637" width="4.453125" style="32" customWidth="1"/>
    <col min="5638" max="5639" width="4.36328125" style="32" customWidth="1"/>
    <col min="5640" max="5640" width="4.90625" style="32" customWidth="1"/>
    <col min="5641" max="5642" width="8.90625" style="32"/>
    <col min="5643" max="5643" width="12.08984375" style="32" customWidth="1"/>
    <col min="5644" max="5644" width="8.90625" style="32"/>
    <col min="5645" max="5645" width="10" style="32" customWidth="1"/>
    <col min="5646" max="5888" width="8.90625" style="32"/>
    <col min="5889" max="5889" width="7.453125" style="32" customWidth="1"/>
    <col min="5890" max="5890" width="14.6328125" style="32" customWidth="1"/>
    <col min="5891" max="5891" width="4.90625" style="32" customWidth="1"/>
    <col min="5892" max="5892" width="9.90625" style="32" customWidth="1"/>
    <col min="5893" max="5893" width="4.453125" style="32" customWidth="1"/>
    <col min="5894" max="5895" width="4.36328125" style="32" customWidth="1"/>
    <col min="5896" max="5896" width="4.90625" style="32" customWidth="1"/>
    <col min="5897" max="5898" width="8.90625" style="32"/>
    <col min="5899" max="5899" width="12.08984375" style="32" customWidth="1"/>
    <col min="5900" max="5900" width="8.90625" style="32"/>
    <col min="5901" max="5901" width="10" style="32" customWidth="1"/>
    <col min="5902" max="6144" width="8.90625" style="32"/>
    <col min="6145" max="6145" width="7.453125" style="32" customWidth="1"/>
    <col min="6146" max="6146" width="14.6328125" style="32" customWidth="1"/>
    <col min="6147" max="6147" width="4.90625" style="32" customWidth="1"/>
    <col min="6148" max="6148" width="9.90625" style="32" customWidth="1"/>
    <col min="6149" max="6149" width="4.453125" style="32" customWidth="1"/>
    <col min="6150" max="6151" width="4.36328125" style="32" customWidth="1"/>
    <col min="6152" max="6152" width="4.90625" style="32" customWidth="1"/>
    <col min="6153" max="6154" width="8.90625" style="32"/>
    <col min="6155" max="6155" width="12.08984375" style="32" customWidth="1"/>
    <col min="6156" max="6156" width="8.90625" style="32"/>
    <col min="6157" max="6157" width="10" style="32" customWidth="1"/>
    <col min="6158" max="6400" width="8.90625" style="32"/>
    <col min="6401" max="6401" width="7.453125" style="32" customWidth="1"/>
    <col min="6402" max="6402" width="14.6328125" style="32" customWidth="1"/>
    <col min="6403" max="6403" width="4.90625" style="32" customWidth="1"/>
    <col min="6404" max="6404" width="9.90625" style="32" customWidth="1"/>
    <col min="6405" max="6405" width="4.453125" style="32" customWidth="1"/>
    <col min="6406" max="6407" width="4.36328125" style="32" customWidth="1"/>
    <col min="6408" max="6408" width="4.90625" style="32" customWidth="1"/>
    <col min="6409" max="6410" width="8.90625" style="32"/>
    <col min="6411" max="6411" width="12.08984375" style="32" customWidth="1"/>
    <col min="6412" max="6412" width="8.90625" style="32"/>
    <col min="6413" max="6413" width="10" style="32" customWidth="1"/>
    <col min="6414" max="6656" width="8.90625" style="32"/>
    <col min="6657" max="6657" width="7.453125" style="32" customWidth="1"/>
    <col min="6658" max="6658" width="14.6328125" style="32" customWidth="1"/>
    <col min="6659" max="6659" width="4.90625" style="32" customWidth="1"/>
    <col min="6660" max="6660" width="9.90625" style="32" customWidth="1"/>
    <col min="6661" max="6661" width="4.453125" style="32" customWidth="1"/>
    <col min="6662" max="6663" width="4.36328125" style="32" customWidth="1"/>
    <col min="6664" max="6664" width="4.90625" style="32" customWidth="1"/>
    <col min="6665" max="6666" width="8.90625" style="32"/>
    <col min="6667" max="6667" width="12.08984375" style="32" customWidth="1"/>
    <col min="6668" max="6668" width="8.90625" style="32"/>
    <col min="6669" max="6669" width="10" style="32" customWidth="1"/>
    <col min="6670" max="6912" width="8.90625" style="32"/>
    <col min="6913" max="6913" width="7.453125" style="32" customWidth="1"/>
    <col min="6914" max="6914" width="14.6328125" style="32" customWidth="1"/>
    <col min="6915" max="6915" width="4.90625" style="32" customWidth="1"/>
    <col min="6916" max="6916" width="9.90625" style="32" customWidth="1"/>
    <col min="6917" max="6917" width="4.453125" style="32" customWidth="1"/>
    <col min="6918" max="6919" width="4.36328125" style="32" customWidth="1"/>
    <col min="6920" max="6920" width="4.90625" style="32" customWidth="1"/>
    <col min="6921" max="6922" width="8.90625" style="32"/>
    <col min="6923" max="6923" width="12.08984375" style="32" customWidth="1"/>
    <col min="6924" max="6924" width="8.90625" style="32"/>
    <col min="6925" max="6925" width="10" style="32" customWidth="1"/>
    <col min="6926" max="7168" width="8.90625" style="32"/>
    <col min="7169" max="7169" width="7.453125" style="32" customWidth="1"/>
    <col min="7170" max="7170" width="14.6328125" style="32" customWidth="1"/>
    <col min="7171" max="7171" width="4.90625" style="32" customWidth="1"/>
    <col min="7172" max="7172" width="9.90625" style="32" customWidth="1"/>
    <col min="7173" max="7173" width="4.453125" style="32" customWidth="1"/>
    <col min="7174" max="7175" width="4.36328125" style="32" customWidth="1"/>
    <col min="7176" max="7176" width="4.90625" style="32" customWidth="1"/>
    <col min="7177" max="7178" width="8.90625" style="32"/>
    <col min="7179" max="7179" width="12.08984375" style="32" customWidth="1"/>
    <col min="7180" max="7180" width="8.90625" style="32"/>
    <col min="7181" max="7181" width="10" style="32" customWidth="1"/>
    <col min="7182" max="7424" width="8.90625" style="32"/>
    <col min="7425" max="7425" width="7.453125" style="32" customWidth="1"/>
    <col min="7426" max="7426" width="14.6328125" style="32" customWidth="1"/>
    <col min="7427" max="7427" width="4.90625" style="32" customWidth="1"/>
    <col min="7428" max="7428" width="9.90625" style="32" customWidth="1"/>
    <col min="7429" max="7429" width="4.453125" style="32" customWidth="1"/>
    <col min="7430" max="7431" width="4.36328125" style="32" customWidth="1"/>
    <col min="7432" max="7432" width="4.90625" style="32" customWidth="1"/>
    <col min="7433" max="7434" width="8.90625" style="32"/>
    <col min="7435" max="7435" width="12.08984375" style="32" customWidth="1"/>
    <col min="7436" max="7436" width="8.90625" style="32"/>
    <col min="7437" max="7437" width="10" style="32" customWidth="1"/>
    <col min="7438" max="7680" width="8.90625" style="32"/>
    <col min="7681" max="7681" width="7.453125" style="32" customWidth="1"/>
    <col min="7682" max="7682" width="14.6328125" style="32" customWidth="1"/>
    <col min="7683" max="7683" width="4.90625" style="32" customWidth="1"/>
    <col min="7684" max="7684" width="9.90625" style="32" customWidth="1"/>
    <col min="7685" max="7685" width="4.453125" style="32" customWidth="1"/>
    <col min="7686" max="7687" width="4.36328125" style="32" customWidth="1"/>
    <col min="7688" max="7688" width="4.90625" style="32" customWidth="1"/>
    <col min="7689" max="7690" width="8.90625" style="32"/>
    <col min="7691" max="7691" width="12.08984375" style="32" customWidth="1"/>
    <col min="7692" max="7692" width="8.90625" style="32"/>
    <col min="7693" max="7693" width="10" style="32" customWidth="1"/>
    <col min="7694" max="7936" width="8.90625" style="32"/>
    <col min="7937" max="7937" width="7.453125" style="32" customWidth="1"/>
    <col min="7938" max="7938" width="14.6328125" style="32" customWidth="1"/>
    <col min="7939" max="7939" width="4.90625" style="32" customWidth="1"/>
    <col min="7940" max="7940" width="9.90625" style="32" customWidth="1"/>
    <col min="7941" max="7941" width="4.453125" style="32" customWidth="1"/>
    <col min="7942" max="7943" width="4.36328125" style="32" customWidth="1"/>
    <col min="7944" max="7944" width="4.90625" style="32" customWidth="1"/>
    <col min="7945" max="7946" width="8.90625" style="32"/>
    <col min="7947" max="7947" width="12.08984375" style="32" customWidth="1"/>
    <col min="7948" max="7948" width="8.90625" style="32"/>
    <col min="7949" max="7949" width="10" style="32" customWidth="1"/>
    <col min="7950" max="8192" width="8.90625" style="32"/>
    <col min="8193" max="8193" width="7.453125" style="32" customWidth="1"/>
    <col min="8194" max="8194" width="14.6328125" style="32" customWidth="1"/>
    <col min="8195" max="8195" width="4.90625" style="32" customWidth="1"/>
    <col min="8196" max="8196" width="9.90625" style="32" customWidth="1"/>
    <col min="8197" max="8197" width="4.453125" style="32" customWidth="1"/>
    <col min="8198" max="8199" width="4.36328125" style="32" customWidth="1"/>
    <col min="8200" max="8200" width="4.90625" style="32" customWidth="1"/>
    <col min="8201" max="8202" width="8.90625" style="32"/>
    <col min="8203" max="8203" width="12.08984375" style="32" customWidth="1"/>
    <col min="8204" max="8204" width="8.90625" style="32"/>
    <col min="8205" max="8205" width="10" style="32" customWidth="1"/>
    <col min="8206" max="8448" width="8.90625" style="32"/>
    <col min="8449" max="8449" width="7.453125" style="32" customWidth="1"/>
    <col min="8450" max="8450" width="14.6328125" style="32" customWidth="1"/>
    <col min="8451" max="8451" width="4.90625" style="32" customWidth="1"/>
    <col min="8452" max="8452" width="9.90625" style="32" customWidth="1"/>
    <col min="8453" max="8453" width="4.453125" style="32" customWidth="1"/>
    <col min="8454" max="8455" width="4.36328125" style="32" customWidth="1"/>
    <col min="8456" max="8456" width="4.90625" style="32" customWidth="1"/>
    <col min="8457" max="8458" width="8.90625" style="32"/>
    <col min="8459" max="8459" width="12.08984375" style="32" customWidth="1"/>
    <col min="8460" max="8460" width="8.90625" style="32"/>
    <col min="8461" max="8461" width="10" style="32" customWidth="1"/>
    <col min="8462" max="8704" width="8.90625" style="32"/>
    <col min="8705" max="8705" width="7.453125" style="32" customWidth="1"/>
    <col min="8706" max="8706" width="14.6328125" style="32" customWidth="1"/>
    <col min="8707" max="8707" width="4.90625" style="32" customWidth="1"/>
    <col min="8708" max="8708" width="9.90625" style="32" customWidth="1"/>
    <col min="8709" max="8709" width="4.453125" style="32" customWidth="1"/>
    <col min="8710" max="8711" width="4.36328125" style="32" customWidth="1"/>
    <col min="8712" max="8712" width="4.90625" style="32" customWidth="1"/>
    <col min="8713" max="8714" width="8.90625" style="32"/>
    <col min="8715" max="8715" width="12.08984375" style="32" customWidth="1"/>
    <col min="8716" max="8716" width="8.90625" style="32"/>
    <col min="8717" max="8717" width="10" style="32" customWidth="1"/>
    <col min="8718" max="8960" width="8.90625" style="32"/>
    <col min="8961" max="8961" width="7.453125" style="32" customWidth="1"/>
    <col min="8962" max="8962" width="14.6328125" style="32" customWidth="1"/>
    <col min="8963" max="8963" width="4.90625" style="32" customWidth="1"/>
    <col min="8964" max="8964" width="9.90625" style="32" customWidth="1"/>
    <col min="8965" max="8965" width="4.453125" style="32" customWidth="1"/>
    <col min="8966" max="8967" width="4.36328125" style="32" customWidth="1"/>
    <col min="8968" max="8968" width="4.90625" style="32" customWidth="1"/>
    <col min="8969" max="8970" width="8.90625" style="32"/>
    <col min="8971" max="8971" width="12.08984375" style="32" customWidth="1"/>
    <col min="8972" max="8972" width="8.90625" style="32"/>
    <col min="8973" max="8973" width="10" style="32" customWidth="1"/>
    <col min="8974" max="9216" width="8.90625" style="32"/>
    <col min="9217" max="9217" width="7.453125" style="32" customWidth="1"/>
    <col min="9218" max="9218" width="14.6328125" style="32" customWidth="1"/>
    <col min="9219" max="9219" width="4.90625" style="32" customWidth="1"/>
    <col min="9220" max="9220" width="9.90625" style="32" customWidth="1"/>
    <col min="9221" max="9221" width="4.453125" style="32" customWidth="1"/>
    <col min="9222" max="9223" width="4.36328125" style="32" customWidth="1"/>
    <col min="9224" max="9224" width="4.90625" style="32" customWidth="1"/>
    <col min="9225" max="9226" width="8.90625" style="32"/>
    <col min="9227" max="9227" width="12.08984375" style="32" customWidth="1"/>
    <col min="9228" max="9228" width="8.90625" style="32"/>
    <col min="9229" max="9229" width="10" style="32" customWidth="1"/>
    <col min="9230" max="9472" width="8.90625" style="32"/>
    <col min="9473" max="9473" width="7.453125" style="32" customWidth="1"/>
    <col min="9474" max="9474" width="14.6328125" style="32" customWidth="1"/>
    <col min="9475" max="9475" width="4.90625" style="32" customWidth="1"/>
    <col min="9476" max="9476" width="9.90625" style="32" customWidth="1"/>
    <col min="9477" max="9477" width="4.453125" style="32" customWidth="1"/>
    <col min="9478" max="9479" width="4.36328125" style="32" customWidth="1"/>
    <col min="9480" max="9480" width="4.90625" style="32" customWidth="1"/>
    <col min="9481" max="9482" width="8.90625" style="32"/>
    <col min="9483" max="9483" width="12.08984375" style="32" customWidth="1"/>
    <col min="9484" max="9484" width="8.90625" style="32"/>
    <col min="9485" max="9485" width="10" style="32" customWidth="1"/>
    <col min="9486" max="9728" width="8.90625" style="32"/>
    <col min="9729" max="9729" width="7.453125" style="32" customWidth="1"/>
    <col min="9730" max="9730" width="14.6328125" style="32" customWidth="1"/>
    <col min="9731" max="9731" width="4.90625" style="32" customWidth="1"/>
    <col min="9732" max="9732" width="9.90625" style="32" customWidth="1"/>
    <col min="9733" max="9733" width="4.453125" style="32" customWidth="1"/>
    <col min="9734" max="9735" width="4.36328125" style="32" customWidth="1"/>
    <col min="9736" max="9736" width="4.90625" style="32" customWidth="1"/>
    <col min="9737" max="9738" width="8.90625" style="32"/>
    <col min="9739" max="9739" width="12.08984375" style="32" customWidth="1"/>
    <col min="9740" max="9740" width="8.90625" style="32"/>
    <col min="9741" max="9741" width="10" style="32" customWidth="1"/>
    <col min="9742" max="9984" width="8.90625" style="32"/>
    <col min="9985" max="9985" width="7.453125" style="32" customWidth="1"/>
    <col min="9986" max="9986" width="14.6328125" style="32" customWidth="1"/>
    <col min="9987" max="9987" width="4.90625" style="32" customWidth="1"/>
    <col min="9988" max="9988" width="9.90625" style="32" customWidth="1"/>
    <col min="9989" max="9989" width="4.453125" style="32" customWidth="1"/>
    <col min="9990" max="9991" width="4.36328125" style="32" customWidth="1"/>
    <col min="9992" max="9992" width="4.90625" style="32" customWidth="1"/>
    <col min="9993" max="9994" width="8.90625" style="32"/>
    <col min="9995" max="9995" width="12.08984375" style="32" customWidth="1"/>
    <col min="9996" max="9996" width="8.90625" style="32"/>
    <col min="9997" max="9997" width="10" style="32" customWidth="1"/>
    <col min="9998" max="10240" width="8.90625" style="32"/>
    <col min="10241" max="10241" width="7.453125" style="32" customWidth="1"/>
    <col min="10242" max="10242" width="14.6328125" style="32" customWidth="1"/>
    <col min="10243" max="10243" width="4.90625" style="32" customWidth="1"/>
    <col min="10244" max="10244" width="9.90625" style="32" customWidth="1"/>
    <col min="10245" max="10245" width="4.453125" style="32" customWidth="1"/>
    <col min="10246" max="10247" width="4.36328125" style="32" customWidth="1"/>
    <col min="10248" max="10248" width="4.90625" style="32" customWidth="1"/>
    <col min="10249" max="10250" width="8.90625" style="32"/>
    <col min="10251" max="10251" width="12.08984375" style="32" customWidth="1"/>
    <col min="10252" max="10252" width="8.90625" style="32"/>
    <col min="10253" max="10253" width="10" style="32" customWidth="1"/>
    <col min="10254" max="10496" width="8.90625" style="32"/>
    <col min="10497" max="10497" width="7.453125" style="32" customWidth="1"/>
    <col min="10498" max="10498" width="14.6328125" style="32" customWidth="1"/>
    <col min="10499" max="10499" width="4.90625" style="32" customWidth="1"/>
    <col min="10500" max="10500" width="9.90625" style="32" customWidth="1"/>
    <col min="10501" max="10501" width="4.453125" style="32" customWidth="1"/>
    <col min="10502" max="10503" width="4.36328125" style="32" customWidth="1"/>
    <col min="10504" max="10504" width="4.90625" style="32" customWidth="1"/>
    <col min="10505" max="10506" width="8.90625" style="32"/>
    <col min="10507" max="10507" width="12.08984375" style="32" customWidth="1"/>
    <col min="10508" max="10508" width="8.90625" style="32"/>
    <col min="10509" max="10509" width="10" style="32" customWidth="1"/>
    <col min="10510" max="10752" width="8.90625" style="32"/>
    <col min="10753" max="10753" width="7.453125" style="32" customWidth="1"/>
    <col min="10754" max="10754" width="14.6328125" style="32" customWidth="1"/>
    <col min="10755" max="10755" width="4.90625" style="32" customWidth="1"/>
    <col min="10756" max="10756" width="9.90625" style="32" customWidth="1"/>
    <col min="10757" max="10757" width="4.453125" style="32" customWidth="1"/>
    <col min="10758" max="10759" width="4.36328125" style="32" customWidth="1"/>
    <col min="10760" max="10760" width="4.90625" style="32" customWidth="1"/>
    <col min="10761" max="10762" width="8.90625" style="32"/>
    <col min="10763" max="10763" width="12.08984375" style="32" customWidth="1"/>
    <col min="10764" max="10764" width="8.90625" style="32"/>
    <col min="10765" max="10765" width="10" style="32" customWidth="1"/>
    <col min="10766" max="11008" width="8.90625" style="32"/>
    <col min="11009" max="11009" width="7.453125" style="32" customWidth="1"/>
    <col min="11010" max="11010" width="14.6328125" style="32" customWidth="1"/>
    <col min="11011" max="11011" width="4.90625" style="32" customWidth="1"/>
    <col min="11012" max="11012" width="9.90625" style="32" customWidth="1"/>
    <col min="11013" max="11013" width="4.453125" style="32" customWidth="1"/>
    <col min="11014" max="11015" width="4.36328125" style="32" customWidth="1"/>
    <col min="11016" max="11016" width="4.90625" style="32" customWidth="1"/>
    <col min="11017" max="11018" width="8.90625" style="32"/>
    <col min="11019" max="11019" width="12.08984375" style="32" customWidth="1"/>
    <col min="11020" max="11020" width="8.90625" style="32"/>
    <col min="11021" max="11021" width="10" style="32" customWidth="1"/>
    <col min="11022" max="11264" width="8.90625" style="32"/>
    <col min="11265" max="11265" width="7.453125" style="32" customWidth="1"/>
    <col min="11266" max="11266" width="14.6328125" style="32" customWidth="1"/>
    <col min="11267" max="11267" width="4.90625" style="32" customWidth="1"/>
    <col min="11268" max="11268" width="9.90625" style="32" customWidth="1"/>
    <col min="11269" max="11269" width="4.453125" style="32" customWidth="1"/>
    <col min="11270" max="11271" width="4.36328125" style="32" customWidth="1"/>
    <col min="11272" max="11272" width="4.90625" style="32" customWidth="1"/>
    <col min="11273" max="11274" width="8.90625" style="32"/>
    <col min="11275" max="11275" width="12.08984375" style="32" customWidth="1"/>
    <col min="11276" max="11276" width="8.90625" style="32"/>
    <col min="11277" max="11277" width="10" style="32" customWidth="1"/>
    <col min="11278" max="11520" width="8.90625" style="32"/>
    <col min="11521" max="11521" width="7.453125" style="32" customWidth="1"/>
    <col min="11522" max="11522" width="14.6328125" style="32" customWidth="1"/>
    <col min="11523" max="11523" width="4.90625" style="32" customWidth="1"/>
    <col min="11524" max="11524" width="9.90625" style="32" customWidth="1"/>
    <col min="11525" max="11525" width="4.453125" style="32" customWidth="1"/>
    <col min="11526" max="11527" width="4.36328125" style="32" customWidth="1"/>
    <col min="11528" max="11528" width="4.90625" style="32" customWidth="1"/>
    <col min="11529" max="11530" width="8.90625" style="32"/>
    <col min="11531" max="11531" width="12.08984375" style="32" customWidth="1"/>
    <col min="11532" max="11532" width="8.90625" style="32"/>
    <col min="11533" max="11533" width="10" style="32" customWidth="1"/>
    <col min="11534" max="11776" width="8.90625" style="32"/>
    <col min="11777" max="11777" width="7.453125" style="32" customWidth="1"/>
    <col min="11778" max="11778" width="14.6328125" style="32" customWidth="1"/>
    <col min="11779" max="11779" width="4.90625" style="32" customWidth="1"/>
    <col min="11780" max="11780" width="9.90625" style="32" customWidth="1"/>
    <col min="11781" max="11781" width="4.453125" style="32" customWidth="1"/>
    <col min="11782" max="11783" width="4.36328125" style="32" customWidth="1"/>
    <col min="11784" max="11784" width="4.90625" style="32" customWidth="1"/>
    <col min="11785" max="11786" width="8.90625" style="32"/>
    <col min="11787" max="11787" width="12.08984375" style="32" customWidth="1"/>
    <col min="11788" max="11788" width="8.90625" style="32"/>
    <col min="11789" max="11789" width="10" style="32" customWidth="1"/>
    <col min="11790" max="12032" width="8.90625" style="32"/>
    <col min="12033" max="12033" width="7.453125" style="32" customWidth="1"/>
    <col min="12034" max="12034" width="14.6328125" style="32" customWidth="1"/>
    <col min="12035" max="12035" width="4.90625" style="32" customWidth="1"/>
    <col min="12036" max="12036" width="9.90625" style="32" customWidth="1"/>
    <col min="12037" max="12037" width="4.453125" style="32" customWidth="1"/>
    <col min="12038" max="12039" width="4.36328125" style="32" customWidth="1"/>
    <col min="12040" max="12040" width="4.90625" style="32" customWidth="1"/>
    <col min="12041" max="12042" width="8.90625" style="32"/>
    <col min="12043" max="12043" width="12.08984375" style="32" customWidth="1"/>
    <col min="12044" max="12044" width="8.90625" style="32"/>
    <col min="12045" max="12045" width="10" style="32" customWidth="1"/>
    <col min="12046" max="12288" width="8.90625" style="32"/>
    <col min="12289" max="12289" width="7.453125" style="32" customWidth="1"/>
    <col min="12290" max="12290" width="14.6328125" style="32" customWidth="1"/>
    <col min="12291" max="12291" width="4.90625" style="32" customWidth="1"/>
    <col min="12292" max="12292" width="9.90625" style="32" customWidth="1"/>
    <col min="12293" max="12293" width="4.453125" style="32" customWidth="1"/>
    <col min="12294" max="12295" width="4.36328125" style="32" customWidth="1"/>
    <col min="12296" max="12296" width="4.90625" style="32" customWidth="1"/>
    <col min="12297" max="12298" width="8.90625" style="32"/>
    <col min="12299" max="12299" width="12.08984375" style="32" customWidth="1"/>
    <col min="12300" max="12300" width="8.90625" style="32"/>
    <col min="12301" max="12301" width="10" style="32" customWidth="1"/>
    <col min="12302" max="12544" width="8.90625" style="32"/>
    <col min="12545" max="12545" width="7.453125" style="32" customWidth="1"/>
    <col min="12546" max="12546" width="14.6328125" style="32" customWidth="1"/>
    <col min="12547" max="12547" width="4.90625" style="32" customWidth="1"/>
    <col min="12548" max="12548" width="9.90625" style="32" customWidth="1"/>
    <col min="12549" max="12549" width="4.453125" style="32" customWidth="1"/>
    <col min="12550" max="12551" width="4.36328125" style="32" customWidth="1"/>
    <col min="12552" max="12552" width="4.90625" style="32" customWidth="1"/>
    <col min="12553" max="12554" width="8.90625" style="32"/>
    <col min="12555" max="12555" width="12.08984375" style="32" customWidth="1"/>
    <col min="12556" max="12556" width="8.90625" style="32"/>
    <col min="12557" max="12557" width="10" style="32" customWidth="1"/>
    <col min="12558" max="12800" width="8.90625" style="32"/>
    <col min="12801" max="12801" width="7.453125" style="32" customWidth="1"/>
    <col min="12802" max="12802" width="14.6328125" style="32" customWidth="1"/>
    <col min="12803" max="12803" width="4.90625" style="32" customWidth="1"/>
    <col min="12804" max="12804" width="9.90625" style="32" customWidth="1"/>
    <col min="12805" max="12805" width="4.453125" style="32" customWidth="1"/>
    <col min="12806" max="12807" width="4.36328125" style="32" customWidth="1"/>
    <col min="12808" max="12808" width="4.90625" style="32" customWidth="1"/>
    <col min="12809" max="12810" width="8.90625" style="32"/>
    <col min="12811" max="12811" width="12.08984375" style="32" customWidth="1"/>
    <col min="12812" max="12812" width="8.90625" style="32"/>
    <col min="12813" max="12813" width="10" style="32" customWidth="1"/>
    <col min="12814" max="13056" width="8.90625" style="32"/>
    <col min="13057" max="13057" width="7.453125" style="32" customWidth="1"/>
    <col min="13058" max="13058" width="14.6328125" style="32" customWidth="1"/>
    <col min="13059" max="13059" width="4.90625" style="32" customWidth="1"/>
    <col min="13060" max="13060" width="9.90625" style="32" customWidth="1"/>
    <col min="13061" max="13061" width="4.453125" style="32" customWidth="1"/>
    <col min="13062" max="13063" width="4.36328125" style="32" customWidth="1"/>
    <col min="13064" max="13064" width="4.90625" style="32" customWidth="1"/>
    <col min="13065" max="13066" width="8.90625" style="32"/>
    <col min="13067" max="13067" width="12.08984375" style="32" customWidth="1"/>
    <col min="13068" max="13068" width="8.90625" style="32"/>
    <col min="13069" max="13069" width="10" style="32" customWidth="1"/>
    <col min="13070" max="13312" width="8.90625" style="32"/>
    <col min="13313" max="13313" width="7.453125" style="32" customWidth="1"/>
    <col min="13314" max="13314" width="14.6328125" style="32" customWidth="1"/>
    <col min="13315" max="13315" width="4.90625" style="32" customWidth="1"/>
    <col min="13316" max="13316" width="9.90625" style="32" customWidth="1"/>
    <col min="13317" max="13317" width="4.453125" style="32" customWidth="1"/>
    <col min="13318" max="13319" width="4.36328125" style="32" customWidth="1"/>
    <col min="13320" max="13320" width="4.90625" style="32" customWidth="1"/>
    <col min="13321" max="13322" width="8.90625" style="32"/>
    <col min="13323" max="13323" width="12.08984375" style="32" customWidth="1"/>
    <col min="13324" max="13324" width="8.90625" style="32"/>
    <col min="13325" max="13325" width="10" style="32" customWidth="1"/>
    <col min="13326" max="13568" width="8.90625" style="32"/>
    <col min="13569" max="13569" width="7.453125" style="32" customWidth="1"/>
    <col min="13570" max="13570" width="14.6328125" style="32" customWidth="1"/>
    <col min="13571" max="13571" width="4.90625" style="32" customWidth="1"/>
    <col min="13572" max="13572" width="9.90625" style="32" customWidth="1"/>
    <col min="13573" max="13573" width="4.453125" style="32" customWidth="1"/>
    <col min="13574" max="13575" width="4.36328125" style="32" customWidth="1"/>
    <col min="13576" max="13576" width="4.90625" style="32" customWidth="1"/>
    <col min="13577" max="13578" width="8.90625" style="32"/>
    <col min="13579" max="13579" width="12.08984375" style="32" customWidth="1"/>
    <col min="13580" max="13580" width="8.90625" style="32"/>
    <col min="13581" max="13581" width="10" style="32" customWidth="1"/>
    <col min="13582" max="13824" width="8.90625" style="32"/>
    <col min="13825" max="13825" width="7.453125" style="32" customWidth="1"/>
    <col min="13826" max="13826" width="14.6328125" style="32" customWidth="1"/>
    <col min="13827" max="13827" width="4.90625" style="32" customWidth="1"/>
    <col min="13828" max="13828" width="9.90625" style="32" customWidth="1"/>
    <col min="13829" max="13829" width="4.453125" style="32" customWidth="1"/>
    <col min="13830" max="13831" width="4.36328125" style="32" customWidth="1"/>
    <col min="13832" max="13832" width="4.90625" style="32" customWidth="1"/>
    <col min="13833" max="13834" width="8.90625" style="32"/>
    <col min="13835" max="13835" width="12.08984375" style="32" customWidth="1"/>
    <col min="13836" max="13836" width="8.90625" style="32"/>
    <col min="13837" max="13837" width="10" style="32" customWidth="1"/>
    <col min="13838" max="14080" width="8.90625" style="32"/>
    <col min="14081" max="14081" width="7.453125" style="32" customWidth="1"/>
    <col min="14082" max="14082" width="14.6328125" style="32" customWidth="1"/>
    <col min="14083" max="14083" width="4.90625" style="32" customWidth="1"/>
    <col min="14084" max="14084" width="9.90625" style="32" customWidth="1"/>
    <col min="14085" max="14085" width="4.453125" style="32" customWidth="1"/>
    <col min="14086" max="14087" width="4.36328125" style="32" customWidth="1"/>
    <col min="14088" max="14088" width="4.90625" style="32" customWidth="1"/>
    <col min="14089" max="14090" width="8.90625" style="32"/>
    <col min="14091" max="14091" width="12.08984375" style="32" customWidth="1"/>
    <col min="14092" max="14092" width="8.90625" style="32"/>
    <col min="14093" max="14093" width="10" style="32" customWidth="1"/>
    <col min="14094" max="14336" width="8.90625" style="32"/>
    <col min="14337" max="14337" width="7.453125" style="32" customWidth="1"/>
    <col min="14338" max="14338" width="14.6328125" style="32" customWidth="1"/>
    <col min="14339" max="14339" width="4.90625" style="32" customWidth="1"/>
    <col min="14340" max="14340" width="9.90625" style="32" customWidth="1"/>
    <col min="14341" max="14341" width="4.453125" style="32" customWidth="1"/>
    <col min="14342" max="14343" width="4.36328125" style="32" customWidth="1"/>
    <col min="14344" max="14344" width="4.90625" style="32" customWidth="1"/>
    <col min="14345" max="14346" width="8.90625" style="32"/>
    <col min="14347" max="14347" width="12.08984375" style="32" customWidth="1"/>
    <col min="14348" max="14348" width="8.90625" style="32"/>
    <col min="14349" max="14349" width="10" style="32" customWidth="1"/>
    <col min="14350" max="14592" width="8.90625" style="32"/>
    <col min="14593" max="14593" width="7.453125" style="32" customWidth="1"/>
    <col min="14594" max="14594" width="14.6328125" style="32" customWidth="1"/>
    <col min="14595" max="14595" width="4.90625" style="32" customWidth="1"/>
    <col min="14596" max="14596" width="9.90625" style="32" customWidth="1"/>
    <col min="14597" max="14597" width="4.453125" style="32" customWidth="1"/>
    <col min="14598" max="14599" width="4.36328125" style="32" customWidth="1"/>
    <col min="14600" max="14600" width="4.90625" style="32" customWidth="1"/>
    <col min="14601" max="14602" width="8.90625" style="32"/>
    <col min="14603" max="14603" width="12.08984375" style="32" customWidth="1"/>
    <col min="14604" max="14604" width="8.90625" style="32"/>
    <col min="14605" max="14605" width="10" style="32" customWidth="1"/>
    <col min="14606" max="14848" width="8.90625" style="32"/>
    <col min="14849" max="14849" width="7.453125" style="32" customWidth="1"/>
    <col min="14850" max="14850" width="14.6328125" style="32" customWidth="1"/>
    <col min="14851" max="14851" width="4.90625" style="32" customWidth="1"/>
    <col min="14852" max="14852" width="9.90625" style="32" customWidth="1"/>
    <col min="14853" max="14853" width="4.453125" style="32" customWidth="1"/>
    <col min="14854" max="14855" width="4.36328125" style="32" customWidth="1"/>
    <col min="14856" max="14856" width="4.90625" style="32" customWidth="1"/>
    <col min="14857" max="14858" width="8.90625" style="32"/>
    <col min="14859" max="14859" width="12.08984375" style="32" customWidth="1"/>
    <col min="14860" max="14860" width="8.90625" style="32"/>
    <col min="14861" max="14861" width="10" style="32" customWidth="1"/>
    <col min="14862" max="15104" width="8.90625" style="32"/>
    <col min="15105" max="15105" width="7.453125" style="32" customWidth="1"/>
    <col min="15106" max="15106" width="14.6328125" style="32" customWidth="1"/>
    <col min="15107" max="15107" width="4.90625" style="32" customWidth="1"/>
    <col min="15108" max="15108" width="9.90625" style="32" customWidth="1"/>
    <col min="15109" max="15109" width="4.453125" style="32" customWidth="1"/>
    <col min="15110" max="15111" width="4.36328125" style="32" customWidth="1"/>
    <col min="15112" max="15112" width="4.90625" style="32" customWidth="1"/>
    <col min="15113" max="15114" width="8.90625" style="32"/>
    <col min="15115" max="15115" width="12.08984375" style="32" customWidth="1"/>
    <col min="15116" max="15116" width="8.90625" style="32"/>
    <col min="15117" max="15117" width="10" style="32" customWidth="1"/>
    <col min="15118" max="15360" width="8.90625" style="32"/>
    <col min="15361" max="15361" width="7.453125" style="32" customWidth="1"/>
    <col min="15362" max="15362" width="14.6328125" style="32" customWidth="1"/>
    <col min="15363" max="15363" width="4.90625" style="32" customWidth="1"/>
    <col min="15364" max="15364" width="9.90625" style="32" customWidth="1"/>
    <col min="15365" max="15365" width="4.453125" style="32" customWidth="1"/>
    <col min="15366" max="15367" width="4.36328125" style="32" customWidth="1"/>
    <col min="15368" max="15368" width="4.90625" style="32" customWidth="1"/>
    <col min="15369" max="15370" width="8.90625" style="32"/>
    <col min="15371" max="15371" width="12.08984375" style="32" customWidth="1"/>
    <col min="15372" max="15372" width="8.90625" style="32"/>
    <col min="15373" max="15373" width="10" style="32" customWidth="1"/>
    <col min="15374" max="15616" width="8.90625" style="32"/>
    <col min="15617" max="15617" width="7.453125" style="32" customWidth="1"/>
    <col min="15618" max="15618" width="14.6328125" style="32" customWidth="1"/>
    <col min="15619" max="15619" width="4.90625" style="32" customWidth="1"/>
    <col min="15620" max="15620" width="9.90625" style="32" customWidth="1"/>
    <col min="15621" max="15621" width="4.453125" style="32" customWidth="1"/>
    <col min="15622" max="15623" width="4.36328125" style="32" customWidth="1"/>
    <col min="15624" max="15624" width="4.90625" style="32" customWidth="1"/>
    <col min="15625" max="15626" width="8.90625" style="32"/>
    <col min="15627" max="15627" width="12.08984375" style="32" customWidth="1"/>
    <col min="15628" max="15628" width="8.90625" style="32"/>
    <col min="15629" max="15629" width="10" style="32" customWidth="1"/>
    <col min="15630" max="15872" width="8.90625" style="32"/>
    <col min="15873" max="15873" width="7.453125" style="32" customWidth="1"/>
    <col min="15874" max="15874" width="14.6328125" style="32" customWidth="1"/>
    <col min="15875" max="15875" width="4.90625" style="32" customWidth="1"/>
    <col min="15876" max="15876" width="9.90625" style="32" customWidth="1"/>
    <col min="15877" max="15877" width="4.453125" style="32" customWidth="1"/>
    <col min="15878" max="15879" width="4.36328125" style="32" customWidth="1"/>
    <col min="15880" max="15880" width="4.90625" style="32" customWidth="1"/>
    <col min="15881" max="15882" width="8.90625" style="32"/>
    <col min="15883" max="15883" width="12.08984375" style="32" customWidth="1"/>
    <col min="15884" max="15884" width="8.90625" style="32"/>
    <col min="15885" max="15885" width="10" style="32" customWidth="1"/>
    <col min="15886" max="16128" width="8.90625" style="32"/>
    <col min="16129" max="16129" width="7.453125" style="32" customWidth="1"/>
    <col min="16130" max="16130" width="14.6328125" style="32" customWidth="1"/>
    <col min="16131" max="16131" width="4.90625" style="32" customWidth="1"/>
    <col min="16132" max="16132" width="9.90625" style="32" customWidth="1"/>
    <col min="16133" max="16133" width="4.453125" style="32" customWidth="1"/>
    <col min="16134" max="16135" width="4.36328125" style="32" customWidth="1"/>
    <col min="16136" max="16136" width="4.90625" style="32" customWidth="1"/>
    <col min="16137" max="16138" width="8.90625" style="32"/>
    <col min="16139" max="16139" width="12.08984375" style="32" customWidth="1"/>
    <col min="16140" max="16140" width="8.90625" style="32"/>
    <col min="16141" max="16141" width="10" style="32" customWidth="1"/>
    <col min="16142" max="16384" width="8.90625" style="32"/>
  </cols>
  <sheetData>
    <row r="1" spans="1:45" ht="25.9" customHeight="1" thickBot="1" x14ac:dyDescent="0.25">
      <c r="A1" s="46">
        <v>2025</v>
      </c>
      <c r="B1" s="49">
        <v>4</v>
      </c>
      <c r="C1" s="55">
        <v>1</v>
      </c>
      <c r="D1" s="56" t="str">
        <f>IFERROR(VLOOKUP($C$1,'勤務表（参照用）'!BP:BR,3,FALSE),"")</f>
        <v>山村 博</v>
      </c>
      <c r="E1" s="96" t="e">
        <f>IF('[4]勤務表 (参照用)'!BR2=0,"","１～"&amp;'[4]勤務表 (参照用)'!BR2&amp;"まで")</f>
        <v>#REF!</v>
      </c>
      <c r="F1" s="97"/>
      <c r="G1" s="97"/>
      <c r="H1" s="98"/>
      <c r="I1" s="95" t="s">
        <v>38</v>
      </c>
      <c r="J1" s="95"/>
      <c r="K1" s="95"/>
      <c r="L1" s="95"/>
      <c r="M1" s="95"/>
      <c r="N1" s="95"/>
      <c r="O1" s="95"/>
      <c r="P1" s="95"/>
      <c r="Q1" s="95"/>
      <c r="R1" s="99" t="s">
        <v>43</v>
      </c>
      <c r="S1" s="100"/>
      <c r="T1" s="100"/>
      <c r="U1" s="100"/>
    </row>
    <row r="2" spans="1:45" s="38" customFormat="1" ht="13.5" thickBot="1" x14ac:dyDescent="0.25">
      <c r="A2" s="34"/>
      <c r="B2" s="35" t="s">
        <v>4</v>
      </c>
      <c r="C2" s="54" t="s">
        <v>5</v>
      </c>
      <c r="D2" s="36" t="s">
        <v>39</v>
      </c>
      <c r="E2" s="62" t="s">
        <v>6</v>
      </c>
      <c r="F2" s="63" t="s">
        <v>7</v>
      </c>
      <c r="G2" s="63" t="s">
        <v>8</v>
      </c>
      <c r="H2" s="63" t="s">
        <v>9</v>
      </c>
      <c r="I2" s="52" t="s">
        <v>10</v>
      </c>
      <c r="J2" s="52" t="s">
        <v>11</v>
      </c>
      <c r="K2" s="52" t="s">
        <v>12</v>
      </c>
      <c r="L2" s="52" t="s">
        <v>13</v>
      </c>
      <c r="M2" s="53" t="s">
        <v>14</v>
      </c>
      <c r="N2" s="52" t="s">
        <v>15</v>
      </c>
      <c r="O2" s="52" t="s">
        <v>13</v>
      </c>
      <c r="P2" s="53" t="s">
        <v>16</v>
      </c>
      <c r="Q2" s="52" t="s">
        <v>17</v>
      </c>
      <c r="R2" s="37" t="s">
        <v>18</v>
      </c>
      <c r="S2" s="37" t="s">
        <v>19</v>
      </c>
      <c r="T2" s="34" t="s">
        <v>13</v>
      </c>
      <c r="U2" s="37" t="s">
        <v>20</v>
      </c>
      <c r="V2" s="34" t="s">
        <v>13</v>
      </c>
      <c r="W2" s="37" t="s">
        <v>21</v>
      </c>
      <c r="X2" s="34" t="s">
        <v>22</v>
      </c>
      <c r="Y2" s="34" t="s">
        <v>13</v>
      </c>
      <c r="Z2" s="37" t="s">
        <v>23</v>
      </c>
      <c r="AA2" s="34" t="s">
        <v>13</v>
      </c>
      <c r="AB2" s="37" t="s">
        <v>24</v>
      </c>
      <c r="AC2" s="34" t="s">
        <v>13</v>
      </c>
      <c r="AD2" s="37" t="s">
        <v>25</v>
      </c>
      <c r="AE2" s="34" t="s">
        <v>13</v>
      </c>
      <c r="AF2" s="37" t="s">
        <v>26</v>
      </c>
      <c r="AG2" s="34" t="s">
        <v>13</v>
      </c>
      <c r="AH2" s="37" t="s">
        <v>27</v>
      </c>
      <c r="AI2" s="34" t="s">
        <v>28</v>
      </c>
      <c r="AJ2" s="34" t="s">
        <v>13</v>
      </c>
      <c r="AK2" s="37" t="s">
        <v>29</v>
      </c>
      <c r="AL2" s="34" t="s">
        <v>30</v>
      </c>
      <c r="AM2" s="34" t="s">
        <v>31</v>
      </c>
      <c r="AN2" s="34" t="s">
        <v>13</v>
      </c>
      <c r="AO2" s="37" t="s">
        <v>32</v>
      </c>
      <c r="AP2" s="34" t="s">
        <v>33</v>
      </c>
      <c r="AQ2" s="34" t="s">
        <v>13</v>
      </c>
      <c r="AR2" s="37" t="s">
        <v>34</v>
      </c>
      <c r="AS2" s="34" t="s">
        <v>35</v>
      </c>
    </row>
    <row r="3" spans="1:45" ht="13.5" thickTop="1" x14ac:dyDescent="0.2">
      <c r="A3" s="39">
        <v>1</v>
      </c>
      <c r="B3" s="40">
        <f>DATE($A$1,$B$1,$A3)</f>
        <v>45748</v>
      </c>
      <c r="C3" s="47">
        <f>B3</f>
        <v>45748</v>
      </c>
      <c r="D3" s="41" t="str">
        <f>VLOOKUP($D$1,勤務変更!$C$4:$AH$45,'Time Pro 入力フォーム（管理者用）'!$A3+1,FALSE)</f>
        <v>明</v>
      </c>
      <c r="E3" s="42"/>
      <c r="F3" s="39"/>
      <c r="G3" s="39"/>
      <c r="H3" s="50" t="s">
        <v>36</v>
      </c>
      <c r="I3" s="58" t="str">
        <f>IF(OR(D3="*",D3="●",D3="▲"),"休日",IF(D3="○","指定","勤務"))</f>
        <v>勤務</v>
      </c>
      <c r="J3" s="57"/>
      <c r="K3" s="57" t="str">
        <f>IF(D3="当","日当直入り",IF(D3="明","日当直明け",IF(D3="／","半日","日勤")))</f>
        <v>日当直明け</v>
      </c>
      <c r="L3" s="80" t="s">
        <v>37</v>
      </c>
      <c r="M3" s="81"/>
      <c r="N3" s="57" t="s">
        <v>44</v>
      </c>
      <c r="O3" s="80" t="s">
        <v>37</v>
      </c>
      <c r="P3" s="81"/>
      <c r="Q3" s="71" t="s">
        <v>44</v>
      </c>
      <c r="R3" s="51"/>
      <c r="S3" s="44"/>
      <c r="T3" s="45"/>
      <c r="U3" s="44"/>
      <c r="V3" s="45"/>
      <c r="W3" s="44"/>
      <c r="X3" s="39"/>
      <c r="Y3" s="45"/>
      <c r="Z3" s="44"/>
      <c r="AA3" s="45"/>
      <c r="AB3" s="44"/>
      <c r="AC3" s="45"/>
      <c r="AD3" s="44"/>
      <c r="AE3" s="45"/>
      <c r="AF3" s="44"/>
      <c r="AG3" s="45"/>
      <c r="AH3" s="44"/>
      <c r="AI3" s="45"/>
      <c r="AJ3" s="45"/>
      <c r="AK3" s="44"/>
      <c r="AL3" s="39"/>
      <c r="AM3" s="39"/>
      <c r="AN3" s="45"/>
      <c r="AO3" s="44"/>
      <c r="AP3" s="45"/>
      <c r="AQ3" s="45"/>
      <c r="AR3" s="44"/>
      <c r="AS3" s="39"/>
    </row>
    <row r="4" spans="1:45" x14ac:dyDescent="0.2">
      <c r="A4" s="39">
        <v>2</v>
      </c>
      <c r="B4" s="40">
        <f t="shared" ref="B4:B33" si="0">DATE($A$1,$B$1,$A4)</f>
        <v>45749</v>
      </c>
      <c r="C4" s="47">
        <f t="shared" ref="C4:C33" si="1">B4</f>
        <v>45749</v>
      </c>
      <c r="D4" s="41" t="str">
        <f>VLOOKUP($D$1,勤務変更!$C$4:$AH$45,'Time Pro 入力フォーム（管理者用）'!$A4+1,FALSE)</f>
        <v/>
      </c>
      <c r="E4" s="42"/>
      <c r="F4" s="39"/>
      <c r="G4" s="39"/>
      <c r="H4" s="50" t="s">
        <v>36</v>
      </c>
      <c r="I4" s="58" t="str">
        <f t="shared" ref="I4:I33" si="2">IF(OR(D4="*",D4="●",D4="▲"),"休日",IF(D4="○","指定","勤務"))</f>
        <v>勤務</v>
      </c>
      <c r="J4" s="43" t="s">
        <v>44</v>
      </c>
      <c r="K4" s="43" t="str">
        <f>IF(D4="当","日当直入り",IF(D4="明","日当直明け",IF(D4="／","半日","日勤")))</f>
        <v>日勤</v>
      </c>
      <c r="L4" s="82" t="s">
        <v>37</v>
      </c>
      <c r="M4" s="83"/>
      <c r="N4" s="43" t="s">
        <v>44</v>
      </c>
      <c r="O4" s="82" t="s">
        <v>37</v>
      </c>
      <c r="P4" s="83"/>
      <c r="Q4" s="59" t="s">
        <v>44</v>
      </c>
      <c r="R4" s="51"/>
      <c r="S4" s="44"/>
      <c r="T4" s="45"/>
      <c r="U4" s="44"/>
      <c r="V4" s="45"/>
      <c r="W4" s="44"/>
      <c r="X4" s="39"/>
      <c r="Y4" s="45"/>
      <c r="Z4" s="44"/>
      <c r="AA4" s="45"/>
      <c r="AB4" s="44"/>
      <c r="AC4" s="45"/>
      <c r="AD4" s="44"/>
      <c r="AE4" s="45"/>
      <c r="AF4" s="44"/>
      <c r="AG4" s="45"/>
      <c r="AH4" s="44"/>
      <c r="AI4" s="45"/>
      <c r="AJ4" s="45"/>
      <c r="AK4" s="44"/>
      <c r="AL4" s="39"/>
      <c r="AM4" s="39"/>
      <c r="AN4" s="45"/>
      <c r="AO4" s="44"/>
      <c r="AP4" s="45"/>
      <c r="AQ4" s="45"/>
      <c r="AR4" s="44"/>
      <c r="AS4" s="39"/>
    </row>
    <row r="5" spans="1:45" x14ac:dyDescent="0.2">
      <c r="A5" s="39">
        <v>3</v>
      </c>
      <c r="B5" s="40">
        <f t="shared" si="0"/>
        <v>45750</v>
      </c>
      <c r="C5" s="47">
        <f t="shared" si="1"/>
        <v>45750</v>
      </c>
      <c r="D5" s="41" t="str">
        <f>VLOOKUP($D$1,勤務変更!$C$4:$AH$45,'Time Pro 入力フォーム（管理者用）'!$A5+1,FALSE)</f>
        <v/>
      </c>
      <c r="E5" s="42"/>
      <c r="F5" s="39"/>
      <c r="G5" s="39"/>
      <c r="H5" s="50" t="s">
        <v>36</v>
      </c>
      <c r="I5" s="58" t="str">
        <f t="shared" si="2"/>
        <v>勤務</v>
      </c>
      <c r="J5" s="43" t="s">
        <v>44</v>
      </c>
      <c r="K5" s="43" t="str">
        <f t="shared" ref="K5:K33" si="3">IF(D5="当","日当直入り",IF(D5="明","日当直明け",IF(D5="／","半日","日勤")))</f>
        <v>日勤</v>
      </c>
      <c r="L5" s="82" t="s">
        <v>37</v>
      </c>
      <c r="M5" s="83"/>
      <c r="N5" s="43" t="s">
        <v>44</v>
      </c>
      <c r="O5" s="82" t="s">
        <v>37</v>
      </c>
      <c r="P5" s="83"/>
      <c r="Q5" s="59" t="s">
        <v>44</v>
      </c>
      <c r="R5" s="51"/>
      <c r="S5" s="44"/>
      <c r="T5" s="45"/>
      <c r="U5" s="44"/>
      <c r="V5" s="45"/>
      <c r="W5" s="44"/>
      <c r="X5" s="39"/>
      <c r="Y5" s="45"/>
      <c r="Z5" s="44"/>
      <c r="AA5" s="45"/>
      <c r="AB5" s="44"/>
      <c r="AC5" s="45"/>
      <c r="AD5" s="44"/>
      <c r="AE5" s="45"/>
      <c r="AF5" s="44"/>
      <c r="AG5" s="45"/>
      <c r="AH5" s="44"/>
      <c r="AI5" s="45"/>
      <c r="AJ5" s="45"/>
      <c r="AK5" s="44"/>
      <c r="AL5" s="39"/>
      <c r="AM5" s="39"/>
      <c r="AN5" s="45"/>
      <c r="AO5" s="44"/>
      <c r="AP5" s="45"/>
      <c r="AQ5" s="45"/>
      <c r="AR5" s="44"/>
      <c r="AS5" s="39"/>
    </row>
    <row r="6" spans="1:45" x14ac:dyDescent="0.2">
      <c r="A6" s="39">
        <v>4</v>
      </c>
      <c r="B6" s="40">
        <f t="shared" si="0"/>
        <v>45751</v>
      </c>
      <c r="C6" s="47">
        <f t="shared" si="1"/>
        <v>45751</v>
      </c>
      <c r="D6" s="41" t="str">
        <f>VLOOKUP($D$1,勤務変更!$C$4:$AH$45,'Time Pro 入力フォーム（管理者用）'!$A6+1,FALSE)</f>
        <v/>
      </c>
      <c r="E6" s="42"/>
      <c r="F6" s="39"/>
      <c r="G6" s="39"/>
      <c r="H6" s="50" t="s">
        <v>36</v>
      </c>
      <c r="I6" s="58" t="str">
        <f t="shared" si="2"/>
        <v>勤務</v>
      </c>
      <c r="J6" s="43" t="s">
        <v>44</v>
      </c>
      <c r="K6" s="43" t="str">
        <f t="shared" si="3"/>
        <v>日勤</v>
      </c>
      <c r="L6" s="82" t="s">
        <v>37</v>
      </c>
      <c r="M6" s="83"/>
      <c r="N6" s="43" t="s">
        <v>44</v>
      </c>
      <c r="O6" s="82" t="s">
        <v>37</v>
      </c>
      <c r="P6" s="83"/>
      <c r="Q6" s="59" t="s">
        <v>44</v>
      </c>
      <c r="R6" s="51"/>
      <c r="S6" s="44"/>
      <c r="T6" s="45"/>
      <c r="U6" s="44"/>
      <c r="V6" s="45"/>
      <c r="W6" s="44"/>
      <c r="X6" s="39"/>
      <c r="Y6" s="45"/>
      <c r="Z6" s="44"/>
      <c r="AA6" s="45"/>
      <c r="AB6" s="44"/>
      <c r="AC6" s="45"/>
      <c r="AD6" s="44"/>
      <c r="AE6" s="45"/>
      <c r="AF6" s="44"/>
      <c r="AG6" s="45"/>
      <c r="AH6" s="44"/>
      <c r="AI6" s="45"/>
      <c r="AJ6" s="45"/>
      <c r="AK6" s="44"/>
      <c r="AL6" s="39"/>
      <c r="AM6" s="39"/>
      <c r="AN6" s="45"/>
      <c r="AO6" s="44"/>
      <c r="AP6" s="45"/>
      <c r="AQ6" s="45"/>
      <c r="AR6" s="44"/>
      <c r="AS6" s="39"/>
    </row>
    <row r="7" spans="1:45" x14ac:dyDescent="0.2">
      <c r="A7" s="39">
        <v>5</v>
      </c>
      <c r="B7" s="40">
        <f t="shared" si="0"/>
        <v>45752</v>
      </c>
      <c r="C7" s="47">
        <f t="shared" si="1"/>
        <v>45752</v>
      </c>
      <c r="D7" s="41" t="str">
        <f>VLOOKUP($D$1,勤務変更!$C$4:$AH$45,'Time Pro 入力フォーム（管理者用）'!$A7+1,FALSE)</f>
        <v>○</v>
      </c>
      <c r="E7" s="42"/>
      <c r="F7" s="39"/>
      <c r="G7" s="39"/>
      <c r="H7" s="50" t="s">
        <v>36</v>
      </c>
      <c r="I7" s="58" t="str">
        <f t="shared" si="2"/>
        <v>指定</v>
      </c>
      <c r="J7" s="43" t="s">
        <v>44</v>
      </c>
      <c r="K7" s="43" t="str">
        <f t="shared" si="3"/>
        <v>日勤</v>
      </c>
      <c r="L7" s="82" t="s">
        <v>37</v>
      </c>
      <c r="M7" s="83"/>
      <c r="N7" s="43" t="s">
        <v>44</v>
      </c>
      <c r="O7" s="82" t="s">
        <v>37</v>
      </c>
      <c r="P7" s="83"/>
      <c r="Q7" s="59" t="s">
        <v>44</v>
      </c>
      <c r="R7" s="51"/>
      <c r="S7" s="44"/>
      <c r="T7" s="45"/>
      <c r="U7" s="44"/>
      <c r="V7" s="45"/>
      <c r="W7" s="44"/>
      <c r="X7" s="39"/>
      <c r="Y7" s="45"/>
      <c r="Z7" s="44"/>
      <c r="AA7" s="45"/>
      <c r="AB7" s="44"/>
      <c r="AC7" s="45"/>
      <c r="AD7" s="44"/>
      <c r="AE7" s="45"/>
      <c r="AF7" s="44"/>
      <c r="AG7" s="45"/>
      <c r="AH7" s="44"/>
      <c r="AI7" s="45"/>
      <c r="AJ7" s="45"/>
      <c r="AK7" s="44"/>
      <c r="AL7" s="39"/>
      <c r="AM7" s="39"/>
      <c r="AN7" s="45"/>
      <c r="AO7" s="44"/>
      <c r="AP7" s="45"/>
      <c r="AQ7" s="45"/>
      <c r="AR7" s="44"/>
      <c r="AS7" s="39"/>
    </row>
    <row r="8" spans="1:45" x14ac:dyDescent="0.2">
      <c r="A8" s="39">
        <v>6</v>
      </c>
      <c r="B8" s="40">
        <f t="shared" si="0"/>
        <v>45753</v>
      </c>
      <c r="C8" s="47">
        <f t="shared" si="1"/>
        <v>45753</v>
      </c>
      <c r="D8" s="41" t="str">
        <f>VLOOKUP($D$1,勤務変更!$C$4:$AH$45,'Time Pro 入力フォーム（管理者用）'!$A8+1,FALSE)</f>
        <v>●</v>
      </c>
      <c r="E8" s="42"/>
      <c r="F8" s="39"/>
      <c r="G8" s="39"/>
      <c r="H8" s="50" t="s">
        <v>36</v>
      </c>
      <c r="I8" s="58" t="str">
        <f t="shared" si="2"/>
        <v>休日</v>
      </c>
      <c r="J8" s="43" t="s">
        <v>44</v>
      </c>
      <c r="K8" s="43" t="str">
        <f t="shared" si="3"/>
        <v>日勤</v>
      </c>
      <c r="L8" s="82" t="s">
        <v>37</v>
      </c>
      <c r="M8" s="83"/>
      <c r="N8" s="43" t="s">
        <v>44</v>
      </c>
      <c r="O8" s="82" t="s">
        <v>37</v>
      </c>
      <c r="P8" s="83"/>
      <c r="Q8" s="59" t="s">
        <v>44</v>
      </c>
      <c r="R8" s="51"/>
      <c r="S8" s="44"/>
      <c r="T8" s="45"/>
      <c r="U8" s="44"/>
      <c r="V8" s="45"/>
      <c r="W8" s="44"/>
      <c r="X8" s="39"/>
      <c r="Y8" s="45"/>
      <c r="Z8" s="44"/>
      <c r="AA8" s="45"/>
      <c r="AB8" s="44"/>
      <c r="AC8" s="45"/>
      <c r="AD8" s="44"/>
      <c r="AE8" s="45"/>
      <c r="AF8" s="44"/>
      <c r="AG8" s="45"/>
      <c r="AH8" s="44"/>
      <c r="AI8" s="45"/>
      <c r="AJ8" s="45"/>
      <c r="AK8" s="44"/>
      <c r="AL8" s="39"/>
      <c r="AM8" s="39"/>
      <c r="AN8" s="45"/>
      <c r="AO8" s="44"/>
      <c r="AP8" s="45"/>
      <c r="AQ8" s="45"/>
      <c r="AR8" s="44"/>
      <c r="AS8" s="39"/>
    </row>
    <row r="9" spans="1:45" x14ac:dyDescent="0.2">
      <c r="A9" s="39">
        <v>7</v>
      </c>
      <c r="B9" s="40">
        <f t="shared" si="0"/>
        <v>45754</v>
      </c>
      <c r="C9" s="47">
        <f t="shared" si="1"/>
        <v>45754</v>
      </c>
      <c r="D9" s="41" t="str">
        <f>VLOOKUP($D$1,勤務変更!$C$4:$AH$45,'Time Pro 入力フォーム（管理者用）'!$A9+1,FALSE)</f>
        <v/>
      </c>
      <c r="E9" s="42"/>
      <c r="F9" s="39"/>
      <c r="G9" s="39"/>
      <c r="H9" s="50" t="s">
        <v>36</v>
      </c>
      <c r="I9" s="58" t="str">
        <f t="shared" si="2"/>
        <v>勤務</v>
      </c>
      <c r="J9" s="43" t="s">
        <v>44</v>
      </c>
      <c r="K9" s="43" t="str">
        <f t="shared" si="3"/>
        <v>日勤</v>
      </c>
      <c r="L9" s="82" t="s">
        <v>37</v>
      </c>
      <c r="M9" s="83"/>
      <c r="N9" s="43" t="s">
        <v>44</v>
      </c>
      <c r="O9" s="82" t="s">
        <v>37</v>
      </c>
      <c r="P9" s="83"/>
      <c r="Q9" s="59" t="s">
        <v>44</v>
      </c>
      <c r="R9" s="51"/>
      <c r="S9" s="44"/>
      <c r="T9" s="45"/>
      <c r="U9" s="44"/>
      <c r="V9" s="45"/>
      <c r="W9" s="44"/>
      <c r="X9" s="39"/>
      <c r="Y9" s="45"/>
      <c r="Z9" s="44"/>
      <c r="AA9" s="45"/>
      <c r="AB9" s="44"/>
      <c r="AC9" s="45"/>
      <c r="AD9" s="44"/>
      <c r="AE9" s="45"/>
      <c r="AF9" s="44"/>
      <c r="AG9" s="45"/>
      <c r="AH9" s="44"/>
      <c r="AI9" s="45"/>
      <c r="AJ9" s="45"/>
      <c r="AK9" s="44"/>
      <c r="AL9" s="39"/>
      <c r="AM9" s="39"/>
      <c r="AN9" s="45"/>
      <c r="AO9" s="44"/>
      <c r="AP9" s="45"/>
      <c r="AQ9" s="45"/>
      <c r="AR9" s="44"/>
      <c r="AS9" s="39"/>
    </row>
    <row r="10" spans="1:45" x14ac:dyDescent="0.2">
      <c r="A10" s="39">
        <v>8</v>
      </c>
      <c r="B10" s="40">
        <f t="shared" si="0"/>
        <v>45755</v>
      </c>
      <c r="C10" s="47">
        <f t="shared" si="1"/>
        <v>45755</v>
      </c>
      <c r="D10" s="41" t="str">
        <f>VLOOKUP($D$1,勤務変更!$C$4:$AH$45,'Time Pro 入力フォーム（管理者用）'!$A10+1,FALSE)</f>
        <v/>
      </c>
      <c r="E10" s="42"/>
      <c r="F10" s="39"/>
      <c r="G10" s="39"/>
      <c r="H10" s="50" t="s">
        <v>36</v>
      </c>
      <c r="I10" s="58" t="str">
        <f t="shared" si="2"/>
        <v>勤務</v>
      </c>
      <c r="J10" s="43" t="s">
        <v>44</v>
      </c>
      <c r="K10" s="43" t="str">
        <f t="shared" si="3"/>
        <v>日勤</v>
      </c>
      <c r="L10" s="82" t="s">
        <v>37</v>
      </c>
      <c r="M10" s="83"/>
      <c r="N10" s="43" t="s">
        <v>44</v>
      </c>
      <c r="O10" s="82" t="s">
        <v>37</v>
      </c>
      <c r="P10" s="83"/>
      <c r="Q10" s="59" t="s">
        <v>44</v>
      </c>
      <c r="R10" s="51"/>
      <c r="S10" s="44"/>
      <c r="T10" s="45"/>
      <c r="U10" s="44"/>
      <c r="V10" s="45"/>
      <c r="W10" s="44"/>
      <c r="X10" s="39"/>
      <c r="Y10" s="45"/>
      <c r="Z10" s="44"/>
      <c r="AA10" s="45"/>
      <c r="AB10" s="44"/>
      <c r="AC10" s="45"/>
      <c r="AD10" s="44"/>
      <c r="AE10" s="45"/>
      <c r="AF10" s="44"/>
      <c r="AG10" s="45"/>
      <c r="AH10" s="44"/>
      <c r="AI10" s="45"/>
      <c r="AJ10" s="45"/>
      <c r="AK10" s="44"/>
      <c r="AL10" s="39"/>
      <c r="AM10" s="39"/>
      <c r="AN10" s="45"/>
      <c r="AO10" s="44"/>
      <c r="AP10" s="45"/>
      <c r="AQ10" s="45"/>
      <c r="AR10" s="44"/>
      <c r="AS10" s="39"/>
    </row>
    <row r="11" spans="1:45" x14ac:dyDescent="0.2">
      <c r="A11" s="39">
        <v>9</v>
      </c>
      <c r="B11" s="40">
        <f t="shared" si="0"/>
        <v>45756</v>
      </c>
      <c r="C11" s="47">
        <f t="shared" si="1"/>
        <v>45756</v>
      </c>
      <c r="D11" s="41" t="str">
        <f>VLOOKUP($D$1,勤務変更!$C$4:$AH$45,'Time Pro 入力フォーム（管理者用）'!$A11+1,FALSE)</f>
        <v/>
      </c>
      <c r="E11" s="42"/>
      <c r="F11" s="39"/>
      <c r="G11" s="39"/>
      <c r="H11" s="50" t="s">
        <v>36</v>
      </c>
      <c r="I11" s="58" t="str">
        <f t="shared" si="2"/>
        <v>勤務</v>
      </c>
      <c r="J11" s="43" t="s">
        <v>44</v>
      </c>
      <c r="K11" s="43" t="str">
        <f t="shared" si="3"/>
        <v>日勤</v>
      </c>
      <c r="L11" s="82" t="s">
        <v>37</v>
      </c>
      <c r="M11" s="83"/>
      <c r="N11" s="43" t="s">
        <v>44</v>
      </c>
      <c r="O11" s="82" t="s">
        <v>37</v>
      </c>
      <c r="P11" s="83"/>
      <c r="Q11" s="59" t="s">
        <v>44</v>
      </c>
      <c r="R11" s="51"/>
      <c r="S11" s="44"/>
      <c r="T11" s="45"/>
      <c r="U11" s="44"/>
      <c r="V11" s="45"/>
      <c r="W11" s="44"/>
      <c r="X11" s="39"/>
      <c r="Y11" s="45"/>
      <c r="Z11" s="44"/>
      <c r="AA11" s="45"/>
      <c r="AB11" s="44"/>
      <c r="AC11" s="45"/>
      <c r="AD11" s="44"/>
      <c r="AE11" s="45"/>
      <c r="AF11" s="44"/>
      <c r="AG11" s="45"/>
      <c r="AH11" s="44"/>
      <c r="AI11" s="45"/>
      <c r="AJ11" s="45"/>
      <c r="AK11" s="44"/>
      <c r="AL11" s="39"/>
      <c r="AM11" s="39"/>
      <c r="AN11" s="45"/>
      <c r="AO11" s="44"/>
      <c r="AP11" s="45"/>
      <c r="AQ11" s="45"/>
      <c r="AR11" s="44"/>
      <c r="AS11" s="39"/>
    </row>
    <row r="12" spans="1:45" x14ac:dyDescent="0.2">
      <c r="A12" s="39">
        <v>10</v>
      </c>
      <c r="B12" s="40">
        <f t="shared" si="0"/>
        <v>45757</v>
      </c>
      <c r="C12" s="47">
        <f t="shared" si="1"/>
        <v>45757</v>
      </c>
      <c r="D12" s="41" t="str">
        <f>VLOOKUP($D$1,勤務変更!$C$4:$AH$45,'Time Pro 入力フォーム（管理者用）'!$A12+1,FALSE)</f>
        <v/>
      </c>
      <c r="E12" s="42"/>
      <c r="F12" s="39"/>
      <c r="G12" s="39"/>
      <c r="H12" s="50" t="s">
        <v>36</v>
      </c>
      <c r="I12" s="58" t="str">
        <f t="shared" si="2"/>
        <v>勤務</v>
      </c>
      <c r="J12" s="43" t="s">
        <v>44</v>
      </c>
      <c r="K12" s="43" t="str">
        <f t="shared" si="3"/>
        <v>日勤</v>
      </c>
      <c r="L12" s="82" t="s">
        <v>37</v>
      </c>
      <c r="M12" s="83"/>
      <c r="N12" s="43" t="s">
        <v>44</v>
      </c>
      <c r="O12" s="82" t="s">
        <v>37</v>
      </c>
      <c r="P12" s="83"/>
      <c r="Q12" s="59" t="s">
        <v>44</v>
      </c>
      <c r="R12" s="51"/>
      <c r="S12" s="44"/>
      <c r="T12" s="45"/>
      <c r="U12" s="44"/>
      <c r="V12" s="45"/>
      <c r="W12" s="44"/>
      <c r="X12" s="39"/>
      <c r="Y12" s="45"/>
      <c r="Z12" s="44"/>
      <c r="AA12" s="45"/>
      <c r="AB12" s="44"/>
      <c r="AC12" s="45"/>
      <c r="AD12" s="44"/>
      <c r="AE12" s="45"/>
      <c r="AF12" s="44"/>
      <c r="AG12" s="45"/>
      <c r="AH12" s="44"/>
      <c r="AI12" s="45"/>
      <c r="AJ12" s="45"/>
      <c r="AK12" s="44"/>
      <c r="AL12" s="39"/>
      <c r="AM12" s="39"/>
      <c r="AN12" s="45"/>
      <c r="AO12" s="44"/>
      <c r="AP12" s="45"/>
      <c r="AQ12" s="45"/>
      <c r="AR12" s="44"/>
      <c r="AS12" s="39"/>
    </row>
    <row r="13" spans="1:45" x14ac:dyDescent="0.2">
      <c r="A13" s="39">
        <v>11</v>
      </c>
      <c r="B13" s="40">
        <f t="shared" si="0"/>
        <v>45758</v>
      </c>
      <c r="C13" s="47">
        <f t="shared" si="1"/>
        <v>45758</v>
      </c>
      <c r="D13" s="41" t="str">
        <f>VLOOKUP($D$1,勤務変更!$C$4:$AH$45,'Time Pro 入力フォーム（管理者用）'!$A13+1,FALSE)</f>
        <v/>
      </c>
      <c r="E13" s="42"/>
      <c r="F13" s="39"/>
      <c r="G13" s="39"/>
      <c r="H13" s="50" t="s">
        <v>36</v>
      </c>
      <c r="I13" s="58" t="str">
        <f t="shared" si="2"/>
        <v>勤務</v>
      </c>
      <c r="J13" s="43" t="s">
        <v>44</v>
      </c>
      <c r="K13" s="43" t="str">
        <f t="shared" si="3"/>
        <v>日勤</v>
      </c>
      <c r="L13" s="82" t="s">
        <v>37</v>
      </c>
      <c r="M13" s="83"/>
      <c r="N13" s="43" t="s">
        <v>44</v>
      </c>
      <c r="O13" s="82" t="s">
        <v>37</v>
      </c>
      <c r="P13" s="83"/>
      <c r="Q13" s="59" t="s">
        <v>44</v>
      </c>
      <c r="R13" s="51"/>
      <c r="S13" s="44"/>
      <c r="T13" s="45"/>
      <c r="U13" s="44"/>
      <c r="V13" s="45"/>
      <c r="W13" s="44"/>
      <c r="X13" s="39"/>
      <c r="Y13" s="45"/>
      <c r="Z13" s="44"/>
      <c r="AA13" s="45"/>
      <c r="AB13" s="44"/>
      <c r="AC13" s="45"/>
      <c r="AD13" s="44"/>
      <c r="AE13" s="45"/>
      <c r="AF13" s="44"/>
      <c r="AG13" s="45"/>
      <c r="AH13" s="44"/>
      <c r="AI13" s="45"/>
      <c r="AJ13" s="45"/>
      <c r="AK13" s="44"/>
      <c r="AL13" s="39"/>
      <c r="AM13" s="39"/>
      <c r="AN13" s="45"/>
      <c r="AO13" s="44"/>
      <c r="AP13" s="45"/>
      <c r="AQ13" s="45"/>
      <c r="AR13" s="44"/>
      <c r="AS13" s="39"/>
    </row>
    <row r="14" spans="1:45" x14ac:dyDescent="0.2">
      <c r="A14" s="39">
        <v>12</v>
      </c>
      <c r="B14" s="40">
        <f t="shared" si="0"/>
        <v>45759</v>
      </c>
      <c r="C14" s="47">
        <f t="shared" si="1"/>
        <v>45759</v>
      </c>
      <c r="D14" s="41" t="str">
        <f>VLOOKUP($D$1,勤務変更!$C$4:$AH$45,'Time Pro 入力フォーム（管理者用）'!$A14+1,FALSE)</f>
        <v>○</v>
      </c>
      <c r="E14" s="42"/>
      <c r="F14" s="39"/>
      <c r="G14" s="39"/>
      <c r="H14" s="50" t="s">
        <v>36</v>
      </c>
      <c r="I14" s="58" t="str">
        <f t="shared" si="2"/>
        <v>指定</v>
      </c>
      <c r="J14" s="43" t="s">
        <v>44</v>
      </c>
      <c r="K14" s="43" t="str">
        <f t="shared" si="3"/>
        <v>日勤</v>
      </c>
      <c r="L14" s="82" t="s">
        <v>37</v>
      </c>
      <c r="M14" s="83"/>
      <c r="N14" s="43" t="s">
        <v>44</v>
      </c>
      <c r="O14" s="82" t="s">
        <v>37</v>
      </c>
      <c r="P14" s="83"/>
      <c r="Q14" s="59" t="s">
        <v>44</v>
      </c>
      <c r="R14" s="51"/>
      <c r="S14" s="44"/>
      <c r="T14" s="45"/>
      <c r="U14" s="44"/>
      <c r="V14" s="45"/>
      <c r="W14" s="44"/>
      <c r="X14" s="39"/>
      <c r="Y14" s="45"/>
      <c r="Z14" s="44"/>
      <c r="AA14" s="45"/>
      <c r="AB14" s="44"/>
      <c r="AC14" s="45"/>
      <c r="AD14" s="44"/>
      <c r="AE14" s="45"/>
      <c r="AF14" s="44"/>
      <c r="AG14" s="45"/>
      <c r="AH14" s="44"/>
      <c r="AI14" s="45"/>
      <c r="AJ14" s="45"/>
      <c r="AK14" s="44"/>
      <c r="AL14" s="39"/>
      <c r="AM14" s="39"/>
      <c r="AN14" s="45"/>
      <c r="AO14" s="44"/>
      <c r="AP14" s="45"/>
      <c r="AQ14" s="45"/>
      <c r="AR14" s="44"/>
      <c r="AS14" s="39"/>
    </row>
    <row r="15" spans="1:45" x14ac:dyDescent="0.2">
      <c r="A15" s="39">
        <v>13</v>
      </c>
      <c r="B15" s="40">
        <f t="shared" si="0"/>
        <v>45760</v>
      </c>
      <c r="C15" s="47">
        <f t="shared" si="1"/>
        <v>45760</v>
      </c>
      <c r="D15" s="41" t="str">
        <f>VLOOKUP($D$1,勤務変更!$C$4:$AH$45,'Time Pro 入力フォーム（管理者用）'!$A15+1,FALSE)</f>
        <v>●</v>
      </c>
      <c r="E15" s="42"/>
      <c r="F15" s="39"/>
      <c r="G15" s="39"/>
      <c r="H15" s="50" t="s">
        <v>36</v>
      </c>
      <c r="I15" s="58" t="str">
        <f t="shared" si="2"/>
        <v>休日</v>
      </c>
      <c r="J15" s="43" t="s">
        <v>44</v>
      </c>
      <c r="K15" s="43" t="str">
        <f t="shared" si="3"/>
        <v>日勤</v>
      </c>
      <c r="L15" s="82" t="s">
        <v>37</v>
      </c>
      <c r="M15" s="83"/>
      <c r="N15" s="43" t="s">
        <v>44</v>
      </c>
      <c r="O15" s="82" t="s">
        <v>37</v>
      </c>
      <c r="P15" s="83"/>
      <c r="Q15" s="59" t="s">
        <v>44</v>
      </c>
      <c r="R15" s="51"/>
      <c r="S15" s="44"/>
      <c r="T15" s="45"/>
      <c r="U15" s="44"/>
      <c r="V15" s="45"/>
      <c r="W15" s="44"/>
      <c r="X15" s="39"/>
      <c r="Y15" s="45"/>
      <c r="Z15" s="44"/>
      <c r="AA15" s="45"/>
      <c r="AB15" s="44"/>
      <c r="AC15" s="45"/>
      <c r="AD15" s="44"/>
      <c r="AE15" s="45"/>
      <c r="AF15" s="44"/>
      <c r="AG15" s="45"/>
      <c r="AH15" s="44"/>
      <c r="AI15" s="45"/>
      <c r="AJ15" s="45"/>
      <c r="AK15" s="44"/>
      <c r="AL15" s="39"/>
      <c r="AM15" s="39"/>
      <c r="AN15" s="45"/>
      <c r="AO15" s="44"/>
      <c r="AP15" s="45"/>
      <c r="AQ15" s="45"/>
      <c r="AR15" s="44"/>
      <c r="AS15" s="39"/>
    </row>
    <row r="16" spans="1:45" x14ac:dyDescent="0.2">
      <c r="A16" s="39">
        <v>14</v>
      </c>
      <c r="B16" s="40">
        <f t="shared" si="0"/>
        <v>45761</v>
      </c>
      <c r="C16" s="47">
        <f t="shared" si="1"/>
        <v>45761</v>
      </c>
      <c r="D16" s="41" t="str">
        <f>VLOOKUP($D$1,勤務変更!$C$4:$AH$45,'Time Pro 入力フォーム（管理者用）'!$A16+1,FALSE)</f>
        <v/>
      </c>
      <c r="E16" s="42"/>
      <c r="F16" s="39"/>
      <c r="G16" s="39"/>
      <c r="H16" s="50" t="s">
        <v>36</v>
      </c>
      <c r="I16" s="58" t="str">
        <f t="shared" si="2"/>
        <v>勤務</v>
      </c>
      <c r="J16" s="43" t="s">
        <v>44</v>
      </c>
      <c r="K16" s="43" t="str">
        <f t="shared" si="3"/>
        <v>日勤</v>
      </c>
      <c r="L16" s="82" t="s">
        <v>37</v>
      </c>
      <c r="M16" s="83"/>
      <c r="N16" s="43" t="s">
        <v>44</v>
      </c>
      <c r="O16" s="82" t="s">
        <v>37</v>
      </c>
      <c r="P16" s="83"/>
      <c r="Q16" s="59" t="s">
        <v>44</v>
      </c>
      <c r="R16" s="51"/>
      <c r="S16" s="44"/>
      <c r="T16" s="45"/>
      <c r="U16" s="44"/>
      <c r="V16" s="45"/>
      <c r="W16" s="44"/>
      <c r="X16" s="39"/>
      <c r="Y16" s="45"/>
      <c r="Z16" s="44"/>
      <c r="AA16" s="45"/>
      <c r="AB16" s="44"/>
      <c r="AC16" s="45"/>
      <c r="AD16" s="44"/>
      <c r="AE16" s="45"/>
      <c r="AF16" s="44"/>
      <c r="AG16" s="45"/>
      <c r="AH16" s="44"/>
      <c r="AI16" s="45"/>
      <c r="AJ16" s="45"/>
      <c r="AK16" s="44"/>
      <c r="AL16" s="39"/>
      <c r="AM16" s="39"/>
      <c r="AN16" s="45"/>
      <c r="AO16" s="44"/>
      <c r="AP16" s="45"/>
      <c r="AQ16" s="45"/>
      <c r="AR16" s="44"/>
      <c r="AS16" s="39"/>
    </row>
    <row r="17" spans="1:45" x14ac:dyDescent="0.2">
      <c r="A17" s="39">
        <v>15</v>
      </c>
      <c r="B17" s="40">
        <f t="shared" si="0"/>
        <v>45762</v>
      </c>
      <c r="C17" s="47">
        <f t="shared" si="1"/>
        <v>45762</v>
      </c>
      <c r="D17" s="41" t="str">
        <f>VLOOKUP($D$1,勤務変更!$C$4:$AH$45,'Time Pro 入力フォーム（管理者用）'!$A17+1,FALSE)</f>
        <v/>
      </c>
      <c r="E17" s="42"/>
      <c r="F17" s="39"/>
      <c r="G17" s="39"/>
      <c r="H17" s="50" t="s">
        <v>36</v>
      </c>
      <c r="I17" s="58" t="str">
        <f t="shared" si="2"/>
        <v>勤務</v>
      </c>
      <c r="J17" s="43" t="s">
        <v>44</v>
      </c>
      <c r="K17" s="43" t="str">
        <f t="shared" si="3"/>
        <v>日勤</v>
      </c>
      <c r="L17" s="82" t="s">
        <v>37</v>
      </c>
      <c r="M17" s="83"/>
      <c r="N17" s="43" t="s">
        <v>44</v>
      </c>
      <c r="O17" s="82" t="s">
        <v>37</v>
      </c>
      <c r="P17" s="83"/>
      <c r="Q17" s="59" t="s">
        <v>44</v>
      </c>
      <c r="R17" s="51"/>
      <c r="S17" s="44"/>
      <c r="T17" s="45"/>
      <c r="U17" s="44"/>
      <c r="V17" s="45"/>
      <c r="W17" s="44"/>
      <c r="X17" s="39"/>
      <c r="Y17" s="45"/>
      <c r="Z17" s="44"/>
      <c r="AA17" s="45"/>
      <c r="AB17" s="44"/>
      <c r="AC17" s="45"/>
      <c r="AD17" s="44"/>
      <c r="AE17" s="45"/>
      <c r="AF17" s="44"/>
      <c r="AG17" s="45"/>
      <c r="AH17" s="44"/>
      <c r="AI17" s="45"/>
      <c r="AJ17" s="45"/>
      <c r="AK17" s="44"/>
      <c r="AL17" s="39"/>
      <c r="AM17" s="39"/>
      <c r="AN17" s="45"/>
      <c r="AO17" s="44"/>
      <c r="AP17" s="45"/>
      <c r="AQ17" s="45"/>
      <c r="AR17" s="44"/>
      <c r="AS17" s="39"/>
    </row>
    <row r="18" spans="1:45" x14ac:dyDescent="0.2">
      <c r="A18" s="39">
        <v>16</v>
      </c>
      <c r="B18" s="40">
        <f t="shared" si="0"/>
        <v>45763</v>
      </c>
      <c r="C18" s="47">
        <f t="shared" si="1"/>
        <v>45763</v>
      </c>
      <c r="D18" s="41" t="str">
        <f>VLOOKUP($D$1,勤務変更!$C$4:$AH$45,'Time Pro 入力フォーム（管理者用）'!$A18+1,FALSE)</f>
        <v/>
      </c>
      <c r="E18" s="42"/>
      <c r="F18" s="39"/>
      <c r="G18" s="39"/>
      <c r="H18" s="50" t="s">
        <v>36</v>
      </c>
      <c r="I18" s="58" t="str">
        <f t="shared" si="2"/>
        <v>勤務</v>
      </c>
      <c r="J18" s="43" t="s">
        <v>44</v>
      </c>
      <c r="K18" s="43" t="str">
        <f t="shared" si="3"/>
        <v>日勤</v>
      </c>
      <c r="L18" s="82" t="s">
        <v>37</v>
      </c>
      <c r="M18" s="83"/>
      <c r="N18" s="43" t="s">
        <v>44</v>
      </c>
      <c r="O18" s="82" t="s">
        <v>37</v>
      </c>
      <c r="P18" s="83"/>
      <c r="Q18" s="59" t="s">
        <v>44</v>
      </c>
      <c r="R18" s="51"/>
      <c r="S18" s="44"/>
      <c r="T18" s="45"/>
      <c r="U18" s="44"/>
      <c r="V18" s="45"/>
      <c r="W18" s="44"/>
      <c r="X18" s="39"/>
      <c r="Y18" s="45"/>
      <c r="Z18" s="44"/>
      <c r="AA18" s="45"/>
      <c r="AB18" s="44"/>
      <c r="AC18" s="45"/>
      <c r="AD18" s="44"/>
      <c r="AE18" s="45"/>
      <c r="AF18" s="44"/>
      <c r="AG18" s="45"/>
      <c r="AH18" s="44"/>
      <c r="AI18" s="45"/>
      <c r="AJ18" s="45"/>
      <c r="AK18" s="44"/>
      <c r="AL18" s="39"/>
      <c r="AM18" s="39"/>
      <c r="AN18" s="45"/>
      <c r="AO18" s="44"/>
      <c r="AP18" s="45"/>
      <c r="AQ18" s="45"/>
      <c r="AR18" s="44"/>
      <c r="AS18" s="39"/>
    </row>
    <row r="19" spans="1:45" x14ac:dyDescent="0.2">
      <c r="A19" s="39">
        <v>17</v>
      </c>
      <c r="B19" s="40">
        <f t="shared" si="0"/>
        <v>45764</v>
      </c>
      <c r="C19" s="47">
        <f t="shared" si="1"/>
        <v>45764</v>
      </c>
      <c r="D19" s="41" t="str">
        <f>VLOOKUP($D$1,勤務変更!$C$4:$AH$45,'Time Pro 入力フォーム（管理者用）'!$A19+1,FALSE)</f>
        <v/>
      </c>
      <c r="E19" s="42"/>
      <c r="F19" s="39"/>
      <c r="G19" s="39"/>
      <c r="H19" s="50" t="s">
        <v>36</v>
      </c>
      <c r="I19" s="58" t="str">
        <f t="shared" si="2"/>
        <v>勤務</v>
      </c>
      <c r="J19" s="43" t="s">
        <v>44</v>
      </c>
      <c r="K19" s="43" t="str">
        <f t="shared" si="3"/>
        <v>日勤</v>
      </c>
      <c r="L19" s="82" t="s">
        <v>45</v>
      </c>
      <c r="M19" s="83"/>
      <c r="N19" s="43" t="s">
        <v>44</v>
      </c>
      <c r="O19" s="82" t="s">
        <v>37</v>
      </c>
      <c r="P19" s="83"/>
      <c r="Q19" s="59" t="s">
        <v>44</v>
      </c>
      <c r="R19" s="51"/>
      <c r="S19" s="44"/>
      <c r="T19" s="45"/>
      <c r="U19" s="44"/>
      <c r="V19" s="45"/>
      <c r="W19" s="44"/>
      <c r="X19" s="39"/>
      <c r="Y19" s="45"/>
      <c r="Z19" s="44"/>
      <c r="AA19" s="45"/>
      <c r="AB19" s="44"/>
      <c r="AC19" s="45"/>
      <c r="AD19" s="44"/>
      <c r="AE19" s="45"/>
      <c r="AF19" s="44"/>
      <c r="AG19" s="45"/>
      <c r="AH19" s="44"/>
      <c r="AI19" s="45"/>
      <c r="AJ19" s="45"/>
      <c r="AK19" s="44"/>
      <c r="AL19" s="39"/>
      <c r="AM19" s="39"/>
      <c r="AN19" s="45"/>
      <c r="AO19" s="44"/>
      <c r="AP19" s="45"/>
      <c r="AQ19" s="45"/>
      <c r="AR19" s="44"/>
      <c r="AS19" s="39"/>
    </row>
    <row r="20" spans="1:45" x14ac:dyDescent="0.2">
      <c r="A20" s="39">
        <v>18</v>
      </c>
      <c r="B20" s="40">
        <f t="shared" si="0"/>
        <v>45765</v>
      </c>
      <c r="C20" s="47">
        <f t="shared" si="1"/>
        <v>45765</v>
      </c>
      <c r="D20" s="41" t="str">
        <f>VLOOKUP($D$1,勤務変更!$C$4:$AH$45,'Time Pro 入力フォーム（管理者用）'!$A20+1,FALSE)</f>
        <v/>
      </c>
      <c r="E20" s="42"/>
      <c r="F20" s="39"/>
      <c r="G20" s="39"/>
      <c r="H20" s="50" t="s">
        <v>36</v>
      </c>
      <c r="I20" s="58" t="str">
        <f t="shared" si="2"/>
        <v>勤務</v>
      </c>
      <c r="J20" s="43" t="s">
        <v>44</v>
      </c>
      <c r="K20" s="43" t="str">
        <f t="shared" si="3"/>
        <v>日勤</v>
      </c>
      <c r="L20" s="82" t="s">
        <v>37</v>
      </c>
      <c r="M20" s="83"/>
      <c r="N20" s="43" t="s">
        <v>44</v>
      </c>
      <c r="O20" s="82" t="s">
        <v>37</v>
      </c>
      <c r="P20" s="83"/>
      <c r="Q20" s="59" t="s">
        <v>44</v>
      </c>
      <c r="R20" s="51"/>
      <c r="S20" s="44"/>
      <c r="T20" s="45"/>
      <c r="U20" s="44"/>
      <c r="V20" s="45"/>
      <c r="W20" s="44"/>
      <c r="X20" s="39"/>
      <c r="Y20" s="45"/>
      <c r="Z20" s="44"/>
      <c r="AA20" s="45"/>
      <c r="AB20" s="44"/>
      <c r="AC20" s="45"/>
      <c r="AD20" s="44"/>
      <c r="AE20" s="45"/>
      <c r="AF20" s="44"/>
      <c r="AG20" s="45"/>
      <c r="AH20" s="44"/>
      <c r="AI20" s="45"/>
      <c r="AJ20" s="45"/>
      <c r="AK20" s="44"/>
      <c r="AL20" s="39"/>
      <c r="AM20" s="39"/>
      <c r="AN20" s="45"/>
      <c r="AO20" s="44"/>
      <c r="AP20" s="45"/>
      <c r="AQ20" s="45"/>
      <c r="AR20" s="44"/>
      <c r="AS20" s="39"/>
    </row>
    <row r="21" spans="1:45" x14ac:dyDescent="0.2">
      <c r="A21" s="39">
        <v>19</v>
      </c>
      <c r="B21" s="40">
        <f t="shared" si="0"/>
        <v>45766</v>
      </c>
      <c r="C21" s="47">
        <f t="shared" si="1"/>
        <v>45766</v>
      </c>
      <c r="D21" s="41" t="str">
        <f>VLOOKUP($D$1,勤務変更!$C$4:$AH$45,'Time Pro 入力フォーム（管理者用）'!$A21+1,FALSE)</f>
        <v>○</v>
      </c>
      <c r="E21" s="42"/>
      <c r="F21" s="39"/>
      <c r="G21" s="39"/>
      <c r="H21" s="50" t="s">
        <v>36</v>
      </c>
      <c r="I21" s="58" t="str">
        <f t="shared" si="2"/>
        <v>指定</v>
      </c>
      <c r="J21" s="43" t="s">
        <v>44</v>
      </c>
      <c r="K21" s="43" t="str">
        <f t="shared" si="3"/>
        <v>日勤</v>
      </c>
      <c r="L21" s="82" t="s">
        <v>37</v>
      </c>
      <c r="M21" s="83"/>
      <c r="N21" s="43" t="s">
        <v>44</v>
      </c>
      <c r="O21" s="82" t="s">
        <v>37</v>
      </c>
      <c r="P21" s="83"/>
      <c r="Q21" s="59" t="s">
        <v>44</v>
      </c>
      <c r="R21" s="51"/>
      <c r="S21" s="44"/>
      <c r="T21" s="45"/>
      <c r="U21" s="44"/>
      <c r="V21" s="45"/>
      <c r="W21" s="44"/>
      <c r="X21" s="39"/>
      <c r="Y21" s="45"/>
      <c r="Z21" s="44"/>
      <c r="AA21" s="45"/>
      <c r="AB21" s="44"/>
      <c r="AC21" s="45"/>
      <c r="AD21" s="44"/>
      <c r="AE21" s="45"/>
      <c r="AF21" s="44"/>
      <c r="AG21" s="45"/>
      <c r="AH21" s="44"/>
      <c r="AI21" s="45"/>
      <c r="AJ21" s="45"/>
      <c r="AK21" s="44"/>
      <c r="AL21" s="39"/>
      <c r="AM21" s="39"/>
      <c r="AN21" s="45"/>
      <c r="AO21" s="44"/>
      <c r="AP21" s="45"/>
      <c r="AQ21" s="45"/>
      <c r="AR21" s="44"/>
      <c r="AS21" s="39"/>
    </row>
    <row r="22" spans="1:45" x14ac:dyDescent="0.2">
      <c r="A22" s="39">
        <v>20</v>
      </c>
      <c r="B22" s="40">
        <f t="shared" si="0"/>
        <v>45767</v>
      </c>
      <c r="C22" s="47">
        <f t="shared" si="1"/>
        <v>45767</v>
      </c>
      <c r="D22" s="41" t="str">
        <f>VLOOKUP($D$1,勤務変更!$C$4:$AH$45,'Time Pro 入力フォーム（管理者用）'!$A22+1,FALSE)</f>
        <v>●</v>
      </c>
      <c r="E22" s="42"/>
      <c r="F22" s="39"/>
      <c r="G22" s="39"/>
      <c r="H22" s="50" t="s">
        <v>36</v>
      </c>
      <c r="I22" s="58" t="str">
        <f t="shared" si="2"/>
        <v>休日</v>
      </c>
      <c r="J22" s="43" t="s">
        <v>44</v>
      </c>
      <c r="K22" s="43" t="str">
        <f t="shared" si="3"/>
        <v>日勤</v>
      </c>
      <c r="L22" s="82" t="s">
        <v>37</v>
      </c>
      <c r="M22" s="83"/>
      <c r="N22" s="43" t="s">
        <v>44</v>
      </c>
      <c r="O22" s="82" t="s">
        <v>37</v>
      </c>
      <c r="P22" s="83"/>
      <c r="Q22" s="59" t="s">
        <v>44</v>
      </c>
      <c r="R22" s="51"/>
      <c r="S22" s="44"/>
      <c r="T22" s="45"/>
      <c r="U22" s="44"/>
      <c r="V22" s="45"/>
      <c r="W22" s="44"/>
      <c r="X22" s="39"/>
      <c r="Y22" s="45"/>
      <c r="Z22" s="44"/>
      <c r="AA22" s="45"/>
      <c r="AB22" s="44"/>
      <c r="AC22" s="45"/>
      <c r="AD22" s="44"/>
      <c r="AE22" s="45"/>
      <c r="AF22" s="44"/>
      <c r="AG22" s="45"/>
      <c r="AH22" s="44"/>
      <c r="AI22" s="45"/>
      <c r="AJ22" s="45"/>
      <c r="AK22" s="44"/>
      <c r="AL22" s="39"/>
      <c r="AM22" s="39"/>
      <c r="AN22" s="45"/>
      <c r="AO22" s="44"/>
      <c r="AP22" s="45"/>
      <c r="AQ22" s="45"/>
      <c r="AR22" s="44"/>
      <c r="AS22" s="39"/>
    </row>
    <row r="23" spans="1:45" x14ac:dyDescent="0.2">
      <c r="A23" s="39">
        <v>21</v>
      </c>
      <c r="B23" s="40">
        <f t="shared" si="0"/>
        <v>45768</v>
      </c>
      <c r="C23" s="47">
        <f t="shared" si="1"/>
        <v>45768</v>
      </c>
      <c r="D23" s="41" t="str">
        <f>VLOOKUP($D$1,勤務変更!$C$4:$AH$45,'Time Pro 入力フォーム（管理者用）'!$A23+1,FALSE)</f>
        <v/>
      </c>
      <c r="E23" s="42"/>
      <c r="F23" s="39"/>
      <c r="G23" s="39"/>
      <c r="H23" s="50" t="s">
        <v>36</v>
      </c>
      <c r="I23" s="58" t="str">
        <f t="shared" si="2"/>
        <v>勤務</v>
      </c>
      <c r="J23" s="43" t="s">
        <v>44</v>
      </c>
      <c r="K23" s="43" t="str">
        <f t="shared" si="3"/>
        <v>日勤</v>
      </c>
      <c r="L23" s="82" t="s">
        <v>37</v>
      </c>
      <c r="M23" s="83"/>
      <c r="N23" s="43" t="s">
        <v>44</v>
      </c>
      <c r="O23" s="82" t="s">
        <v>37</v>
      </c>
      <c r="P23" s="83"/>
      <c r="Q23" s="59" t="s">
        <v>44</v>
      </c>
      <c r="R23" s="51"/>
      <c r="S23" s="44"/>
      <c r="T23" s="45"/>
      <c r="U23" s="44"/>
      <c r="V23" s="45"/>
      <c r="W23" s="44"/>
      <c r="X23" s="39"/>
      <c r="Y23" s="45"/>
      <c r="Z23" s="44"/>
      <c r="AA23" s="45"/>
      <c r="AB23" s="44"/>
      <c r="AC23" s="45"/>
      <c r="AD23" s="44"/>
      <c r="AE23" s="45"/>
      <c r="AF23" s="44"/>
      <c r="AG23" s="45"/>
      <c r="AH23" s="44"/>
      <c r="AI23" s="45"/>
      <c r="AJ23" s="45"/>
      <c r="AK23" s="44"/>
      <c r="AL23" s="39"/>
      <c r="AM23" s="39"/>
      <c r="AN23" s="45"/>
      <c r="AO23" s="44"/>
      <c r="AP23" s="45"/>
      <c r="AQ23" s="45"/>
      <c r="AR23" s="44"/>
      <c r="AS23" s="39"/>
    </row>
    <row r="24" spans="1:45" x14ac:dyDescent="0.2">
      <c r="A24" s="39">
        <v>22</v>
      </c>
      <c r="B24" s="40">
        <f t="shared" si="0"/>
        <v>45769</v>
      </c>
      <c r="C24" s="47">
        <f t="shared" si="1"/>
        <v>45769</v>
      </c>
      <c r="D24" s="41" t="str">
        <f>VLOOKUP($D$1,勤務変更!$C$4:$AH$45,'Time Pro 入力フォーム（管理者用）'!$A24+1,FALSE)</f>
        <v/>
      </c>
      <c r="E24" s="42"/>
      <c r="F24" s="39"/>
      <c r="G24" s="39"/>
      <c r="H24" s="50" t="s">
        <v>36</v>
      </c>
      <c r="I24" s="58" t="str">
        <f t="shared" si="2"/>
        <v>勤務</v>
      </c>
      <c r="J24" s="43" t="s">
        <v>44</v>
      </c>
      <c r="K24" s="43" t="str">
        <f t="shared" si="3"/>
        <v>日勤</v>
      </c>
      <c r="L24" s="82" t="s">
        <v>37</v>
      </c>
      <c r="M24" s="83"/>
      <c r="N24" s="43" t="s">
        <v>44</v>
      </c>
      <c r="O24" s="82" t="s">
        <v>37</v>
      </c>
      <c r="P24" s="83"/>
      <c r="Q24" s="59" t="s">
        <v>44</v>
      </c>
      <c r="R24" s="51"/>
      <c r="S24" s="44"/>
      <c r="T24" s="45"/>
      <c r="U24" s="44"/>
      <c r="V24" s="45"/>
      <c r="W24" s="44"/>
      <c r="X24" s="39"/>
      <c r="Y24" s="45"/>
      <c r="Z24" s="44"/>
      <c r="AA24" s="45"/>
      <c r="AB24" s="44"/>
      <c r="AC24" s="45"/>
      <c r="AD24" s="44"/>
      <c r="AE24" s="45"/>
      <c r="AF24" s="44"/>
      <c r="AG24" s="45"/>
      <c r="AH24" s="44"/>
      <c r="AI24" s="45"/>
      <c r="AJ24" s="45"/>
      <c r="AK24" s="44"/>
      <c r="AL24" s="39"/>
      <c r="AM24" s="39"/>
      <c r="AN24" s="45"/>
      <c r="AO24" s="44"/>
      <c r="AP24" s="45"/>
      <c r="AQ24" s="45"/>
      <c r="AR24" s="44"/>
      <c r="AS24" s="39"/>
    </row>
    <row r="25" spans="1:45" x14ac:dyDescent="0.2">
      <c r="A25" s="39">
        <v>23</v>
      </c>
      <c r="B25" s="40">
        <f t="shared" si="0"/>
        <v>45770</v>
      </c>
      <c r="C25" s="47">
        <f t="shared" si="1"/>
        <v>45770</v>
      </c>
      <c r="D25" s="41" t="str">
        <f>VLOOKUP($D$1,勤務変更!$C$4:$AH$45,'Time Pro 入力フォーム（管理者用）'!$A25+1,FALSE)</f>
        <v/>
      </c>
      <c r="E25" s="42"/>
      <c r="F25" s="39"/>
      <c r="G25" s="39"/>
      <c r="H25" s="50" t="s">
        <v>36</v>
      </c>
      <c r="I25" s="58" t="str">
        <f t="shared" si="2"/>
        <v>勤務</v>
      </c>
      <c r="J25" s="43" t="s">
        <v>44</v>
      </c>
      <c r="K25" s="43" t="str">
        <f t="shared" si="3"/>
        <v>日勤</v>
      </c>
      <c r="L25" s="82" t="s">
        <v>37</v>
      </c>
      <c r="M25" s="83"/>
      <c r="N25" s="43" t="s">
        <v>44</v>
      </c>
      <c r="O25" s="82" t="s">
        <v>37</v>
      </c>
      <c r="P25" s="83"/>
      <c r="Q25" s="59" t="s">
        <v>44</v>
      </c>
      <c r="R25" s="51"/>
      <c r="S25" s="44"/>
      <c r="T25" s="45"/>
      <c r="U25" s="44"/>
      <c r="V25" s="45"/>
      <c r="W25" s="44"/>
      <c r="X25" s="39"/>
      <c r="Y25" s="45"/>
      <c r="Z25" s="44"/>
      <c r="AA25" s="45"/>
      <c r="AB25" s="44"/>
      <c r="AC25" s="45"/>
      <c r="AD25" s="44"/>
      <c r="AE25" s="45"/>
      <c r="AF25" s="44"/>
      <c r="AG25" s="45"/>
      <c r="AH25" s="44"/>
      <c r="AI25" s="45"/>
      <c r="AJ25" s="45"/>
      <c r="AK25" s="44"/>
      <c r="AL25" s="39"/>
      <c r="AM25" s="39"/>
      <c r="AN25" s="45"/>
      <c r="AO25" s="44"/>
      <c r="AP25" s="45"/>
      <c r="AQ25" s="45"/>
      <c r="AR25" s="44"/>
      <c r="AS25" s="39"/>
    </row>
    <row r="26" spans="1:45" x14ac:dyDescent="0.2">
      <c r="A26" s="39">
        <v>24</v>
      </c>
      <c r="B26" s="40">
        <f t="shared" si="0"/>
        <v>45771</v>
      </c>
      <c r="C26" s="47">
        <f t="shared" si="1"/>
        <v>45771</v>
      </c>
      <c r="D26" s="41" t="str">
        <f>VLOOKUP($D$1,勤務変更!$C$4:$AH$45,'Time Pro 入力フォーム（管理者用）'!$A26+1,FALSE)</f>
        <v/>
      </c>
      <c r="E26" s="42"/>
      <c r="F26" s="39"/>
      <c r="G26" s="39"/>
      <c r="H26" s="50" t="s">
        <v>36</v>
      </c>
      <c r="I26" s="58" t="str">
        <f t="shared" si="2"/>
        <v>勤務</v>
      </c>
      <c r="J26" s="43" t="s">
        <v>44</v>
      </c>
      <c r="K26" s="43" t="str">
        <f t="shared" si="3"/>
        <v>日勤</v>
      </c>
      <c r="L26" s="82" t="s">
        <v>37</v>
      </c>
      <c r="M26" s="83"/>
      <c r="N26" s="43" t="s">
        <v>44</v>
      </c>
      <c r="O26" s="82" t="s">
        <v>37</v>
      </c>
      <c r="P26" s="83"/>
      <c r="Q26" s="59" t="s">
        <v>44</v>
      </c>
      <c r="R26" s="51"/>
      <c r="S26" s="44"/>
      <c r="T26" s="45"/>
      <c r="U26" s="44"/>
      <c r="V26" s="45"/>
      <c r="W26" s="44"/>
      <c r="X26" s="39"/>
      <c r="Y26" s="45"/>
      <c r="Z26" s="44"/>
      <c r="AA26" s="45"/>
      <c r="AB26" s="44"/>
      <c r="AC26" s="45"/>
      <c r="AD26" s="44"/>
      <c r="AE26" s="45"/>
      <c r="AF26" s="44"/>
      <c r="AG26" s="45"/>
      <c r="AH26" s="44"/>
      <c r="AI26" s="45"/>
      <c r="AJ26" s="45"/>
      <c r="AK26" s="44"/>
      <c r="AL26" s="39"/>
      <c r="AM26" s="39"/>
      <c r="AN26" s="45"/>
      <c r="AO26" s="44"/>
      <c r="AP26" s="45"/>
      <c r="AQ26" s="45"/>
      <c r="AR26" s="44"/>
      <c r="AS26" s="39"/>
    </row>
    <row r="27" spans="1:45" x14ac:dyDescent="0.2">
      <c r="A27" s="39">
        <v>25</v>
      </c>
      <c r="B27" s="40">
        <f t="shared" si="0"/>
        <v>45772</v>
      </c>
      <c r="C27" s="47">
        <f t="shared" si="1"/>
        <v>45772</v>
      </c>
      <c r="D27" s="41" t="str">
        <f>VLOOKUP($D$1,勤務変更!$C$4:$AH$45,'Time Pro 入力フォーム（管理者用）'!$A27+1,FALSE)</f>
        <v/>
      </c>
      <c r="E27" s="42"/>
      <c r="F27" s="39"/>
      <c r="G27" s="39"/>
      <c r="H27" s="50" t="s">
        <v>36</v>
      </c>
      <c r="I27" s="58" t="str">
        <f t="shared" si="2"/>
        <v>勤務</v>
      </c>
      <c r="J27" s="43" t="s">
        <v>44</v>
      </c>
      <c r="K27" s="43" t="str">
        <f t="shared" si="3"/>
        <v>日勤</v>
      </c>
      <c r="L27" s="82" t="s">
        <v>37</v>
      </c>
      <c r="M27" s="83"/>
      <c r="N27" s="43" t="s">
        <v>44</v>
      </c>
      <c r="O27" s="82" t="s">
        <v>37</v>
      </c>
      <c r="P27" s="83"/>
      <c r="Q27" s="59" t="s">
        <v>44</v>
      </c>
      <c r="R27" s="51"/>
      <c r="S27" s="44"/>
      <c r="T27" s="45"/>
      <c r="U27" s="44"/>
      <c r="V27" s="45"/>
      <c r="W27" s="44"/>
      <c r="X27" s="39"/>
      <c r="Y27" s="45"/>
      <c r="Z27" s="44"/>
      <c r="AA27" s="45"/>
      <c r="AB27" s="44"/>
      <c r="AC27" s="45"/>
      <c r="AD27" s="44"/>
      <c r="AE27" s="45"/>
      <c r="AF27" s="44"/>
      <c r="AG27" s="45"/>
      <c r="AH27" s="44"/>
      <c r="AI27" s="45"/>
      <c r="AJ27" s="45"/>
      <c r="AK27" s="44"/>
      <c r="AL27" s="39"/>
      <c r="AM27" s="39"/>
      <c r="AN27" s="45"/>
      <c r="AO27" s="44"/>
      <c r="AP27" s="45"/>
      <c r="AQ27" s="45"/>
      <c r="AR27" s="44"/>
      <c r="AS27" s="39"/>
    </row>
    <row r="28" spans="1:45" x14ac:dyDescent="0.2">
      <c r="A28" s="39">
        <v>26</v>
      </c>
      <c r="B28" s="40">
        <f t="shared" si="0"/>
        <v>45773</v>
      </c>
      <c r="C28" s="47">
        <f t="shared" si="1"/>
        <v>45773</v>
      </c>
      <c r="D28" s="41" t="str">
        <f>VLOOKUP($D$1,勤務変更!$C$4:$AH$45,'Time Pro 入力フォーム（管理者用）'!$A28+1,FALSE)</f>
        <v>○</v>
      </c>
      <c r="E28" s="42"/>
      <c r="F28" s="39"/>
      <c r="G28" s="39"/>
      <c r="H28" s="50" t="s">
        <v>36</v>
      </c>
      <c r="I28" s="58" t="str">
        <f t="shared" si="2"/>
        <v>指定</v>
      </c>
      <c r="J28" s="43" t="s">
        <v>44</v>
      </c>
      <c r="K28" s="43" t="str">
        <f t="shared" si="3"/>
        <v>日勤</v>
      </c>
      <c r="L28" s="82" t="s">
        <v>37</v>
      </c>
      <c r="M28" s="83"/>
      <c r="N28" s="43" t="s">
        <v>44</v>
      </c>
      <c r="O28" s="82" t="s">
        <v>37</v>
      </c>
      <c r="P28" s="83"/>
      <c r="Q28" s="59" t="s">
        <v>44</v>
      </c>
      <c r="R28" s="51"/>
      <c r="S28" s="44"/>
      <c r="T28" s="45"/>
      <c r="U28" s="44"/>
      <c r="V28" s="45"/>
      <c r="W28" s="44"/>
      <c r="X28" s="39"/>
      <c r="Y28" s="45"/>
      <c r="Z28" s="44"/>
      <c r="AA28" s="45"/>
      <c r="AB28" s="44"/>
      <c r="AC28" s="45"/>
      <c r="AD28" s="44"/>
      <c r="AE28" s="45"/>
      <c r="AF28" s="44"/>
      <c r="AG28" s="45"/>
      <c r="AH28" s="44"/>
      <c r="AI28" s="45"/>
      <c r="AJ28" s="45"/>
      <c r="AK28" s="44"/>
      <c r="AL28" s="39"/>
      <c r="AM28" s="39"/>
      <c r="AN28" s="45"/>
      <c r="AO28" s="44"/>
      <c r="AP28" s="45"/>
      <c r="AQ28" s="45"/>
      <c r="AR28" s="44"/>
      <c r="AS28" s="39"/>
    </row>
    <row r="29" spans="1:45" x14ac:dyDescent="0.2">
      <c r="A29" s="39">
        <v>27</v>
      </c>
      <c r="B29" s="40">
        <f t="shared" si="0"/>
        <v>45774</v>
      </c>
      <c r="C29" s="47">
        <f t="shared" si="1"/>
        <v>45774</v>
      </c>
      <c r="D29" s="41" t="str">
        <f>VLOOKUP($D$1,勤務変更!$C$4:$AH$45,'Time Pro 入力フォーム（管理者用）'!$A29+1,FALSE)</f>
        <v>●</v>
      </c>
      <c r="E29" s="42"/>
      <c r="F29" s="39"/>
      <c r="G29" s="39"/>
      <c r="H29" s="50" t="s">
        <v>36</v>
      </c>
      <c r="I29" s="58" t="str">
        <f t="shared" si="2"/>
        <v>休日</v>
      </c>
      <c r="J29" s="43" t="s">
        <v>44</v>
      </c>
      <c r="K29" s="43" t="str">
        <f t="shared" si="3"/>
        <v>日勤</v>
      </c>
      <c r="L29" s="82" t="s">
        <v>37</v>
      </c>
      <c r="M29" s="83"/>
      <c r="N29" s="43" t="s">
        <v>44</v>
      </c>
      <c r="O29" s="82" t="s">
        <v>37</v>
      </c>
      <c r="P29" s="83"/>
      <c r="Q29" s="59" t="s">
        <v>44</v>
      </c>
      <c r="R29" s="51"/>
      <c r="S29" s="44"/>
      <c r="T29" s="45"/>
      <c r="U29" s="44"/>
      <c r="V29" s="45"/>
      <c r="W29" s="44"/>
      <c r="X29" s="39"/>
      <c r="Y29" s="45"/>
      <c r="Z29" s="44"/>
      <c r="AA29" s="45"/>
      <c r="AB29" s="44"/>
      <c r="AC29" s="45"/>
      <c r="AD29" s="44"/>
      <c r="AE29" s="45"/>
      <c r="AF29" s="44"/>
      <c r="AG29" s="45"/>
      <c r="AH29" s="44"/>
      <c r="AI29" s="45"/>
      <c r="AJ29" s="45"/>
      <c r="AK29" s="44"/>
      <c r="AL29" s="39"/>
      <c r="AM29" s="39"/>
      <c r="AN29" s="45"/>
      <c r="AO29" s="44"/>
      <c r="AP29" s="45"/>
      <c r="AQ29" s="45"/>
      <c r="AR29" s="44"/>
      <c r="AS29" s="39"/>
    </row>
    <row r="30" spans="1:45" x14ac:dyDescent="0.2">
      <c r="A30" s="39">
        <v>28</v>
      </c>
      <c r="B30" s="40">
        <f t="shared" si="0"/>
        <v>45775</v>
      </c>
      <c r="C30" s="47">
        <f t="shared" si="1"/>
        <v>45775</v>
      </c>
      <c r="D30" s="41" t="str">
        <f>VLOOKUP($D$1,勤務変更!$C$4:$AH$45,'Time Pro 入力フォーム（管理者用）'!$A30+1,FALSE)</f>
        <v/>
      </c>
      <c r="E30" s="42"/>
      <c r="F30" s="39"/>
      <c r="G30" s="39"/>
      <c r="H30" s="50" t="s">
        <v>36</v>
      </c>
      <c r="I30" s="58" t="str">
        <f t="shared" si="2"/>
        <v>勤務</v>
      </c>
      <c r="J30" s="43" t="s">
        <v>44</v>
      </c>
      <c r="K30" s="43" t="str">
        <f t="shared" si="3"/>
        <v>日勤</v>
      </c>
      <c r="L30" s="82" t="s">
        <v>37</v>
      </c>
      <c r="M30" s="83"/>
      <c r="N30" s="43" t="s">
        <v>44</v>
      </c>
      <c r="O30" s="82" t="s">
        <v>37</v>
      </c>
      <c r="P30" s="83"/>
      <c r="Q30" s="59" t="s">
        <v>44</v>
      </c>
      <c r="R30" s="51"/>
      <c r="S30" s="44"/>
      <c r="T30" s="45"/>
      <c r="U30" s="44"/>
      <c r="V30" s="45"/>
      <c r="W30" s="44"/>
      <c r="X30" s="39"/>
      <c r="Y30" s="45"/>
      <c r="Z30" s="44"/>
      <c r="AA30" s="45"/>
      <c r="AB30" s="44"/>
      <c r="AC30" s="45"/>
      <c r="AD30" s="44"/>
      <c r="AE30" s="45"/>
      <c r="AF30" s="44"/>
      <c r="AG30" s="45"/>
      <c r="AH30" s="44"/>
      <c r="AI30" s="45"/>
      <c r="AJ30" s="45"/>
      <c r="AK30" s="44"/>
      <c r="AL30" s="39"/>
      <c r="AM30" s="39"/>
      <c r="AN30" s="45"/>
      <c r="AO30" s="44"/>
      <c r="AP30" s="45"/>
      <c r="AQ30" s="45"/>
      <c r="AR30" s="44"/>
      <c r="AS30" s="39"/>
    </row>
    <row r="31" spans="1:45" x14ac:dyDescent="0.2">
      <c r="A31" s="39">
        <v>29</v>
      </c>
      <c r="B31" s="40">
        <f t="shared" si="0"/>
        <v>45776</v>
      </c>
      <c r="C31" s="47">
        <f t="shared" si="1"/>
        <v>45776</v>
      </c>
      <c r="D31" s="41" t="str">
        <f>VLOOKUP($D$1,勤務変更!$C$4:$AH$45,'Time Pro 入力フォーム（管理者用）'!$A31+1,FALSE)</f>
        <v/>
      </c>
      <c r="E31" s="42"/>
      <c r="F31" s="39"/>
      <c r="G31" s="39"/>
      <c r="H31" s="50" t="s">
        <v>36</v>
      </c>
      <c r="I31" s="58" t="str">
        <f t="shared" si="2"/>
        <v>勤務</v>
      </c>
      <c r="J31" s="43" t="s">
        <v>44</v>
      </c>
      <c r="K31" s="43" t="str">
        <f t="shared" si="3"/>
        <v>日勤</v>
      </c>
      <c r="L31" s="82" t="s">
        <v>37</v>
      </c>
      <c r="M31" s="83"/>
      <c r="N31" s="43" t="s">
        <v>44</v>
      </c>
      <c r="O31" s="82" t="s">
        <v>37</v>
      </c>
      <c r="P31" s="83"/>
      <c r="Q31" s="59" t="s">
        <v>44</v>
      </c>
      <c r="R31" s="51"/>
      <c r="S31" s="44"/>
      <c r="T31" s="45"/>
      <c r="U31" s="44"/>
      <c r="V31" s="45"/>
      <c r="W31" s="44"/>
      <c r="X31" s="39"/>
      <c r="Y31" s="45"/>
      <c r="Z31" s="44"/>
      <c r="AA31" s="45"/>
      <c r="AB31" s="44"/>
      <c r="AC31" s="45"/>
      <c r="AD31" s="44"/>
      <c r="AE31" s="45"/>
      <c r="AF31" s="44"/>
      <c r="AG31" s="45"/>
      <c r="AH31" s="44"/>
      <c r="AI31" s="45"/>
      <c r="AJ31" s="45"/>
      <c r="AK31" s="44"/>
      <c r="AL31" s="39"/>
      <c r="AM31" s="39"/>
      <c r="AN31" s="45"/>
      <c r="AO31" s="44"/>
      <c r="AP31" s="45"/>
      <c r="AQ31" s="45"/>
      <c r="AR31" s="44"/>
      <c r="AS31" s="39"/>
    </row>
    <row r="32" spans="1:45" x14ac:dyDescent="0.2">
      <c r="A32" s="39">
        <v>30</v>
      </c>
      <c r="B32" s="40">
        <f t="shared" si="0"/>
        <v>45777</v>
      </c>
      <c r="C32" s="47">
        <f t="shared" si="1"/>
        <v>45777</v>
      </c>
      <c r="D32" s="41" t="str">
        <f>VLOOKUP($D$1,勤務変更!$C$4:$AH$45,'Time Pro 入力フォーム（管理者用）'!$A32+1,FALSE)</f>
        <v/>
      </c>
      <c r="E32" s="42"/>
      <c r="F32" s="39"/>
      <c r="G32" s="39"/>
      <c r="H32" s="50" t="s">
        <v>36</v>
      </c>
      <c r="I32" s="58" t="str">
        <f t="shared" si="2"/>
        <v>勤務</v>
      </c>
      <c r="J32" s="43" t="s">
        <v>44</v>
      </c>
      <c r="K32" s="43" t="str">
        <f t="shared" si="3"/>
        <v>日勤</v>
      </c>
      <c r="L32" s="82" t="s">
        <v>37</v>
      </c>
      <c r="M32" s="83"/>
      <c r="N32" s="43" t="s">
        <v>44</v>
      </c>
      <c r="O32" s="82" t="s">
        <v>37</v>
      </c>
      <c r="P32" s="83"/>
      <c r="Q32" s="59" t="s">
        <v>44</v>
      </c>
      <c r="R32" s="51"/>
      <c r="S32" s="44"/>
      <c r="T32" s="45"/>
      <c r="U32" s="44"/>
      <c r="V32" s="45"/>
      <c r="W32" s="44"/>
      <c r="X32" s="39"/>
      <c r="Y32" s="45"/>
      <c r="Z32" s="44"/>
      <c r="AA32" s="45"/>
      <c r="AB32" s="44"/>
      <c r="AC32" s="45"/>
      <c r="AD32" s="44"/>
      <c r="AE32" s="45"/>
      <c r="AF32" s="44"/>
      <c r="AG32" s="45"/>
      <c r="AH32" s="44"/>
      <c r="AI32" s="45"/>
      <c r="AJ32" s="45"/>
      <c r="AK32" s="44"/>
      <c r="AL32" s="39"/>
      <c r="AM32" s="39"/>
      <c r="AN32" s="45"/>
      <c r="AO32" s="44"/>
      <c r="AP32" s="45"/>
      <c r="AQ32" s="45"/>
      <c r="AR32" s="44"/>
      <c r="AS32" s="39"/>
    </row>
    <row r="33" spans="1:45" ht="13.5" thickBot="1" x14ac:dyDescent="0.25">
      <c r="A33" s="39">
        <v>31</v>
      </c>
      <c r="B33" s="40">
        <f t="shared" si="0"/>
        <v>45778</v>
      </c>
      <c r="C33" s="47">
        <f t="shared" si="1"/>
        <v>45778</v>
      </c>
      <c r="D33" s="41" t="str">
        <f>VLOOKUP($D$1,勤務変更!$C$4:$AH$45,'Time Pro 入力フォーム（管理者用）'!$A33+1,FALSE)</f>
        <v/>
      </c>
      <c r="E33" s="42"/>
      <c r="F33" s="39"/>
      <c r="G33" s="39"/>
      <c r="H33" s="50" t="s">
        <v>36</v>
      </c>
      <c r="I33" s="58" t="str">
        <f t="shared" si="2"/>
        <v>勤務</v>
      </c>
      <c r="J33" s="60" t="s">
        <v>44</v>
      </c>
      <c r="K33" s="43" t="str">
        <f t="shared" si="3"/>
        <v>日勤</v>
      </c>
      <c r="L33" s="84" t="s">
        <v>37</v>
      </c>
      <c r="M33" s="84" t="s">
        <v>37</v>
      </c>
      <c r="N33" s="60" t="s">
        <v>44</v>
      </c>
      <c r="O33" s="84" t="s">
        <v>37</v>
      </c>
      <c r="P33" s="84" t="s">
        <v>37</v>
      </c>
      <c r="Q33" s="61" t="s">
        <v>44</v>
      </c>
      <c r="R33" s="51"/>
      <c r="S33" s="44"/>
      <c r="T33" s="45"/>
      <c r="U33" s="45"/>
      <c r="V33" s="45"/>
      <c r="W33" s="45"/>
      <c r="X33" s="39"/>
      <c r="Y33" s="45"/>
      <c r="Z33" s="45"/>
      <c r="AA33" s="45"/>
      <c r="AB33" s="45"/>
      <c r="AC33" s="45"/>
      <c r="AD33" s="45"/>
      <c r="AE33" s="45"/>
      <c r="AF33" s="45"/>
      <c r="AG33" s="45"/>
      <c r="AH33" s="45"/>
      <c r="AI33" s="45"/>
      <c r="AJ33" s="45"/>
      <c r="AK33" s="45"/>
      <c r="AL33" s="39"/>
      <c r="AM33" s="39"/>
      <c r="AN33" s="45"/>
      <c r="AO33" s="45"/>
      <c r="AP33" s="45"/>
      <c r="AQ33" s="45"/>
      <c r="AR33" s="45"/>
      <c r="AS33" s="39"/>
    </row>
    <row r="34" spans="1:45" ht="13.5" thickTop="1" x14ac:dyDescent="0.2"/>
  </sheetData>
  <sheetProtection selectLockedCells="1"/>
  <mergeCells count="3">
    <mergeCell ref="I1:Q1"/>
    <mergeCell ref="E1:H1"/>
    <mergeCell ref="R1:U1"/>
  </mergeCells>
  <phoneticPr fontId="1"/>
  <hyperlinks>
    <hyperlink ref="R1:U1" r:id="rId1" display="TimePro-VG 起動　　　　　" xr:uid="{00000000-0004-0000-0200-000000000000}"/>
  </hyperlink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3</vt:i4>
      </vt:variant>
    </vt:vector>
  </HeadingPairs>
  <TitlesOfParts>
    <vt:vector size="7" baseType="lpstr">
      <vt:lpstr>勤務変更</vt:lpstr>
      <vt:lpstr>deta</vt:lpstr>
      <vt:lpstr>勤務表（参照用）</vt:lpstr>
      <vt:lpstr>Time Pro 入力フォーム（管理者用）</vt:lpstr>
      <vt:lpstr>deta!Print_Area</vt:lpstr>
      <vt:lpstr>'勤務表（参照用）'!Print_Area</vt:lpstr>
      <vt:lpstr>勤務変更!Print_Area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中央放射線部11</dc:creator>
  <cp:lastModifiedBy>公亮 中村</cp:lastModifiedBy>
  <cp:lastPrinted>2022-07-11T08:58:24Z</cp:lastPrinted>
  <dcterms:created xsi:type="dcterms:W3CDTF">2019-10-11T06:42:29Z</dcterms:created>
  <dcterms:modified xsi:type="dcterms:W3CDTF">2025-03-04T07:32:23Z</dcterms:modified>
</cp:coreProperties>
</file>