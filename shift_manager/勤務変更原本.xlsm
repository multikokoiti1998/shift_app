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updateLinks="always" codeName="ThisWorkbook"/>
  <mc:AlternateContent xmlns:mc="http://schemas.openxmlformats.org/markup-compatibility/2006">
    <mc:Choice Requires="x15">
      <x15ac:absPath xmlns:x15ac="http://schemas.microsoft.com/office/spreadsheetml/2010/11/ac" url="C:\Users\user\Desktop\shift_app\shift_manager\"/>
    </mc:Choice>
  </mc:AlternateContent>
  <xr:revisionPtr revIDLastSave="0" documentId="13_ncr:1_{D7C05142-DCBA-404D-8F4B-F77D6EC886A8}" xr6:coauthVersionLast="47" xr6:coauthVersionMax="47" xr10:uidLastSave="{00000000-0000-0000-0000-000000000000}"/>
  <bookViews>
    <workbookView xWindow="-110" yWindow="-110" windowWidth="19420" windowHeight="10300" tabRatio="710" activeTab="2"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4" l="1"/>
  <c r="A1" i="4"/>
  <c r="C2" i="2"/>
  <c r="A2" i="2"/>
  <c r="D2" i="2" l="1"/>
  <c r="E2" i="2"/>
  <c r="E2" i="5" s="1"/>
  <c r="E3" i="5" s="1"/>
  <c r="F2" i="2"/>
  <c r="G2" i="2"/>
  <c r="H2" i="2"/>
  <c r="I2" i="2"/>
  <c r="J2" i="2"/>
  <c r="J2" i="5" s="1"/>
  <c r="J3" i="5" s="1"/>
  <c r="K2" i="2"/>
  <c r="K2" i="5" s="1"/>
  <c r="K3" i="5" s="1"/>
  <c r="L2" i="2"/>
  <c r="M2" i="2"/>
  <c r="M2" i="5" s="1"/>
  <c r="M3" i="5" s="1"/>
  <c r="N2" i="2"/>
  <c r="O2" i="2"/>
  <c r="O2" i="5" s="1"/>
  <c r="O3" i="5" s="1"/>
  <c r="P2" i="2"/>
  <c r="Q2" i="2"/>
  <c r="R2" i="2"/>
  <c r="R2" i="5" s="1"/>
  <c r="R3" i="5" s="1"/>
  <c r="S2" i="2"/>
  <c r="S2" i="5" s="1"/>
  <c r="S3" i="5" s="1"/>
  <c r="T2" i="2"/>
  <c r="U2" i="2"/>
  <c r="V2" i="2"/>
  <c r="W2" i="2"/>
  <c r="W2" i="5" s="1"/>
  <c r="W3" i="5" s="1"/>
  <c r="X2" i="2"/>
  <c r="Y2" i="2"/>
  <c r="Y2" i="5" s="1"/>
  <c r="Y3" i="5" s="1"/>
  <c r="Z2" i="2"/>
  <c r="Z2" i="5" s="1"/>
  <c r="Z3" i="5" s="1"/>
  <c r="AA2" i="2"/>
  <c r="AA2" i="5" s="1"/>
  <c r="AA3" i="5" s="1"/>
  <c r="AB2" i="2"/>
  <c r="AC2" i="2"/>
  <c r="AC2" i="5" s="1"/>
  <c r="AC3" i="5" s="1"/>
  <c r="AD2" i="2"/>
  <c r="AE2" i="2"/>
  <c r="AF2" i="2"/>
  <c r="AG2" i="2"/>
  <c r="AG2" i="5" s="1"/>
  <c r="AG3" i="5" s="1"/>
  <c r="AH2" i="2"/>
  <c r="AH2" i="5" s="1"/>
  <c r="AH3" i="5" s="1"/>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N43" i="2"/>
  <c r="N43" i="3" s="1"/>
  <c r="A44" i="2"/>
  <c r="N44" i="2"/>
  <c r="N44" i="3" s="1"/>
  <c r="A45" i="2"/>
  <c r="N45" i="2"/>
  <c r="A46" i="2"/>
  <c r="N46" i="2"/>
  <c r="N44" i="5"/>
  <c r="N43" i="5"/>
  <c r="AO5" i="5"/>
  <c r="AI4" i="5"/>
  <c r="C3" i="5"/>
  <c r="F2" i="5"/>
  <c r="F3" i="5" s="1"/>
  <c r="G2" i="5"/>
  <c r="G3" i="5" s="1"/>
  <c r="H2" i="5"/>
  <c r="H3" i="5" s="1"/>
  <c r="I2" i="5"/>
  <c r="I3" i="5" s="1"/>
  <c r="L2" i="5"/>
  <c r="L3" i="5" s="1"/>
  <c r="N2" i="5"/>
  <c r="N3" i="5" s="1"/>
  <c r="P2" i="5"/>
  <c r="P3" i="5" s="1"/>
  <c r="Q2" i="5"/>
  <c r="Q3" i="5" s="1"/>
  <c r="T2" i="5"/>
  <c r="T3" i="5" s="1"/>
  <c r="U2" i="5"/>
  <c r="U3" i="5" s="1"/>
  <c r="V2" i="5"/>
  <c r="V3" i="5" s="1"/>
  <c r="X2" i="5"/>
  <c r="X3" i="5" s="1"/>
  <c r="AB2" i="5"/>
  <c r="AB3" i="5" s="1"/>
  <c r="AD2" i="5"/>
  <c r="AD3" i="5" s="1"/>
  <c r="AE2" i="5"/>
  <c r="AE3" i="5" s="1"/>
  <c r="AF2" i="5"/>
  <c r="AF3" i="5" s="1"/>
  <c r="D2" i="5"/>
  <c r="D3" i="5" s="1"/>
  <c r="AI4" i="3" l="1"/>
  <c r="N45" i="5" l="1"/>
  <c r="N45" i="3"/>
  <c r="N46" i="5"/>
  <c r="N46" i="3"/>
  <c r="BQ47" i="2" l="1"/>
  <c r="BQ48" i="2"/>
  <c r="BQ49" i="2"/>
  <c r="BQ50" i="2"/>
  <c r="BQ51" i="2"/>
  <c r="BQ52" i="2"/>
  <c r="BQ53" i="2"/>
  <c r="BQ54" i="2"/>
  <c r="AO5" i="3" l="1"/>
  <c r="BR47" i="2"/>
  <c r="C3" i="3" l="1"/>
  <c r="AJ3" i="2" l="1"/>
  <c r="AK3" i="2" l="1"/>
  <c r="AL3" i="2" l="1"/>
  <c r="AM3" i="2" l="1"/>
  <c r="AN3" i="2" l="1"/>
  <c r="AO3" i="2" l="1"/>
  <c r="AP3" i="2" l="1"/>
  <c r="AQ3" i="2" l="1"/>
  <c r="AR3" i="2" l="1"/>
  <c r="AS3" i="2" l="1"/>
  <c r="AT3" i="2" l="1"/>
  <c r="AU3" i="2" l="1"/>
  <c r="AV3" i="2" l="1"/>
  <c r="AW3" i="2" l="1"/>
  <c r="AX3" i="2" l="1"/>
  <c r="AY3" i="2" l="1"/>
  <c r="AZ3" i="2" l="1"/>
  <c r="BA3" i="2" l="1"/>
  <c r="BB3" i="2" l="1"/>
  <c r="BC3" i="2" l="1"/>
  <c r="BD3" i="2" l="1"/>
  <c r="BE3" i="2" l="1"/>
  <c r="BF3" i="2" l="1"/>
  <c r="BG3" i="2" l="1"/>
  <c r="BH3" i="2" l="1"/>
  <c r="BI3" i="2" l="1"/>
  <c r="BJ3" i="2" l="1"/>
  <c r="BK3" i="2" l="1"/>
  <c r="BL3" i="2" l="1"/>
  <c r="BN3" i="2" l="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T46" i="2" l="1"/>
  <c r="C47" i="3" l="1"/>
  <c r="C47" i="5"/>
  <c r="AT45" i="2"/>
  <c r="C48" i="3" l="1"/>
  <c r="C48" i="5"/>
  <c r="C49" i="3" l="1"/>
  <c r="C49" i="5"/>
  <c r="C50" i="3" l="1"/>
  <c r="C50" i="5"/>
  <c r="C51" i="3" l="1"/>
  <c r="C51" i="5"/>
  <c r="AT43" i="2" l="1"/>
  <c r="AT44" i="2" l="1"/>
  <c r="D2" i="3" l="1"/>
  <c r="D3" i="3" s="1"/>
  <c r="C2" i="3" l="1"/>
  <c r="C2" i="5"/>
  <c r="D49" i="3"/>
  <c r="D49" i="5"/>
  <c r="D50" i="3"/>
  <c r="D50" i="5"/>
  <c r="D51" i="3"/>
  <c r="D51" i="5"/>
  <c r="D47" i="3"/>
  <c r="D47" i="5"/>
  <c r="D48" i="3"/>
  <c r="D48" i="5"/>
  <c r="E2" i="3"/>
  <c r="E3" i="3" s="1"/>
  <c r="E50" i="3" l="1"/>
  <c r="E50" i="5"/>
  <c r="E49" i="3"/>
  <c r="E49" i="5"/>
  <c r="E51" i="3"/>
  <c r="E51" i="5"/>
  <c r="E48" i="3"/>
  <c r="E48" i="5"/>
  <c r="E47" i="3"/>
  <c r="E47" i="5"/>
  <c r="F2" i="3"/>
  <c r="F3" i="3" s="1"/>
  <c r="F49" i="3" l="1"/>
  <c r="F49" i="5"/>
  <c r="F51" i="3"/>
  <c r="F51" i="5"/>
  <c r="F48" i="3"/>
  <c r="F48" i="5"/>
  <c r="F47" i="3"/>
  <c r="F47" i="5"/>
  <c r="F50" i="3"/>
  <c r="F50" i="5"/>
  <c r="G2" i="3"/>
  <c r="G3" i="3" s="1"/>
  <c r="G50" i="3" l="1"/>
  <c r="G50" i="5"/>
  <c r="G48" i="3"/>
  <c r="G48" i="5"/>
  <c r="G51" i="3"/>
  <c r="G51" i="5"/>
  <c r="G47" i="3"/>
  <c r="G47" i="5"/>
  <c r="G49" i="3"/>
  <c r="G49" i="5"/>
  <c r="H2" i="3"/>
  <c r="H3" i="3" s="1"/>
  <c r="H50" i="3" l="1"/>
  <c r="H50" i="5"/>
  <c r="H48" i="3"/>
  <c r="H48" i="5"/>
  <c r="H51" i="3"/>
  <c r="H51" i="5"/>
  <c r="H49" i="3"/>
  <c r="H49" i="5"/>
  <c r="H47" i="3"/>
  <c r="H47" i="5"/>
  <c r="I2" i="3"/>
  <c r="I3" i="3" s="1"/>
  <c r="I47" i="3" l="1"/>
  <c r="I47" i="5"/>
  <c r="I50" i="3"/>
  <c r="I50" i="5"/>
  <c r="I49" i="3"/>
  <c r="I49" i="5"/>
  <c r="I51" i="3"/>
  <c r="I51" i="5"/>
  <c r="I48" i="3"/>
  <c r="I48" i="5"/>
  <c r="J2" i="3"/>
  <c r="J3" i="3" s="1"/>
  <c r="J51" i="3" l="1"/>
  <c r="J51" i="5"/>
  <c r="J50" i="3"/>
  <c r="J50" i="5"/>
  <c r="J47" i="3"/>
  <c r="J47" i="5"/>
  <c r="J49" i="3"/>
  <c r="J49" i="5"/>
  <c r="J48" i="3"/>
  <c r="J48" i="5"/>
  <c r="K2" i="3"/>
  <c r="K3" i="3" s="1"/>
  <c r="K47" i="3" l="1"/>
  <c r="K47" i="5"/>
  <c r="K48" i="3"/>
  <c r="K48" i="5"/>
  <c r="K50" i="3"/>
  <c r="K50" i="5"/>
  <c r="K49" i="3"/>
  <c r="K49" i="5"/>
  <c r="K51" i="3"/>
  <c r="K51" i="5"/>
  <c r="L2" i="3"/>
  <c r="L3" i="3" s="1"/>
  <c r="L49" i="3" l="1"/>
  <c r="L49" i="5"/>
  <c r="L48" i="3"/>
  <c r="L48" i="5"/>
  <c r="L47" i="3"/>
  <c r="L47" i="5"/>
  <c r="L50" i="3"/>
  <c r="L50" i="5"/>
  <c r="L51" i="3"/>
  <c r="L51" i="5"/>
  <c r="M2" i="3"/>
  <c r="M3" i="3" s="1"/>
  <c r="M50" i="3" l="1"/>
  <c r="M50" i="5"/>
  <c r="M49" i="3"/>
  <c r="M49" i="5"/>
  <c r="M47" i="3"/>
  <c r="M47" i="5"/>
  <c r="M48" i="3"/>
  <c r="M48" i="5"/>
  <c r="M51" i="3"/>
  <c r="M51" i="5"/>
  <c r="N2" i="3"/>
  <c r="N3" i="3" s="1"/>
  <c r="N49" i="3" l="1"/>
  <c r="N49" i="5"/>
  <c r="N50" i="3"/>
  <c r="N50" i="5"/>
  <c r="N48" i="3"/>
  <c r="N48" i="5"/>
  <c r="N47" i="3"/>
  <c r="N47" i="5"/>
  <c r="N51" i="3"/>
  <c r="N51" i="5"/>
  <c r="O2" i="3"/>
  <c r="O3" i="3" s="1"/>
  <c r="O49" i="3" l="1"/>
  <c r="O49" i="5"/>
  <c r="O51" i="3"/>
  <c r="O51" i="5"/>
  <c r="O48" i="3"/>
  <c r="O48" i="5"/>
  <c r="O47" i="3"/>
  <c r="O47" i="5"/>
  <c r="O50" i="3"/>
  <c r="O50" i="5"/>
  <c r="P2" i="3"/>
  <c r="P3" i="3" s="1"/>
  <c r="P47" i="3" l="1"/>
  <c r="P47" i="5"/>
  <c r="P49" i="3"/>
  <c r="P49" i="5"/>
  <c r="P51" i="3"/>
  <c r="P51" i="5"/>
  <c r="P48" i="3"/>
  <c r="P48" i="5"/>
  <c r="P50" i="3"/>
  <c r="P50" i="5"/>
  <c r="Q2" i="3"/>
  <c r="Q3" i="3" s="1"/>
  <c r="Q48" i="3" l="1"/>
  <c r="Q48" i="5"/>
  <c r="Q47" i="3"/>
  <c r="Q47" i="5"/>
  <c r="Q51" i="3"/>
  <c r="Q51" i="5"/>
  <c r="Q50" i="3"/>
  <c r="Q50" i="5"/>
  <c r="Q49" i="3"/>
  <c r="Q49" i="5"/>
  <c r="R2" i="3"/>
  <c r="R3" i="3" s="1"/>
  <c r="R50" i="3" l="1"/>
  <c r="R50" i="5"/>
  <c r="R48" i="3"/>
  <c r="R48" i="5"/>
  <c r="R47" i="3"/>
  <c r="R47" i="5"/>
  <c r="R51" i="3"/>
  <c r="R51" i="5"/>
  <c r="R49" i="3"/>
  <c r="R49" i="5"/>
  <c r="S2" i="3"/>
  <c r="S3" i="3" s="1"/>
  <c r="S47" i="3" l="1"/>
  <c r="S47" i="5"/>
  <c r="S49" i="3"/>
  <c r="S49" i="5"/>
  <c r="S50" i="3"/>
  <c r="S50" i="5"/>
  <c r="S48" i="3"/>
  <c r="S48" i="5"/>
  <c r="S51" i="3"/>
  <c r="S51" i="5"/>
  <c r="T2" i="3"/>
  <c r="T3" i="3" s="1"/>
  <c r="T50" i="3" l="1"/>
  <c r="T50" i="5"/>
  <c r="T47" i="3"/>
  <c r="T47" i="5"/>
  <c r="T51" i="3"/>
  <c r="T51" i="5"/>
  <c r="T48" i="3"/>
  <c r="T48" i="5"/>
  <c r="T49" i="3"/>
  <c r="T49" i="5"/>
  <c r="U2" i="3"/>
  <c r="U3" i="3" s="1"/>
  <c r="U48" i="3" l="1"/>
  <c r="U48" i="5"/>
  <c r="U47" i="3"/>
  <c r="U47" i="5"/>
  <c r="U49" i="3"/>
  <c r="U49" i="5"/>
  <c r="U50" i="3"/>
  <c r="U50" i="5"/>
  <c r="U51" i="3"/>
  <c r="U51" i="5"/>
  <c r="V2" i="3"/>
  <c r="V3" i="3" s="1"/>
  <c r="V49" i="3" l="1"/>
  <c r="V49" i="5"/>
  <c r="V48" i="3"/>
  <c r="V48" i="5"/>
  <c r="V50" i="3"/>
  <c r="V50" i="5"/>
  <c r="V51" i="3"/>
  <c r="V51" i="5"/>
  <c r="V47" i="3"/>
  <c r="V47" i="5"/>
  <c r="W2" i="3"/>
  <c r="W3" i="3" s="1"/>
  <c r="W48" i="3" l="1"/>
  <c r="W48" i="5"/>
  <c r="W47" i="3"/>
  <c r="W47" i="5"/>
  <c r="W50" i="3"/>
  <c r="W50" i="5"/>
  <c r="W51" i="3"/>
  <c r="W51" i="5"/>
  <c r="W49" i="3"/>
  <c r="W49" i="5"/>
  <c r="X2" i="3"/>
  <c r="X3" i="3" s="1"/>
  <c r="X51" i="3" l="1"/>
  <c r="X51" i="5"/>
  <c r="X49" i="3"/>
  <c r="X49" i="5"/>
  <c r="X47" i="3"/>
  <c r="X47" i="5"/>
  <c r="X48" i="3"/>
  <c r="X48" i="5"/>
  <c r="X50" i="3"/>
  <c r="X50" i="5"/>
  <c r="Y2" i="3"/>
  <c r="Y3" i="3" s="1"/>
  <c r="Y47" i="3" l="1"/>
  <c r="Y47" i="5"/>
  <c r="Y51" i="3"/>
  <c r="Y51" i="5"/>
  <c r="Y49" i="3"/>
  <c r="Y49" i="5"/>
  <c r="Y48" i="3"/>
  <c r="Y48" i="5"/>
  <c r="Y50" i="3"/>
  <c r="Y50" i="5"/>
  <c r="Z2" i="3"/>
  <c r="Z3" i="3" s="1"/>
  <c r="Z49" i="3" l="1"/>
  <c r="Z49" i="5"/>
  <c r="Z51" i="3"/>
  <c r="Z51" i="5"/>
  <c r="Z50" i="3"/>
  <c r="Z50" i="5"/>
  <c r="Z47" i="3"/>
  <c r="Z47" i="5"/>
  <c r="Z48" i="3"/>
  <c r="Z48" i="5"/>
  <c r="AA2" i="3"/>
  <c r="AA3" i="3" s="1"/>
  <c r="AA48" i="3" l="1"/>
  <c r="AA48" i="5"/>
  <c r="AA49" i="3"/>
  <c r="AA49" i="5"/>
  <c r="AA50" i="3"/>
  <c r="AA50" i="5"/>
  <c r="AA51" i="3"/>
  <c r="AA51" i="5"/>
  <c r="AA47" i="3"/>
  <c r="AA47" i="5"/>
  <c r="AB2" i="3"/>
  <c r="AB3" i="3" s="1"/>
  <c r="AB49" i="3" l="1"/>
  <c r="AB49" i="5"/>
  <c r="AB51" i="3"/>
  <c r="AB51" i="5"/>
  <c r="AB47" i="3"/>
  <c r="AB47" i="5"/>
  <c r="AB50" i="3"/>
  <c r="AB50" i="5"/>
  <c r="AB48" i="3"/>
  <c r="AB48" i="5"/>
  <c r="AC2" i="3"/>
  <c r="AC3" i="3" s="1"/>
  <c r="AC50" i="3" l="1"/>
  <c r="AC50" i="5"/>
  <c r="AC47" i="3"/>
  <c r="AC47" i="5"/>
  <c r="AC48" i="3"/>
  <c r="AC48" i="5"/>
  <c r="AC51" i="3"/>
  <c r="AC51" i="5"/>
  <c r="AC49" i="3"/>
  <c r="AC49" i="5"/>
  <c r="AD2" i="3"/>
  <c r="AD3" i="3" s="1"/>
  <c r="AD50" i="3" l="1"/>
  <c r="AD50" i="5"/>
  <c r="AD48" i="3"/>
  <c r="AD48" i="5"/>
  <c r="AD47" i="3"/>
  <c r="AD47" i="5"/>
  <c r="AD51" i="3"/>
  <c r="AD51" i="5"/>
  <c r="AD49" i="3"/>
  <c r="AD49" i="5"/>
  <c r="AE2" i="3"/>
  <c r="AE3" i="3" s="1"/>
  <c r="AE47" i="3" l="1"/>
  <c r="AE47" i="5"/>
  <c r="AE51" i="3"/>
  <c r="AE51" i="5"/>
  <c r="AE49" i="3"/>
  <c r="AE49" i="5"/>
  <c r="AE50" i="3"/>
  <c r="AE50" i="5"/>
  <c r="AE48" i="3"/>
  <c r="AE48" i="5"/>
  <c r="AF2" i="3"/>
  <c r="AF3" i="3" s="1"/>
  <c r="AF47" i="3" l="1"/>
  <c r="AF47" i="5"/>
  <c r="AF49" i="3"/>
  <c r="AF49" i="5"/>
  <c r="AF48" i="3"/>
  <c r="AF48" i="5"/>
  <c r="AF51" i="3"/>
  <c r="AF51" i="5"/>
  <c r="AF50" i="3"/>
  <c r="AF50" i="5"/>
  <c r="AG2" i="3"/>
  <c r="AG3" i="3" s="1"/>
  <c r="AG48" i="3" l="1"/>
  <c r="AG48" i="5"/>
  <c r="AG49" i="3"/>
  <c r="AG49" i="5"/>
  <c r="AG50" i="3"/>
  <c r="AG50" i="5"/>
  <c r="AG47" i="3"/>
  <c r="AG47" i="5"/>
  <c r="AG51" i="3"/>
  <c r="AG51" i="5"/>
  <c r="AH2" i="3"/>
  <c r="AH3" i="3" s="1"/>
  <c r="AH49" i="3" l="1"/>
  <c r="AH49" i="5"/>
  <c r="AH51" i="3"/>
  <c r="AH51" i="5"/>
  <c r="AH47" i="3"/>
  <c r="AH47" i="5"/>
  <c r="AH50" i="3"/>
  <c r="AH50" i="5"/>
  <c r="AH48" i="3"/>
  <c r="AH48" i="5"/>
  <c r="C4" i="2" l="1"/>
  <c r="B4" i="2"/>
  <c r="C4" i="5" l="1"/>
  <c r="C4" i="3"/>
  <c r="F4" i="2"/>
  <c r="G4" i="2"/>
  <c r="E4" i="2"/>
  <c r="D4" i="2"/>
  <c r="C5" i="2"/>
  <c r="B5" i="2"/>
  <c r="E4" i="3" l="1"/>
  <c r="AK4" i="2" s="1"/>
  <c r="E4" i="5"/>
  <c r="G4" i="3"/>
  <c r="AM4" i="2" s="1"/>
  <c r="G4" i="5"/>
  <c r="F4" i="5"/>
  <c r="F4" i="3"/>
  <c r="AL4" i="2" s="1"/>
  <c r="C5" i="5"/>
  <c r="C5" i="3"/>
  <c r="D4" i="5"/>
  <c r="AJ4" i="2"/>
  <c r="G5" i="2"/>
  <c r="H5" i="2"/>
  <c r="D5" i="2"/>
  <c r="F5" i="2"/>
  <c r="E5" i="2"/>
  <c r="C6" i="2"/>
  <c r="B6" i="2"/>
  <c r="E5" i="5" l="1"/>
  <c r="E5" i="3"/>
  <c r="AK5" i="2" s="1"/>
  <c r="F5" i="3"/>
  <c r="AL5" i="2" s="1"/>
  <c r="F5" i="5"/>
  <c r="D5" i="5"/>
  <c r="AJ5" i="2"/>
  <c r="H5" i="3"/>
  <c r="AN5" i="2" s="1"/>
  <c r="H5" i="5"/>
  <c r="C6" i="5"/>
  <c r="C6" i="3"/>
  <c r="G5" i="3"/>
  <c r="G5" i="5"/>
  <c r="H4" i="2"/>
  <c r="I4" i="2"/>
  <c r="H6" i="2"/>
  <c r="D6" i="2"/>
  <c r="I6" i="2"/>
  <c r="G6" i="2"/>
  <c r="F6" i="2"/>
  <c r="E6" i="2"/>
  <c r="I5" i="2"/>
  <c r="B7" i="2"/>
  <c r="C7" i="2"/>
  <c r="J4" i="2"/>
  <c r="E6" i="3" l="1"/>
  <c r="AK6" i="2" s="1"/>
  <c r="E6" i="5"/>
  <c r="C7" i="5"/>
  <c r="C7" i="3"/>
  <c r="F6" i="5"/>
  <c r="F6" i="3"/>
  <c r="AL6" i="2" s="1"/>
  <c r="H4" i="5"/>
  <c r="H4" i="3"/>
  <c r="AN4" i="2" s="1"/>
  <c r="AM5" i="2"/>
  <c r="I5" i="3"/>
  <c r="AO5" i="2" s="1"/>
  <c r="I5" i="5"/>
  <c r="G6" i="5"/>
  <c r="G6" i="3"/>
  <c r="AM6" i="2" s="1"/>
  <c r="J4" i="5"/>
  <c r="J4" i="3"/>
  <c r="AP4" i="2" s="1"/>
  <c r="I6" i="5"/>
  <c r="I6" i="3"/>
  <c r="AO6" i="2" s="1"/>
  <c r="D6" i="5"/>
  <c r="D6" i="3"/>
  <c r="AJ6" i="2" s="1"/>
  <c r="H6" i="5"/>
  <c r="H6" i="3"/>
  <c r="AN6" i="2" s="1"/>
  <c r="I4" i="3"/>
  <c r="I4" i="5"/>
  <c r="J7" i="2"/>
  <c r="J6" i="2"/>
  <c r="I7" i="2"/>
  <c r="E7" i="2"/>
  <c r="G7" i="2"/>
  <c r="F7" i="2"/>
  <c r="H7" i="2"/>
  <c r="D7" i="2"/>
  <c r="J5" i="2"/>
  <c r="C8" i="2"/>
  <c r="I7" i="3" l="1"/>
  <c r="I7" i="5"/>
  <c r="E7" i="3"/>
  <c r="E7" i="5"/>
  <c r="J8" i="2"/>
  <c r="B8" i="2"/>
  <c r="J6" i="5"/>
  <c r="J6" i="3"/>
  <c r="AP6" i="2" s="1"/>
  <c r="J7" i="3"/>
  <c r="AP7" i="2" s="1"/>
  <c r="J7" i="5"/>
  <c r="C8" i="5"/>
  <c r="C8" i="3"/>
  <c r="J5" i="3"/>
  <c r="AP5" i="2" s="1"/>
  <c r="J5" i="5"/>
  <c r="D7" i="5"/>
  <c r="D7" i="3"/>
  <c r="AJ7" i="2" s="1"/>
  <c r="H7" i="5"/>
  <c r="H7" i="3"/>
  <c r="F7" i="3"/>
  <c r="AL7" i="2" s="1"/>
  <c r="F7" i="5"/>
  <c r="AO4" i="2"/>
  <c r="G7" i="3"/>
  <c r="AM7" i="2" s="1"/>
  <c r="G7" i="5"/>
  <c r="F8" i="2"/>
  <c r="H8" i="2"/>
  <c r="G8" i="2"/>
  <c r="I8" i="2"/>
  <c r="E8" i="2"/>
  <c r="D8" i="2"/>
  <c r="K8" i="2"/>
  <c r="K4" i="2"/>
  <c r="K5" i="2"/>
  <c r="K6" i="2"/>
  <c r="K7" i="2"/>
  <c r="C9" i="2"/>
  <c r="B9" i="2"/>
  <c r="K5" i="3" l="1"/>
  <c r="AQ5" i="2" s="1"/>
  <c r="K5" i="5"/>
  <c r="F8" i="3"/>
  <c r="AL8" i="2" s="1"/>
  <c r="F8" i="5"/>
  <c r="J8" i="3"/>
  <c r="AP8" i="2" s="1"/>
  <c r="J8" i="5"/>
  <c r="AO7" i="2"/>
  <c r="H8" i="3"/>
  <c r="AN8" i="2" s="1"/>
  <c r="H8" i="5"/>
  <c r="K4" i="3"/>
  <c r="AQ4" i="2" s="1"/>
  <c r="K4" i="5"/>
  <c r="K6" i="3"/>
  <c r="AQ6" i="2" s="1"/>
  <c r="K6" i="5"/>
  <c r="K8" i="3"/>
  <c r="AQ8" i="2" s="1"/>
  <c r="K8" i="5"/>
  <c r="D8" i="5"/>
  <c r="AJ8" i="2"/>
  <c r="C9" i="5"/>
  <c r="C9" i="3"/>
  <c r="E8" i="5"/>
  <c r="E8" i="3"/>
  <c r="AK8" i="2" s="1"/>
  <c r="I8" i="3"/>
  <c r="AO8" i="2" s="1"/>
  <c r="I8" i="5"/>
  <c r="AK7" i="2"/>
  <c r="K7" i="5"/>
  <c r="K7" i="3"/>
  <c r="AQ7" i="2" s="1"/>
  <c r="G8" i="3"/>
  <c r="AM8" i="2" s="1"/>
  <c r="G8" i="5"/>
  <c r="AN7" i="2"/>
  <c r="L8" i="2"/>
  <c r="L4" i="2"/>
  <c r="L5" i="2"/>
  <c r="L6" i="2"/>
  <c r="L7" i="2"/>
  <c r="G9" i="2"/>
  <c r="E9" i="2"/>
  <c r="L9" i="2"/>
  <c r="F9" i="2"/>
  <c r="I9" i="2"/>
  <c r="D9" i="2"/>
  <c r="B10" i="2"/>
  <c r="C10" i="2"/>
  <c r="C10" i="5" l="1"/>
  <c r="C10" i="3"/>
  <c r="D9" i="5"/>
  <c r="D9" i="3"/>
  <c r="AJ9" i="2" s="1"/>
  <c r="I9" i="3"/>
  <c r="AO9" i="2" s="1"/>
  <c r="I9" i="5"/>
  <c r="L7" i="3"/>
  <c r="AR7" i="2" s="1"/>
  <c r="L7" i="5"/>
  <c r="F9" i="3"/>
  <c r="AL9" i="2" s="1"/>
  <c r="F9" i="5"/>
  <c r="L6" i="3"/>
  <c r="AR6" i="2" s="1"/>
  <c r="L6" i="5"/>
  <c r="J9" i="2"/>
  <c r="L5" i="3"/>
  <c r="AR5" i="2" s="1"/>
  <c r="L5" i="5"/>
  <c r="H9" i="2"/>
  <c r="L4" i="5"/>
  <c r="L4" i="3"/>
  <c r="AR4" i="2" s="1"/>
  <c r="K9" i="2"/>
  <c r="L9" i="5"/>
  <c r="L9" i="3"/>
  <c r="AR9" i="2" s="1"/>
  <c r="L8" i="5"/>
  <c r="L8" i="3"/>
  <c r="AR8" i="2" s="1"/>
  <c r="E9" i="3"/>
  <c r="AK9" i="2" s="1"/>
  <c r="E9" i="5"/>
  <c r="G9" i="3"/>
  <c r="AM9" i="2" s="1"/>
  <c r="G9" i="5"/>
  <c r="L10" i="2"/>
  <c r="H10" i="2"/>
  <c r="D10" i="2"/>
  <c r="F10" i="2"/>
  <c r="I10" i="2"/>
  <c r="K10" i="2"/>
  <c r="G10" i="2"/>
  <c r="J10" i="2"/>
  <c r="M10" i="2"/>
  <c r="E10" i="2"/>
  <c r="M4" i="2"/>
  <c r="M5" i="2"/>
  <c r="M6" i="2"/>
  <c r="M7" i="2"/>
  <c r="M8" i="2"/>
  <c r="M9" i="2"/>
  <c r="C11" i="2"/>
  <c r="B11" i="2"/>
  <c r="C11" i="5" l="1"/>
  <c r="C11" i="3"/>
  <c r="L10" i="3"/>
  <c r="AR10" i="2" s="1"/>
  <c r="L10" i="5"/>
  <c r="M9" i="5"/>
  <c r="M9" i="3"/>
  <c r="AS9" i="2" s="1"/>
  <c r="J10" i="3"/>
  <c r="AP10" i="2" s="1"/>
  <c r="J10" i="5"/>
  <c r="K9" i="3"/>
  <c r="AQ9" i="2" s="1"/>
  <c r="K9" i="5"/>
  <c r="G10" i="3"/>
  <c r="AM10" i="2" s="1"/>
  <c r="G10" i="5"/>
  <c r="M10" i="5"/>
  <c r="M10" i="3"/>
  <c r="AS10" i="2" s="1"/>
  <c r="M8" i="3"/>
  <c r="AS8" i="2" s="1"/>
  <c r="M8" i="5"/>
  <c r="M7" i="3"/>
  <c r="AS7" i="2" s="1"/>
  <c r="M7" i="5"/>
  <c r="K10" i="3"/>
  <c r="AQ10" i="2" s="1"/>
  <c r="K10" i="5"/>
  <c r="M6" i="3"/>
  <c r="AS6" i="2" s="1"/>
  <c r="M6" i="5"/>
  <c r="I10" i="3"/>
  <c r="AO10" i="2" s="1"/>
  <c r="I10" i="5"/>
  <c r="M5" i="5"/>
  <c r="M5" i="3"/>
  <c r="AS5" i="2" s="1"/>
  <c r="F10" i="3"/>
  <c r="AL10" i="2" s="1"/>
  <c r="F10" i="5"/>
  <c r="J9" i="5"/>
  <c r="J9" i="3"/>
  <c r="AP9" i="2" s="1"/>
  <c r="M4" i="3"/>
  <c r="M4" i="5"/>
  <c r="D10" i="5"/>
  <c r="D10" i="3"/>
  <c r="AJ10" i="2" s="1"/>
  <c r="E10" i="3"/>
  <c r="AK10" i="2" s="1"/>
  <c r="E10" i="5"/>
  <c r="H10" i="5"/>
  <c r="H10" i="3"/>
  <c r="AN10" i="2" s="1"/>
  <c r="H9" i="3"/>
  <c r="AN9" i="2" s="1"/>
  <c r="H9" i="5"/>
  <c r="N10" i="2"/>
  <c r="M11" i="2"/>
  <c r="I11" i="2"/>
  <c r="E11" i="2"/>
  <c r="G11" i="2"/>
  <c r="J11" i="2"/>
  <c r="L11" i="2"/>
  <c r="H11" i="2"/>
  <c r="D11" i="2"/>
  <c r="K11" i="2"/>
  <c r="N11" i="2"/>
  <c r="F11" i="2"/>
  <c r="N4" i="2"/>
  <c r="N5" i="2"/>
  <c r="N6" i="2"/>
  <c r="N7" i="2"/>
  <c r="N8" i="2"/>
  <c r="N9" i="2"/>
  <c r="C12" i="2"/>
  <c r="C12" i="5" l="1"/>
  <c r="C12" i="3"/>
  <c r="N7" i="3"/>
  <c r="AT7" i="2" s="1"/>
  <c r="N7" i="5"/>
  <c r="H11" i="3"/>
  <c r="AN11" i="2" s="1"/>
  <c r="H11" i="5"/>
  <c r="D11" i="3"/>
  <c r="D11" i="5"/>
  <c r="N6" i="5"/>
  <c r="N6" i="3"/>
  <c r="AT6" i="2" s="1"/>
  <c r="L11" i="3"/>
  <c r="AR11" i="2" s="1"/>
  <c r="L11" i="5"/>
  <c r="N5" i="3"/>
  <c r="AT5" i="2" s="1"/>
  <c r="N5" i="5"/>
  <c r="J11" i="3"/>
  <c r="AP11" i="2" s="1"/>
  <c r="J11" i="5"/>
  <c r="I12" i="2"/>
  <c r="B12" i="2"/>
  <c r="N4" i="3"/>
  <c r="N4" i="5"/>
  <c r="G11" i="5"/>
  <c r="G11" i="3"/>
  <c r="AM11" i="2" s="1"/>
  <c r="N10" i="3"/>
  <c r="AT10" i="2" s="1"/>
  <c r="N10" i="5"/>
  <c r="F11" i="5"/>
  <c r="F11" i="3"/>
  <c r="AL11" i="2" s="1"/>
  <c r="E11" i="3"/>
  <c r="AK11" i="2" s="1"/>
  <c r="E11" i="5"/>
  <c r="N8" i="5"/>
  <c r="N8" i="3"/>
  <c r="AT8" i="2" s="1"/>
  <c r="N11" i="3"/>
  <c r="AT11" i="2" s="1"/>
  <c r="N11" i="5"/>
  <c r="I11" i="3"/>
  <c r="AO11" i="2" s="1"/>
  <c r="I11" i="5"/>
  <c r="AS4" i="2"/>
  <c r="N9" i="3"/>
  <c r="AT9" i="2" s="1"/>
  <c r="N9" i="5"/>
  <c r="K11" i="3"/>
  <c r="AQ11" i="2" s="1"/>
  <c r="K11" i="5"/>
  <c r="M11" i="3"/>
  <c r="M11" i="5"/>
  <c r="O11" i="2"/>
  <c r="O4" i="2"/>
  <c r="O5" i="2"/>
  <c r="O6" i="2"/>
  <c r="O7" i="2"/>
  <c r="O8" i="2"/>
  <c r="O9" i="2"/>
  <c r="O10" i="2"/>
  <c r="N12" i="2"/>
  <c r="J12" i="2"/>
  <c r="F12" i="2"/>
  <c r="M12" i="2"/>
  <c r="H12" i="2"/>
  <c r="L12" i="2"/>
  <c r="K12" i="2"/>
  <c r="O12" i="2"/>
  <c r="G12" i="2"/>
  <c r="D12" i="2"/>
  <c r="B13" i="2"/>
  <c r="C13" i="2"/>
  <c r="M12" i="5" l="1"/>
  <c r="M12" i="3"/>
  <c r="AS12" i="2" s="1"/>
  <c r="O6" i="3"/>
  <c r="AU6" i="2" s="1"/>
  <c r="O6" i="5"/>
  <c r="E12" i="2"/>
  <c r="D12" i="5"/>
  <c r="D12" i="3"/>
  <c r="AJ12" i="2" s="1"/>
  <c r="F12" i="3"/>
  <c r="AL12" i="2" s="1"/>
  <c r="F12" i="5"/>
  <c r="O5" i="5"/>
  <c r="O5" i="3"/>
  <c r="AU5" i="2" s="1"/>
  <c r="I12" i="3"/>
  <c r="AO12" i="2" s="1"/>
  <c r="I12" i="5"/>
  <c r="G12" i="3"/>
  <c r="AM12" i="2" s="1"/>
  <c r="G12" i="5"/>
  <c r="J12" i="5"/>
  <c r="J12" i="3"/>
  <c r="AP12" i="2"/>
  <c r="O4" i="3"/>
  <c r="AU4" i="2" s="1"/>
  <c r="O4" i="5"/>
  <c r="O7" i="3"/>
  <c r="AU7" i="2" s="1"/>
  <c r="O7" i="5"/>
  <c r="C13" i="5"/>
  <c r="C13" i="3"/>
  <c r="O12" i="5"/>
  <c r="O12" i="3"/>
  <c r="AU12" i="2" s="1"/>
  <c r="N12" i="3"/>
  <c r="AT12" i="2" s="1"/>
  <c r="N12" i="5"/>
  <c r="O11" i="5"/>
  <c r="O11" i="3"/>
  <c r="AU11" i="2" s="1"/>
  <c r="AS11" i="2"/>
  <c r="K12" i="5"/>
  <c r="K12" i="3"/>
  <c r="AQ12" i="2"/>
  <c r="O10" i="5"/>
  <c r="O10" i="3"/>
  <c r="AU10" i="2" s="1"/>
  <c r="L12" i="3"/>
  <c r="L12" i="5"/>
  <c r="O9" i="3"/>
  <c r="AU9" i="2" s="1"/>
  <c r="O9" i="5"/>
  <c r="AT4" i="2"/>
  <c r="AJ11" i="2"/>
  <c r="H12" i="5"/>
  <c r="H12" i="3"/>
  <c r="AN12" i="2" s="1"/>
  <c r="O8" i="5"/>
  <c r="O8" i="3"/>
  <c r="AU8" i="2" s="1"/>
  <c r="P4" i="2"/>
  <c r="P5" i="2"/>
  <c r="P6" i="2"/>
  <c r="P7" i="2"/>
  <c r="P8" i="2"/>
  <c r="P9" i="2"/>
  <c r="P10" i="2"/>
  <c r="P11" i="2"/>
  <c r="P12" i="2"/>
  <c r="O13" i="2"/>
  <c r="K13" i="2"/>
  <c r="G13" i="2"/>
  <c r="N13" i="2"/>
  <c r="J13" i="2"/>
  <c r="F13" i="2"/>
  <c r="I13" i="2"/>
  <c r="L13" i="2"/>
  <c r="P13" i="2"/>
  <c r="H13" i="2"/>
  <c r="M13" i="2"/>
  <c r="E13" i="2"/>
  <c r="D13" i="2"/>
  <c r="C14" i="2"/>
  <c r="C14" i="5" l="1"/>
  <c r="C14" i="3"/>
  <c r="E13" i="5"/>
  <c r="E13" i="3"/>
  <c r="AK13" i="2" s="1"/>
  <c r="N13" i="5"/>
  <c r="N13" i="3"/>
  <c r="AT13" i="2" s="1"/>
  <c r="P8" i="5"/>
  <c r="P8" i="3"/>
  <c r="AV8" i="2" s="1"/>
  <c r="M13" i="5"/>
  <c r="M13" i="3"/>
  <c r="AS13" i="2" s="1"/>
  <c r="G13" i="5"/>
  <c r="G13" i="3"/>
  <c r="AM13" i="2"/>
  <c r="P7" i="3"/>
  <c r="AV7" i="2" s="1"/>
  <c r="P7" i="5"/>
  <c r="H14" i="2"/>
  <c r="B14" i="2"/>
  <c r="P6" i="5"/>
  <c r="P6" i="3"/>
  <c r="AV6" i="2" s="1"/>
  <c r="E12" i="3"/>
  <c r="AK12" i="2" s="1"/>
  <c r="E12" i="5"/>
  <c r="P13" i="3"/>
  <c r="AV13" i="2" s="1"/>
  <c r="P13" i="5"/>
  <c r="O13" i="5"/>
  <c r="O13" i="3"/>
  <c r="AU13" i="2" s="1"/>
  <c r="P5" i="5"/>
  <c r="P5" i="3"/>
  <c r="AV5" i="2" s="1"/>
  <c r="K13" i="3"/>
  <c r="AQ13" i="2" s="1"/>
  <c r="K13" i="5"/>
  <c r="L13" i="3"/>
  <c r="L13" i="5"/>
  <c r="P12" i="5"/>
  <c r="P12" i="3"/>
  <c r="AV12" i="2" s="1"/>
  <c r="P4" i="3"/>
  <c r="AV4" i="2" s="1"/>
  <c r="P4" i="5"/>
  <c r="H13" i="5"/>
  <c r="H13" i="3"/>
  <c r="AN13" i="2" s="1"/>
  <c r="I13" i="5"/>
  <c r="I13" i="3"/>
  <c r="AO13" i="2" s="1"/>
  <c r="P11" i="3"/>
  <c r="AV11" i="2" s="1"/>
  <c r="P11" i="5"/>
  <c r="F13" i="5"/>
  <c r="F13" i="3"/>
  <c r="AL13" i="2" s="1"/>
  <c r="P10" i="3"/>
  <c r="AV10" i="2" s="1"/>
  <c r="P10" i="5"/>
  <c r="AR12" i="2"/>
  <c r="D13" i="5"/>
  <c r="D13" i="3"/>
  <c r="AJ13" i="2" s="1"/>
  <c r="J13" i="5"/>
  <c r="J13" i="3"/>
  <c r="AP13" i="2" s="1"/>
  <c r="P9" i="5"/>
  <c r="P9" i="3"/>
  <c r="AV9" i="2" s="1"/>
  <c r="Q4" i="2"/>
  <c r="Q5" i="2"/>
  <c r="Q6" i="2"/>
  <c r="Q7" i="2"/>
  <c r="Q8" i="2"/>
  <c r="Q9" i="2"/>
  <c r="Q10" i="2"/>
  <c r="Q11" i="2"/>
  <c r="Q12" i="2"/>
  <c r="Q13" i="2"/>
  <c r="P14" i="2"/>
  <c r="L14" i="2"/>
  <c r="D14" i="2"/>
  <c r="O14" i="2"/>
  <c r="K14" i="2"/>
  <c r="G14" i="2"/>
  <c r="J14" i="2"/>
  <c r="F14" i="2"/>
  <c r="M14" i="2"/>
  <c r="Q14" i="2"/>
  <c r="I14" i="2"/>
  <c r="N14" i="2"/>
  <c r="E14" i="2"/>
  <c r="B15" i="2"/>
  <c r="C15" i="2"/>
  <c r="N14" i="5" l="1"/>
  <c r="N14" i="3"/>
  <c r="AT14" i="2" s="1"/>
  <c r="O14" i="5"/>
  <c r="O14" i="3"/>
  <c r="AU14" i="2" s="1"/>
  <c r="Q9" i="3"/>
  <c r="AW9" i="2" s="1"/>
  <c r="Q9" i="5"/>
  <c r="I14" i="3"/>
  <c r="AO14" i="2" s="1"/>
  <c r="I14" i="5"/>
  <c r="D14" i="5"/>
  <c r="D14" i="3"/>
  <c r="AJ14" i="2" s="1"/>
  <c r="Q8" i="3"/>
  <c r="AW8" i="2" s="1"/>
  <c r="Q8" i="5"/>
  <c r="Q14" i="3"/>
  <c r="AW14" i="2" s="1"/>
  <c r="Q14" i="5"/>
  <c r="L14" i="3"/>
  <c r="AR14" i="2" s="1"/>
  <c r="L14" i="5"/>
  <c r="Q7" i="5"/>
  <c r="Q7" i="3"/>
  <c r="AW7" i="2" s="1"/>
  <c r="M14" i="3"/>
  <c r="M14" i="5"/>
  <c r="P14" i="3"/>
  <c r="AV14" i="2" s="1"/>
  <c r="P14" i="5"/>
  <c r="Q6" i="3"/>
  <c r="AW6" i="2" s="1"/>
  <c r="Q6" i="5"/>
  <c r="C15" i="5"/>
  <c r="C15" i="3"/>
  <c r="F14" i="3"/>
  <c r="AL14" i="2" s="1"/>
  <c r="F14" i="5"/>
  <c r="Q13" i="5"/>
  <c r="Q13" i="3"/>
  <c r="AW13" i="2" s="1"/>
  <c r="Q5" i="5"/>
  <c r="Q5" i="3"/>
  <c r="AW5" i="2" s="1"/>
  <c r="H14" i="3"/>
  <c r="AN14" i="2" s="1"/>
  <c r="H14" i="5"/>
  <c r="J14" i="3"/>
  <c r="AP14" i="2" s="1"/>
  <c r="J14" i="5"/>
  <c r="Q12" i="3"/>
  <c r="AW12" i="2" s="1"/>
  <c r="Q12" i="5"/>
  <c r="Q4" i="3"/>
  <c r="AW4" i="2" s="1"/>
  <c r="Q4" i="5"/>
  <c r="AR13" i="2"/>
  <c r="G14" i="5"/>
  <c r="G14" i="3"/>
  <c r="AM14" i="2" s="1"/>
  <c r="Q11" i="3"/>
  <c r="AW11" i="2" s="1"/>
  <c r="Q11" i="5"/>
  <c r="E14" i="5"/>
  <c r="E14" i="3"/>
  <c r="AK14" i="2" s="1"/>
  <c r="K14" i="5"/>
  <c r="K14" i="3"/>
  <c r="AQ14" i="2" s="1"/>
  <c r="Q10" i="5"/>
  <c r="Q10" i="3"/>
  <c r="AW10" i="2" s="1"/>
  <c r="R14" i="2"/>
  <c r="R4" i="2"/>
  <c r="R5" i="2"/>
  <c r="R6" i="2"/>
  <c r="R7" i="2"/>
  <c r="R8" i="2"/>
  <c r="R9" i="2"/>
  <c r="R10" i="2"/>
  <c r="R11" i="2"/>
  <c r="R12" i="2"/>
  <c r="R13" i="2"/>
  <c r="Q15" i="2"/>
  <c r="M15" i="2"/>
  <c r="I15" i="2"/>
  <c r="E15" i="2"/>
  <c r="P15" i="2"/>
  <c r="L15" i="2"/>
  <c r="H15" i="2"/>
  <c r="D15" i="2"/>
  <c r="K15" i="2"/>
  <c r="O15" i="2"/>
  <c r="F15" i="2"/>
  <c r="R15" i="2"/>
  <c r="J15" i="2"/>
  <c r="G15" i="2"/>
  <c r="N15" i="2"/>
  <c r="B16" i="2"/>
  <c r="C16" i="2"/>
  <c r="D15" i="3" l="1"/>
  <c r="AJ15" i="2" s="1"/>
  <c r="D15" i="5"/>
  <c r="R13" i="3"/>
  <c r="AX13" i="2" s="1"/>
  <c r="R13" i="5"/>
  <c r="R5" i="3"/>
  <c r="AX5" i="2" s="1"/>
  <c r="R5" i="5"/>
  <c r="C16" i="5"/>
  <c r="C16" i="3"/>
  <c r="N15" i="3"/>
  <c r="AT15" i="2" s="1"/>
  <c r="N15" i="5"/>
  <c r="H15" i="3"/>
  <c r="AN15" i="2" s="1"/>
  <c r="H15" i="5"/>
  <c r="R12" i="5"/>
  <c r="R12" i="3"/>
  <c r="AX12" i="2" s="1"/>
  <c r="R4" i="3"/>
  <c r="AX4" i="2" s="1"/>
  <c r="R4" i="5"/>
  <c r="G15" i="3"/>
  <c r="AM15" i="2" s="1"/>
  <c r="G15" i="5"/>
  <c r="L15" i="5"/>
  <c r="L15" i="3"/>
  <c r="AR15" i="2" s="1"/>
  <c r="R11" i="5"/>
  <c r="R11" i="3"/>
  <c r="AX11" i="2" s="1"/>
  <c r="R14" i="5"/>
  <c r="R14" i="3"/>
  <c r="AX14" i="2" s="1"/>
  <c r="J15" i="5"/>
  <c r="J15" i="3"/>
  <c r="AP15" i="2" s="1"/>
  <c r="P15" i="3"/>
  <c r="AV15" i="2" s="1"/>
  <c r="P15" i="5"/>
  <c r="R10" i="3"/>
  <c r="AX10" i="2" s="1"/>
  <c r="R10" i="5"/>
  <c r="R15" i="3"/>
  <c r="AX15" i="2" s="1"/>
  <c r="R15" i="5"/>
  <c r="E15" i="3"/>
  <c r="AK15" i="2" s="1"/>
  <c r="E15" i="5"/>
  <c r="R9" i="5"/>
  <c r="R9" i="3"/>
  <c r="AX9" i="2" s="1"/>
  <c r="F15" i="5"/>
  <c r="F15" i="3"/>
  <c r="AL15" i="2" s="1"/>
  <c r="I15" i="3"/>
  <c r="AO15" i="2" s="1"/>
  <c r="I15" i="5"/>
  <c r="R8" i="3"/>
  <c r="AX8" i="2" s="1"/>
  <c r="R8" i="5"/>
  <c r="O15" i="5"/>
  <c r="O15" i="3"/>
  <c r="AU15" i="2" s="1"/>
  <c r="M15" i="3"/>
  <c r="AS15" i="2" s="1"/>
  <c r="M15" i="5"/>
  <c r="R7" i="5"/>
  <c r="R7" i="3"/>
  <c r="AX7" i="2" s="1"/>
  <c r="AS14" i="2"/>
  <c r="K15" i="5"/>
  <c r="K15" i="3"/>
  <c r="AQ15" i="2" s="1"/>
  <c r="Q15" i="5"/>
  <c r="Q15" i="3"/>
  <c r="AW15" i="2" s="1"/>
  <c r="R6" i="3"/>
  <c r="AX6" i="2" s="1"/>
  <c r="R6" i="5"/>
  <c r="S15" i="2"/>
  <c r="J16" i="2"/>
  <c r="F16" i="2"/>
  <c r="Q16" i="2"/>
  <c r="M16" i="2"/>
  <c r="I16" i="2"/>
  <c r="L16" i="2"/>
  <c r="D16" i="2"/>
  <c r="P16" i="2"/>
  <c r="G16" i="2"/>
  <c r="S16" i="2"/>
  <c r="H16" i="2"/>
  <c r="O16" i="2"/>
  <c r="S4" i="2"/>
  <c r="S5" i="2"/>
  <c r="S6" i="2"/>
  <c r="S7" i="2"/>
  <c r="S8" i="2"/>
  <c r="S9" i="2"/>
  <c r="S10" i="2"/>
  <c r="S11" i="2"/>
  <c r="S12" i="2"/>
  <c r="S13" i="2"/>
  <c r="S14" i="2"/>
  <c r="B17" i="2"/>
  <c r="C17" i="2"/>
  <c r="D16" i="3" l="1"/>
  <c r="AJ16" i="2" s="1"/>
  <c r="D16" i="5"/>
  <c r="N16" i="2"/>
  <c r="S14" i="5"/>
  <c r="S14" i="3"/>
  <c r="AY14" i="2" s="1"/>
  <c r="P16" i="3"/>
  <c r="AV16" i="2" s="1"/>
  <c r="P16" i="5"/>
  <c r="S13" i="3"/>
  <c r="AY13" i="2" s="1"/>
  <c r="S13" i="5"/>
  <c r="S12" i="3"/>
  <c r="AY12" i="2" s="1"/>
  <c r="S12" i="5"/>
  <c r="S4" i="3"/>
  <c r="AY4" i="2" s="1"/>
  <c r="S4" i="5"/>
  <c r="L16" i="3"/>
  <c r="AR16" i="2" s="1"/>
  <c r="L16" i="5"/>
  <c r="R16" i="2"/>
  <c r="S11" i="5"/>
  <c r="S11" i="3"/>
  <c r="AY11" i="2" s="1"/>
  <c r="O16" i="3"/>
  <c r="AU16" i="2" s="1"/>
  <c r="O16" i="5"/>
  <c r="E16" i="2"/>
  <c r="S10" i="5"/>
  <c r="S10" i="3"/>
  <c r="AY10" i="2" s="1"/>
  <c r="H16" i="3"/>
  <c r="AN16" i="2" s="1"/>
  <c r="H16" i="5"/>
  <c r="I16" i="3"/>
  <c r="AO16" i="2" s="1"/>
  <c r="I16" i="5"/>
  <c r="S15" i="3"/>
  <c r="AY15" i="2" s="1"/>
  <c r="S15" i="5"/>
  <c r="S6" i="5"/>
  <c r="S6" i="3"/>
  <c r="AY6" i="2" s="1"/>
  <c r="S9" i="3"/>
  <c r="AY9" i="2" s="1"/>
  <c r="S9" i="5"/>
  <c r="K16" i="2"/>
  <c r="M16" i="3"/>
  <c r="AS16" i="2" s="1"/>
  <c r="M16" i="5"/>
  <c r="J16" i="3"/>
  <c r="AP16" i="2" s="1"/>
  <c r="J16" i="5"/>
  <c r="S8" i="3"/>
  <c r="AY8" i="2" s="1"/>
  <c r="S8" i="5"/>
  <c r="S16" i="3"/>
  <c r="AY16" i="2" s="1"/>
  <c r="S16" i="5"/>
  <c r="Q16" i="3"/>
  <c r="AW16" i="2" s="1"/>
  <c r="Q16" i="5"/>
  <c r="S5" i="3"/>
  <c r="AY5" i="2" s="1"/>
  <c r="S5" i="5"/>
  <c r="C17" i="5"/>
  <c r="C17" i="3"/>
  <c r="S7" i="5"/>
  <c r="S7" i="3"/>
  <c r="AY7" i="2" s="1"/>
  <c r="G16" i="3"/>
  <c r="AM16" i="2" s="1"/>
  <c r="G16" i="5"/>
  <c r="F16" i="3"/>
  <c r="AL16" i="2" s="1"/>
  <c r="F16" i="5"/>
  <c r="T4" i="2"/>
  <c r="T5" i="2"/>
  <c r="T6" i="2"/>
  <c r="T7" i="2"/>
  <c r="T8" i="2"/>
  <c r="T9" i="2"/>
  <c r="T10" i="2"/>
  <c r="T11" i="2"/>
  <c r="T12" i="2"/>
  <c r="T13" i="2"/>
  <c r="T14" i="2"/>
  <c r="T15" i="2"/>
  <c r="S17" i="2"/>
  <c r="O17" i="2"/>
  <c r="K17" i="2"/>
  <c r="G17" i="2"/>
  <c r="R17" i="2"/>
  <c r="N17" i="2"/>
  <c r="J17" i="2"/>
  <c r="F17" i="2"/>
  <c r="M17" i="2"/>
  <c r="E17" i="2"/>
  <c r="I17" i="2"/>
  <c r="P17" i="2"/>
  <c r="T17" i="2"/>
  <c r="L17" i="2"/>
  <c r="D17" i="2"/>
  <c r="Q17" i="2"/>
  <c r="H17" i="2"/>
  <c r="T16" i="2"/>
  <c r="B18" i="2"/>
  <c r="C18" i="2"/>
  <c r="C18" i="5" l="1"/>
  <c r="C18" i="3"/>
  <c r="H17" i="3"/>
  <c r="AN17" i="2" s="1"/>
  <c r="H17" i="5"/>
  <c r="M17" i="3"/>
  <c r="AS17" i="2" s="1"/>
  <c r="M17" i="5"/>
  <c r="S17" i="5"/>
  <c r="S17" i="3"/>
  <c r="T8" i="5"/>
  <c r="T8" i="3"/>
  <c r="AZ8" i="2" s="1"/>
  <c r="Q17" i="5"/>
  <c r="Q17" i="3"/>
  <c r="AW17" i="2" s="1"/>
  <c r="F17" i="3"/>
  <c r="AL17" i="2" s="1"/>
  <c r="F17" i="5"/>
  <c r="T15" i="5"/>
  <c r="T15" i="3"/>
  <c r="AZ15" i="2" s="1"/>
  <c r="T7" i="3"/>
  <c r="AZ7" i="2" s="1"/>
  <c r="T7" i="5"/>
  <c r="D17" i="3"/>
  <c r="AJ17" i="2" s="1"/>
  <c r="D17" i="5"/>
  <c r="J17" i="3"/>
  <c r="AP17" i="2" s="1"/>
  <c r="J17" i="5"/>
  <c r="T14" i="5"/>
  <c r="T14" i="3"/>
  <c r="AZ14" i="2" s="1"/>
  <c r="T6" i="3"/>
  <c r="AZ6" i="2" s="1"/>
  <c r="T6" i="5"/>
  <c r="R16" i="5"/>
  <c r="R16" i="3"/>
  <c r="AX16" i="2" s="1"/>
  <c r="L17" i="3"/>
  <c r="AR17" i="2" s="1"/>
  <c r="L17" i="5"/>
  <c r="N17" i="3"/>
  <c r="AT17" i="2" s="1"/>
  <c r="N17" i="5"/>
  <c r="T13" i="3"/>
  <c r="AZ13" i="2" s="1"/>
  <c r="T13" i="5"/>
  <c r="T5" i="3"/>
  <c r="AZ5" i="2" s="1"/>
  <c r="T5" i="5"/>
  <c r="E16" i="5"/>
  <c r="E16" i="3"/>
  <c r="AK16" i="2" s="1"/>
  <c r="T17" i="3"/>
  <c r="AZ17" i="2" s="1"/>
  <c r="T17" i="5"/>
  <c r="R17" i="3"/>
  <c r="AX17" i="2" s="1"/>
  <c r="R17" i="5"/>
  <c r="T12" i="5"/>
  <c r="T12" i="3"/>
  <c r="AZ12" i="2" s="1"/>
  <c r="T4" i="5"/>
  <c r="T4" i="3"/>
  <c r="AZ4" i="2" s="1"/>
  <c r="P17" i="3"/>
  <c r="AV17" i="2" s="1"/>
  <c r="P17" i="5"/>
  <c r="G17" i="3"/>
  <c r="AM17" i="2" s="1"/>
  <c r="G17" i="5"/>
  <c r="T11" i="3"/>
  <c r="AZ11" i="2" s="1"/>
  <c r="T11" i="5"/>
  <c r="N16" i="3"/>
  <c r="AT16" i="2" s="1"/>
  <c r="N16" i="5"/>
  <c r="I17" i="5"/>
  <c r="I17" i="3"/>
  <c r="AO17" i="2" s="1"/>
  <c r="K17" i="3"/>
  <c r="AQ17" i="2" s="1"/>
  <c r="K17" i="5"/>
  <c r="T10" i="5"/>
  <c r="T10" i="3"/>
  <c r="AZ10" i="2" s="1"/>
  <c r="K16" i="3"/>
  <c r="AQ16" i="2" s="1"/>
  <c r="K16" i="5"/>
  <c r="T16" i="3"/>
  <c r="AZ16" i="2" s="1"/>
  <c r="T16" i="5"/>
  <c r="E17" i="3"/>
  <c r="AK17" i="2" s="1"/>
  <c r="E17" i="5"/>
  <c r="O17" i="3"/>
  <c r="AU17" i="2" s="1"/>
  <c r="O17" i="5"/>
  <c r="T9" i="5"/>
  <c r="T9" i="3"/>
  <c r="AZ9" i="2" s="1"/>
  <c r="U11" i="2"/>
  <c r="U4" i="2"/>
  <c r="U5" i="2"/>
  <c r="U6" i="2"/>
  <c r="U7" i="2"/>
  <c r="U8" i="2"/>
  <c r="U9" i="2"/>
  <c r="U10" i="2"/>
  <c r="U12" i="2"/>
  <c r="U13" i="2"/>
  <c r="U14" i="2"/>
  <c r="U15" i="2"/>
  <c r="U16" i="2"/>
  <c r="P18" i="2"/>
  <c r="L18" i="2"/>
  <c r="H18" i="2"/>
  <c r="S18" i="2"/>
  <c r="K18" i="2"/>
  <c r="G18" i="2"/>
  <c r="F18" i="2"/>
  <c r="J18" i="2"/>
  <c r="Q18" i="2"/>
  <c r="U18" i="2"/>
  <c r="E18" i="2"/>
  <c r="I18" i="2"/>
  <c r="U17" i="2"/>
  <c r="B19" i="2"/>
  <c r="C19" i="2"/>
  <c r="C19" i="5" l="1"/>
  <c r="C19" i="3"/>
  <c r="M18" i="2"/>
  <c r="O18" i="2"/>
  <c r="U15" i="5"/>
  <c r="U15" i="3"/>
  <c r="BA15" i="2" s="1"/>
  <c r="U6" i="5"/>
  <c r="U6" i="3"/>
  <c r="BA6" i="2" s="1"/>
  <c r="U18" i="5"/>
  <c r="U18" i="3"/>
  <c r="BA18" i="2" s="1"/>
  <c r="S18" i="5"/>
  <c r="S18" i="3"/>
  <c r="AY18" i="2" s="1"/>
  <c r="U14" i="3"/>
  <c r="BA14" i="2" s="1"/>
  <c r="U14" i="5"/>
  <c r="U5" i="3"/>
  <c r="BA5" i="2" s="1"/>
  <c r="U5" i="5"/>
  <c r="AY17" i="2"/>
  <c r="Q18" i="5"/>
  <c r="Q18" i="3"/>
  <c r="AW18" i="2" s="1"/>
  <c r="D18" i="2"/>
  <c r="U13" i="5"/>
  <c r="U13" i="3"/>
  <c r="BA13" i="2" s="1"/>
  <c r="U4" i="3"/>
  <c r="U4" i="5"/>
  <c r="J18" i="3"/>
  <c r="AP18" i="2" s="1"/>
  <c r="J18" i="5"/>
  <c r="H18" i="3"/>
  <c r="AN18" i="2" s="1"/>
  <c r="H18" i="5"/>
  <c r="U12" i="3"/>
  <c r="BA12" i="2" s="1"/>
  <c r="U12" i="5"/>
  <c r="U17" i="3"/>
  <c r="BA17" i="2" s="1"/>
  <c r="U17" i="5"/>
  <c r="F18" i="3"/>
  <c r="F18" i="5"/>
  <c r="AL18" i="2"/>
  <c r="L18" i="3"/>
  <c r="AR18" i="2" s="1"/>
  <c r="L18" i="5"/>
  <c r="U10" i="5"/>
  <c r="U10" i="3"/>
  <c r="BA10" i="2" s="1"/>
  <c r="U11" i="3"/>
  <c r="BA11" i="2" s="1"/>
  <c r="U11" i="5"/>
  <c r="I18" i="5"/>
  <c r="I18" i="3"/>
  <c r="AO18" i="2" s="1"/>
  <c r="N18" i="2"/>
  <c r="P18" i="3"/>
  <c r="AV18" i="2" s="1"/>
  <c r="P18" i="5"/>
  <c r="U9" i="5"/>
  <c r="U9" i="3"/>
  <c r="BA9" i="2" s="1"/>
  <c r="R18" i="2"/>
  <c r="G18" i="3"/>
  <c r="AM18" i="2" s="1"/>
  <c r="G18" i="5"/>
  <c r="T18" i="2"/>
  <c r="U8" i="5"/>
  <c r="U8" i="3"/>
  <c r="BA8" i="2" s="1"/>
  <c r="E18" i="3"/>
  <c r="AK18" i="2" s="1"/>
  <c r="E18" i="5"/>
  <c r="K18" i="3"/>
  <c r="AQ18" i="2" s="1"/>
  <c r="K18" i="5"/>
  <c r="U16" i="3"/>
  <c r="BA16" i="2" s="1"/>
  <c r="U16" i="5"/>
  <c r="U7" i="3"/>
  <c r="BA7" i="2" s="1"/>
  <c r="U7" i="5"/>
  <c r="V4" i="2"/>
  <c r="V5" i="2"/>
  <c r="V6" i="2"/>
  <c r="V7" i="2"/>
  <c r="V8" i="2"/>
  <c r="V9" i="2"/>
  <c r="V10" i="2"/>
  <c r="V11" i="2"/>
  <c r="V12" i="2"/>
  <c r="V13" i="2"/>
  <c r="V14" i="2"/>
  <c r="V15" i="2"/>
  <c r="V16" i="2"/>
  <c r="V17" i="2"/>
  <c r="U19" i="2"/>
  <c r="M19" i="2"/>
  <c r="E19" i="2"/>
  <c r="P19" i="2"/>
  <c r="L19" i="2"/>
  <c r="H19" i="2"/>
  <c r="D19" i="2"/>
  <c r="O19" i="2"/>
  <c r="G19" i="2"/>
  <c r="S19" i="2"/>
  <c r="J19" i="2"/>
  <c r="V19" i="2"/>
  <c r="N19" i="2"/>
  <c r="K19" i="2"/>
  <c r="R19" i="2"/>
  <c r="V18" i="2"/>
  <c r="C20" i="2"/>
  <c r="B20" i="2"/>
  <c r="C20" i="5" l="1"/>
  <c r="C20" i="3"/>
  <c r="N19" i="3"/>
  <c r="AT19" i="2" s="1"/>
  <c r="N19" i="5"/>
  <c r="L19" i="3"/>
  <c r="AR19" i="2" s="1"/>
  <c r="L19" i="5"/>
  <c r="V17" i="3"/>
  <c r="BB17" i="2" s="1"/>
  <c r="V17" i="5"/>
  <c r="V9" i="3"/>
  <c r="BB9" i="2" s="1"/>
  <c r="V9" i="5"/>
  <c r="N18" i="3"/>
  <c r="AT18" i="2" s="1"/>
  <c r="N18" i="5"/>
  <c r="V19" i="5"/>
  <c r="V19" i="3"/>
  <c r="BB19" i="2" s="1"/>
  <c r="P19" i="5"/>
  <c r="P19" i="3"/>
  <c r="AV19" i="2" s="1"/>
  <c r="V16" i="3"/>
  <c r="BB16" i="2" s="1"/>
  <c r="V16" i="5"/>
  <c r="V8" i="3"/>
  <c r="BB8" i="2" s="1"/>
  <c r="V8" i="5"/>
  <c r="M18" i="5"/>
  <c r="M18" i="3"/>
  <c r="AS18" i="2" s="1"/>
  <c r="S19" i="3"/>
  <c r="AY19" i="2" s="1"/>
  <c r="S19" i="5"/>
  <c r="E19" i="3"/>
  <c r="AK19" i="2" s="1"/>
  <c r="E19" i="5"/>
  <c r="V14" i="3"/>
  <c r="BB14" i="2" s="1"/>
  <c r="V14" i="5"/>
  <c r="V6" i="5"/>
  <c r="V6" i="3"/>
  <c r="BB6" i="2" s="1"/>
  <c r="J19" i="3"/>
  <c r="AP19" i="2" s="1"/>
  <c r="J19" i="5"/>
  <c r="T19" i="2"/>
  <c r="V15" i="3"/>
  <c r="BB15" i="2" s="1"/>
  <c r="V15" i="5"/>
  <c r="V18" i="3"/>
  <c r="BB18" i="2" s="1"/>
  <c r="V18" i="5"/>
  <c r="G19" i="5"/>
  <c r="G19" i="3"/>
  <c r="AM19" i="2" s="1"/>
  <c r="I19" i="2"/>
  <c r="V13" i="5"/>
  <c r="V13" i="3"/>
  <c r="BB13" i="2" s="1"/>
  <c r="V5" i="3"/>
  <c r="BB5" i="2" s="1"/>
  <c r="V5" i="5"/>
  <c r="R18" i="3"/>
  <c r="R18" i="5"/>
  <c r="D18" i="5"/>
  <c r="D18" i="3"/>
  <c r="AJ18" i="2" s="1"/>
  <c r="V7" i="3"/>
  <c r="BB7" i="2" s="1"/>
  <c r="V7" i="5"/>
  <c r="R19" i="3"/>
  <c r="AX19" i="2" s="1"/>
  <c r="R19" i="5"/>
  <c r="O19" i="5"/>
  <c r="O19" i="3"/>
  <c r="AU19" i="2" s="1"/>
  <c r="M19" i="3"/>
  <c r="AS19" i="2" s="1"/>
  <c r="M19" i="5"/>
  <c r="V12" i="3"/>
  <c r="BB12" i="2" s="1"/>
  <c r="V12" i="5"/>
  <c r="V4" i="3"/>
  <c r="V4" i="5"/>
  <c r="K19" i="3"/>
  <c r="AQ19" i="2" s="1"/>
  <c r="K19" i="5"/>
  <c r="D19" i="5"/>
  <c r="D19" i="3"/>
  <c r="AJ19" i="2" s="1"/>
  <c r="Q19" i="2"/>
  <c r="V11" i="3"/>
  <c r="BB11" i="2" s="1"/>
  <c r="V11" i="5"/>
  <c r="BA4" i="2"/>
  <c r="F19" i="2"/>
  <c r="H19" i="5"/>
  <c r="H19" i="3"/>
  <c r="AN19" i="2" s="1"/>
  <c r="U19" i="5"/>
  <c r="U19" i="3"/>
  <c r="V10" i="3"/>
  <c r="BB10" i="2" s="1"/>
  <c r="V10" i="5"/>
  <c r="T18" i="3"/>
  <c r="AZ18" i="2" s="1"/>
  <c r="T18" i="5"/>
  <c r="O18" i="3"/>
  <c r="O18" i="5"/>
  <c r="W4" i="2"/>
  <c r="W5" i="2"/>
  <c r="W6" i="2"/>
  <c r="W7" i="2"/>
  <c r="W8" i="2"/>
  <c r="W9" i="2"/>
  <c r="W10" i="2"/>
  <c r="W11" i="2"/>
  <c r="W12" i="2"/>
  <c r="W13" i="2"/>
  <c r="W14" i="2"/>
  <c r="W15" i="2"/>
  <c r="W16" i="2"/>
  <c r="W17" i="2"/>
  <c r="W18" i="2"/>
  <c r="W19" i="2"/>
  <c r="V20" i="2"/>
  <c r="R20" i="2"/>
  <c r="N20" i="2"/>
  <c r="U20" i="2"/>
  <c r="Q20" i="2"/>
  <c r="M20" i="2"/>
  <c r="E20" i="2"/>
  <c r="P20" i="2"/>
  <c r="H20" i="2"/>
  <c r="T20" i="2"/>
  <c r="D20" i="2"/>
  <c r="S20" i="2"/>
  <c r="W20" i="2"/>
  <c r="O20" i="2"/>
  <c r="G20" i="2"/>
  <c r="L20" i="2"/>
  <c r="K20" i="2"/>
  <c r="C21" i="2"/>
  <c r="B21" i="2"/>
  <c r="T20" i="3" l="1"/>
  <c r="AZ20" i="2" s="1"/>
  <c r="T20" i="5"/>
  <c r="F20" i="2"/>
  <c r="W16" i="5"/>
  <c r="W16" i="3"/>
  <c r="BC16" i="2" s="1"/>
  <c r="W8" i="3"/>
  <c r="BC8" i="2" s="1"/>
  <c r="W8" i="5"/>
  <c r="W17" i="3"/>
  <c r="BC17" i="2" s="1"/>
  <c r="W17" i="5"/>
  <c r="L20" i="5"/>
  <c r="L20" i="3"/>
  <c r="AR20" i="2" s="1"/>
  <c r="P20" i="5"/>
  <c r="P20" i="3"/>
  <c r="AV20" i="2" s="1"/>
  <c r="N20" i="5"/>
  <c r="N20" i="3"/>
  <c r="AT20" i="2" s="1"/>
  <c r="W14" i="3"/>
  <c r="BC14" i="2" s="1"/>
  <c r="W14" i="5"/>
  <c r="W6" i="3"/>
  <c r="BC6" i="2" s="1"/>
  <c r="W6" i="5"/>
  <c r="Q19" i="3"/>
  <c r="AW19" i="2" s="1"/>
  <c r="Q19" i="5"/>
  <c r="T19" i="3"/>
  <c r="AZ19" i="2" s="1"/>
  <c r="T19" i="5"/>
  <c r="U20" i="3"/>
  <c r="BA20" i="2" s="1"/>
  <c r="U20" i="5"/>
  <c r="W9" i="3"/>
  <c r="BC9" i="2" s="1"/>
  <c r="W9" i="5"/>
  <c r="H20" i="5"/>
  <c r="H20" i="3"/>
  <c r="AN20" i="2" s="1"/>
  <c r="G20" i="3"/>
  <c r="AM20" i="2" s="1"/>
  <c r="G20" i="5"/>
  <c r="E20" i="3"/>
  <c r="AK20" i="2" s="1"/>
  <c r="E20" i="5"/>
  <c r="R20" i="5"/>
  <c r="R20" i="3"/>
  <c r="W13" i="3"/>
  <c r="BC13" i="2" s="1"/>
  <c r="W13" i="5"/>
  <c r="W5" i="5"/>
  <c r="W5" i="3"/>
  <c r="BC5" i="2" s="1"/>
  <c r="K20" i="3"/>
  <c r="AQ20" i="2" s="1"/>
  <c r="K20" i="5"/>
  <c r="W15" i="3"/>
  <c r="BC15" i="2" s="1"/>
  <c r="W15" i="5"/>
  <c r="O20" i="3"/>
  <c r="AU20" i="2" s="1"/>
  <c r="O20" i="5"/>
  <c r="I20" i="2"/>
  <c r="V20" i="3"/>
  <c r="V20" i="5"/>
  <c r="W12" i="3"/>
  <c r="BC12" i="2" s="1"/>
  <c r="W12" i="5"/>
  <c r="W4" i="5"/>
  <c r="W4" i="3"/>
  <c r="BC4" i="2"/>
  <c r="F19" i="3"/>
  <c r="AL19" i="2" s="1"/>
  <c r="F19" i="5"/>
  <c r="D20" i="3"/>
  <c r="AJ20" i="2" s="1"/>
  <c r="D20" i="5"/>
  <c r="I19" i="5"/>
  <c r="I19" i="3"/>
  <c r="AO19" i="2" s="1"/>
  <c r="J20" i="2"/>
  <c r="W7" i="3"/>
  <c r="BC7" i="2" s="1"/>
  <c r="W7" i="5"/>
  <c r="C21" i="5"/>
  <c r="C21" i="3"/>
  <c r="W20" i="3"/>
  <c r="BC20" i="2" s="1"/>
  <c r="W20" i="5"/>
  <c r="M20" i="3"/>
  <c r="AS20" i="2" s="1"/>
  <c r="M20" i="5"/>
  <c r="W19" i="5"/>
  <c r="W19" i="3"/>
  <c r="BC19" i="2" s="1"/>
  <c r="W11" i="5"/>
  <c r="W11" i="3"/>
  <c r="BC11" i="2" s="1"/>
  <c r="AU18" i="2"/>
  <c r="S20" i="3"/>
  <c r="AY20" i="2" s="1"/>
  <c r="S20" i="5"/>
  <c r="Q20" i="5"/>
  <c r="Q20" i="3"/>
  <c r="AW20" i="2" s="1"/>
  <c r="W18" i="5"/>
  <c r="W18" i="3"/>
  <c r="BC18" i="2" s="1"/>
  <c r="W10" i="5"/>
  <c r="W10" i="3"/>
  <c r="BC10" i="2" s="1"/>
  <c r="BA19" i="2"/>
  <c r="BB4" i="2"/>
  <c r="AX18" i="2"/>
  <c r="W21" i="2"/>
  <c r="S21" i="2"/>
  <c r="O21" i="2"/>
  <c r="K21" i="2"/>
  <c r="G21" i="2"/>
  <c r="G21" i="3" s="1"/>
  <c r="V21" i="2"/>
  <c r="R21" i="2"/>
  <c r="N21" i="2"/>
  <c r="J21" i="2"/>
  <c r="F21" i="2"/>
  <c r="Q21" i="2"/>
  <c r="I21" i="2"/>
  <c r="U21" i="2"/>
  <c r="T21" i="2"/>
  <c r="D21" i="2"/>
  <c r="X21" i="2"/>
  <c r="P21" i="2"/>
  <c r="H21" i="2"/>
  <c r="M21" i="2"/>
  <c r="E21" i="2"/>
  <c r="L21" i="2"/>
  <c r="X4" i="2"/>
  <c r="X5" i="2"/>
  <c r="X6" i="2"/>
  <c r="X7" i="2"/>
  <c r="X8" i="2"/>
  <c r="X9" i="2"/>
  <c r="X10" i="2"/>
  <c r="X11" i="2"/>
  <c r="X12" i="2"/>
  <c r="X13" i="2"/>
  <c r="X14" i="2"/>
  <c r="X15" i="2"/>
  <c r="X16" i="2"/>
  <c r="X17" i="2"/>
  <c r="X18" i="2"/>
  <c r="X19" i="2"/>
  <c r="X20" i="2"/>
  <c r="B22" i="2"/>
  <c r="C22" i="2"/>
  <c r="X13" i="5" l="1"/>
  <c r="X13" i="3"/>
  <c r="BD13" i="2" s="1"/>
  <c r="X5" i="3"/>
  <c r="BD5" i="2" s="1"/>
  <c r="X5" i="5"/>
  <c r="D21" i="3"/>
  <c r="AJ21" i="2" s="1"/>
  <c r="D21" i="5"/>
  <c r="R21" i="5"/>
  <c r="R21" i="3"/>
  <c r="AX21" i="2" s="1"/>
  <c r="X20" i="3"/>
  <c r="BD20" i="2" s="1"/>
  <c r="X20" i="5"/>
  <c r="X12" i="3"/>
  <c r="BD12" i="2" s="1"/>
  <c r="X12" i="5"/>
  <c r="X4" i="3"/>
  <c r="BD4" i="2" s="1"/>
  <c r="X4" i="5"/>
  <c r="T21" i="5"/>
  <c r="T21" i="3"/>
  <c r="AZ21" i="2" s="1"/>
  <c r="V21" i="3"/>
  <c r="V21" i="5"/>
  <c r="I20" i="3"/>
  <c r="AO20" i="2" s="1"/>
  <c r="I20" i="5"/>
  <c r="X19" i="3"/>
  <c r="BD19" i="2" s="1"/>
  <c r="X19" i="5"/>
  <c r="X11" i="3"/>
  <c r="BD11" i="2" s="1"/>
  <c r="X11" i="5"/>
  <c r="L21" i="3"/>
  <c r="AR21" i="2" s="1"/>
  <c r="L21" i="5"/>
  <c r="U21" i="5"/>
  <c r="U21" i="3"/>
  <c r="BA21" i="2" s="1"/>
  <c r="AM21" i="2"/>
  <c r="G21" i="5"/>
  <c r="X18" i="5"/>
  <c r="X18" i="3"/>
  <c r="BD18" i="2" s="1"/>
  <c r="X10" i="3"/>
  <c r="BD10" i="2" s="1"/>
  <c r="X10" i="5"/>
  <c r="E21" i="3"/>
  <c r="AK21" i="2" s="1"/>
  <c r="E21" i="5"/>
  <c r="I21" i="5"/>
  <c r="I21" i="3"/>
  <c r="AO21" i="2" s="1"/>
  <c r="K21" i="5"/>
  <c r="K21" i="3"/>
  <c r="AQ21" i="2" s="1"/>
  <c r="X17" i="5"/>
  <c r="X17" i="3"/>
  <c r="BD17" i="2" s="1"/>
  <c r="X9" i="5"/>
  <c r="X9" i="3"/>
  <c r="BD9" i="2" s="1"/>
  <c r="M21" i="5"/>
  <c r="M21" i="3"/>
  <c r="AS21" i="2" s="1"/>
  <c r="Q21" i="3"/>
  <c r="AW21" i="2" s="1"/>
  <c r="Q21" i="5"/>
  <c r="O21" i="3"/>
  <c r="AU21" i="2" s="1"/>
  <c r="O21" i="5"/>
  <c r="J20" i="3"/>
  <c r="AP20" i="2" s="1"/>
  <c r="J20" i="5"/>
  <c r="AX20" i="2"/>
  <c r="X16" i="3"/>
  <c r="BD16" i="2" s="1"/>
  <c r="X16" i="5"/>
  <c r="X8" i="3"/>
  <c r="BD8" i="2" s="1"/>
  <c r="X8" i="5"/>
  <c r="H21" i="5"/>
  <c r="H21" i="3"/>
  <c r="AN21" i="2" s="1"/>
  <c r="F21" i="5"/>
  <c r="F21" i="3"/>
  <c r="AL21" i="2" s="1"/>
  <c r="S21" i="3"/>
  <c r="AY21" i="2" s="1"/>
  <c r="S21" i="5"/>
  <c r="X15" i="3"/>
  <c r="BD15" i="2" s="1"/>
  <c r="X15" i="5"/>
  <c r="X7" i="5"/>
  <c r="X7" i="3"/>
  <c r="BD7" i="2" s="1"/>
  <c r="P21" i="5"/>
  <c r="P21" i="3"/>
  <c r="AV21" i="2" s="1"/>
  <c r="J21" i="3"/>
  <c r="AP21" i="2" s="1"/>
  <c r="J21" i="5"/>
  <c r="W21" i="3"/>
  <c r="W21" i="5"/>
  <c r="BB20" i="2"/>
  <c r="C22" i="5"/>
  <c r="C22" i="3"/>
  <c r="X14" i="3"/>
  <c r="BD14" i="2" s="1"/>
  <c r="X14" i="5"/>
  <c r="X6" i="5"/>
  <c r="X6" i="3"/>
  <c r="BD6" i="2" s="1"/>
  <c r="X21" i="3"/>
  <c r="BD21" i="2" s="1"/>
  <c r="X21" i="5"/>
  <c r="N21" i="3"/>
  <c r="AT21" i="2" s="1"/>
  <c r="N21" i="5"/>
  <c r="F20" i="5"/>
  <c r="F20" i="3"/>
  <c r="AL20" i="2" s="1"/>
  <c r="X22" i="2"/>
  <c r="P22" i="2"/>
  <c r="L22" i="2"/>
  <c r="S22" i="2"/>
  <c r="O22" i="2"/>
  <c r="G22" i="2"/>
  <c r="R22" i="2"/>
  <c r="J22" i="2"/>
  <c r="V22" i="2"/>
  <c r="F22" i="2"/>
  <c r="U22" i="2"/>
  <c r="E22" i="2"/>
  <c r="Y22" i="2"/>
  <c r="Q22" i="2"/>
  <c r="I22" i="2"/>
  <c r="N22" i="2"/>
  <c r="M22" i="2"/>
  <c r="Y4" i="2"/>
  <c r="Y5" i="2"/>
  <c r="Y6" i="2"/>
  <c r="Y7" i="2"/>
  <c r="Y8" i="2"/>
  <c r="Y9" i="2"/>
  <c r="Y10" i="2"/>
  <c r="Y11" i="2"/>
  <c r="Y12" i="2"/>
  <c r="Y13" i="2"/>
  <c r="Y14" i="2"/>
  <c r="Y15" i="2"/>
  <c r="Y16" i="2"/>
  <c r="Y17" i="2"/>
  <c r="Y18" i="2"/>
  <c r="Y19" i="2"/>
  <c r="Y20" i="2"/>
  <c r="Y21" i="2"/>
  <c r="C23" i="2"/>
  <c r="B23" i="2"/>
  <c r="Y15" i="3" l="1"/>
  <c r="BE15" i="2" s="1"/>
  <c r="Y15" i="5"/>
  <c r="Y7" i="3"/>
  <c r="BE7" i="2" s="1"/>
  <c r="Y7" i="5"/>
  <c r="Y22" i="5"/>
  <c r="Y22" i="3"/>
  <c r="BE22" i="2" s="1"/>
  <c r="K22" i="2"/>
  <c r="T22" i="2"/>
  <c r="BB21" i="2"/>
  <c r="Y14" i="5"/>
  <c r="Y14" i="3"/>
  <c r="BE14" i="2" s="1"/>
  <c r="Y6" i="3"/>
  <c r="BE6" i="2" s="1"/>
  <c r="Y6" i="5"/>
  <c r="E22" i="3"/>
  <c r="AK22" i="2" s="1"/>
  <c r="E22" i="5"/>
  <c r="O22" i="3"/>
  <c r="AU22" i="2" s="1"/>
  <c r="O22" i="5"/>
  <c r="X22" i="5"/>
  <c r="X22" i="3"/>
  <c r="BD22" i="2" s="1"/>
  <c r="Y21" i="3"/>
  <c r="BE21" i="2" s="1"/>
  <c r="Y21" i="5"/>
  <c r="Y13" i="5"/>
  <c r="Y13" i="3"/>
  <c r="BE13" i="2" s="1"/>
  <c r="Y5" i="3"/>
  <c r="BE5" i="2" s="1"/>
  <c r="Y5" i="5"/>
  <c r="U22" i="5"/>
  <c r="U22" i="3"/>
  <c r="BA22" i="2" s="1"/>
  <c r="S22" i="3"/>
  <c r="AY22" i="2" s="1"/>
  <c r="S22" i="5"/>
  <c r="Y20" i="5"/>
  <c r="Y20" i="3"/>
  <c r="BE20" i="2" s="1"/>
  <c r="Y12" i="3"/>
  <c r="BE12" i="2" s="1"/>
  <c r="Y12" i="5"/>
  <c r="Y4" i="3"/>
  <c r="Y4" i="5"/>
  <c r="F22" i="3"/>
  <c r="AL22" i="2" s="1"/>
  <c r="F22" i="5"/>
  <c r="W22" i="2"/>
  <c r="BC21" i="2"/>
  <c r="Y19" i="5"/>
  <c r="Y19" i="3"/>
  <c r="BE19" i="2" s="1"/>
  <c r="Y11" i="5"/>
  <c r="Y11" i="3"/>
  <c r="BE11" i="2" s="1"/>
  <c r="M22" i="3"/>
  <c r="AS22" i="2" s="1"/>
  <c r="M22" i="5"/>
  <c r="V22" i="3"/>
  <c r="V22" i="5"/>
  <c r="D22" i="2"/>
  <c r="Y18" i="5"/>
  <c r="Y18" i="3"/>
  <c r="BE18" i="2" s="1"/>
  <c r="Y10" i="3"/>
  <c r="BE10" i="2" s="1"/>
  <c r="Y10" i="5"/>
  <c r="N22" i="3"/>
  <c r="AT22" i="2" s="1"/>
  <c r="N22" i="5"/>
  <c r="J22" i="5"/>
  <c r="J22" i="3"/>
  <c r="AP22" i="2" s="1"/>
  <c r="H22" i="2"/>
  <c r="C23" i="5"/>
  <c r="C23" i="3"/>
  <c r="Y17" i="5"/>
  <c r="Y17" i="3"/>
  <c r="BE17" i="2" s="1"/>
  <c r="Y9" i="3"/>
  <c r="BE9" i="2" s="1"/>
  <c r="Y9" i="5"/>
  <c r="I22" i="3"/>
  <c r="AO22" i="2" s="1"/>
  <c r="I22" i="5"/>
  <c r="R22" i="5"/>
  <c r="R22" i="3"/>
  <c r="AX22" i="2" s="1"/>
  <c r="L22" i="3"/>
  <c r="AR22" i="2" s="1"/>
  <c r="L22" i="5"/>
  <c r="Y16" i="3"/>
  <c r="BE16" i="2" s="1"/>
  <c r="Y16" i="5"/>
  <c r="Y8" i="5"/>
  <c r="Y8" i="3"/>
  <c r="BE8" i="2" s="1"/>
  <c r="Q22" i="3"/>
  <c r="AW22" i="2" s="1"/>
  <c r="Q22" i="5"/>
  <c r="G22" i="5"/>
  <c r="G22" i="3"/>
  <c r="AM22" i="2" s="1"/>
  <c r="P22" i="3"/>
  <c r="AV22" i="2" s="1"/>
  <c r="P22" i="5"/>
  <c r="X23" i="2"/>
  <c r="Y23" i="2"/>
  <c r="Z23" i="2"/>
  <c r="U23" i="2"/>
  <c r="Q23" i="2"/>
  <c r="M23" i="2"/>
  <c r="I23" i="2"/>
  <c r="E23" i="2"/>
  <c r="T23" i="2"/>
  <c r="P23" i="2"/>
  <c r="L23" i="2"/>
  <c r="H23" i="2"/>
  <c r="D23" i="2"/>
  <c r="S23" i="2"/>
  <c r="K23" i="2"/>
  <c r="W23" i="2"/>
  <c r="G23" i="2"/>
  <c r="V23" i="2"/>
  <c r="F23" i="2"/>
  <c r="R23" i="2"/>
  <c r="J23" i="2"/>
  <c r="O23" i="2"/>
  <c r="N23" i="2"/>
  <c r="Z4" i="2"/>
  <c r="Z5" i="2"/>
  <c r="Z6" i="2"/>
  <c r="Z7" i="2"/>
  <c r="Z8" i="2"/>
  <c r="Z9" i="2"/>
  <c r="Z10" i="2"/>
  <c r="Z11" i="2"/>
  <c r="Z12" i="2"/>
  <c r="Z13" i="2"/>
  <c r="Z14" i="2"/>
  <c r="Z15" i="2"/>
  <c r="Z16" i="2"/>
  <c r="Z17" i="2"/>
  <c r="Z18" i="2"/>
  <c r="Z19" i="2"/>
  <c r="Z20" i="2"/>
  <c r="Z21" i="2"/>
  <c r="Z22" i="2"/>
  <c r="C24" i="2"/>
  <c r="AA23" i="2"/>
  <c r="B24" i="2"/>
  <c r="X23" i="3" l="1"/>
  <c r="X23" i="5"/>
  <c r="C24" i="5"/>
  <c r="C24" i="3"/>
  <c r="Z21" i="3"/>
  <c r="BF21" i="2" s="1"/>
  <c r="Z21" i="5"/>
  <c r="Z13" i="5"/>
  <c r="Z13" i="3"/>
  <c r="BF13" i="2" s="1"/>
  <c r="Z5" i="3"/>
  <c r="BF5" i="2" s="1"/>
  <c r="Z5" i="5"/>
  <c r="G23" i="5"/>
  <c r="G23" i="3"/>
  <c r="AM23" i="2"/>
  <c r="T23" i="5"/>
  <c r="T23" i="3"/>
  <c r="AZ23" i="2" s="1"/>
  <c r="D22" i="5"/>
  <c r="AJ22" i="2"/>
  <c r="Z20" i="5"/>
  <c r="Z20" i="3"/>
  <c r="BF20" i="2" s="1"/>
  <c r="Z12" i="5"/>
  <c r="Z12" i="3"/>
  <c r="BF12" i="2" s="1"/>
  <c r="Z4" i="3"/>
  <c r="BF4" i="2" s="1"/>
  <c r="Z4" i="5"/>
  <c r="W23" i="3"/>
  <c r="BC23" i="2" s="1"/>
  <c r="W23" i="5"/>
  <c r="E23" i="3"/>
  <c r="AK23" i="2" s="1"/>
  <c r="E23" i="5"/>
  <c r="H22" i="5"/>
  <c r="H22" i="3"/>
  <c r="AN22" i="2" s="1"/>
  <c r="Z22" i="3"/>
  <c r="BF22" i="2" s="1"/>
  <c r="Z22" i="5"/>
  <c r="Z19" i="3"/>
  <c r="BF19" i="2" s="1"/>
  <c r="Z19" i="5"/>
  <c r="Z11" i="3"/>
  <c r="BF11" i="2" s="1"/>
  <c r="Z11" i="5"/>
  <c r="N23" i="3"/>
  <c r="AT23" i="2" s="1"/>
  <c r="N23" i="5"/>
  <c r="K23" i="3"/>
  <c r="AQ23" i="2" s="1"/>
  <c r="K23" i="5"/>
  <c r="I23" i="3"/>
  <c r="AO23" i="2" s="1"/>
  <c r="I23" i="5"/>
  <c r="BB22" i="2"/>
  <c r="Z14" i="5"/>
  <c r="Z14" i="3"/>
  <c r="BF14" i="2" s="1"/>
  <c r="V23" i="3"/>
  <c r="BB23" i="2" s="1"/>
  <c r="V23" i="5"/>
  <c r="P23" i="3"/>
  <c r="AV23" i="2" s="1"/>
  <c r="P23" i="5"/>
  <c r="AA23" i="3"/>
  <c r="BG23" i="2" s="1"/>
  <c r="AA23" i="5"/>
  <c r="Z18" i="3"/>
  <c r="BF18" i="2" s="1"/>
  <c r="Z18" i="5"/>
  <c r="Z10" i="5"/>
  <c r="Z10" i="3"/>
  <c r="BF10" i="2" s="1"/>
  <c r="O23" i="5"/>
  <c r="O23" i="3"/>
  <c r="AU23" i="2" s="1"/>
  <c r="S23" i="3"/>
  <c r="S23" i="5"/>
  <c r="M23" i="5"/>
  <c r="M23" i="3"/>
  <c r="AS23" i="2" s="1"/>
  <c r="Z17" i="3"/>
  <c r="BF17" i="2" s="1"/>
  <c r="Z17" i="5"/>
  <c r="Z9" i="5"/>
  <c r="Z9" i="3"/>
  <c r="BF9" i="2" s="1"/>
  <c r="J23" i="3"/>
  <c r="AP23" i="2" s="1"/>
  <c r="J23" i="5"/>
  <c r="D23" i="3"/>
  <c r="AJ23" i="2" s="1"/>
  <c r="D23" i="5"/>
  <c r="Q23" i="3"/>
  <c r="AW23" i="2" s="1"/>
  <c r="Q23" i="5"/>
  <c r="T22" i="3"/>
  <c r="AZ22" i="2" s="1"/>
  <c r="T22" i="5"/>
  <c r="Z6" i="5"/>
  <c r="Z6" i="3"/>
  <c r="BF6" i="2" s="1"/>
  <c r="Z16" i="3"/>
  <c r="BF16" i="2" s="1"/>
  <c r="Z16" i="5"/>
  <c r="Z8" i="3"/>
  <c r="BF8" i="2" s="1"/>
  <c r="Z8" i="5"/>
  <c r="R23" i="3"/>
  <c r="AX23" i="2" s="1"/>
  <c r="R23" i="5"/>
  <c r="H23" i="3"/>
  <c r="AN23" i="2" s="1"/>
  <c r="H23" i="5"/>
  <c r="U23" i="3"/>
  <c r="BA23" i="2" s="1"/>
  <c r="U23" i="5"/>
  <c r="Z23" i="5"/>
  <c r="Z23" i="3"/>
  <c r="BF23" i="2" s="1"/>
  <c r="BE4" i="2"/>
  <c r="Z15" i="5"/>
  <c r="Z15" i="3"/>
  <c r="BF15" i="2" s="1"/>
  <c r="Z7" i="3"/>
  <c r="BF7" i="2" s="1"/>
  <c r="Z7" i="5"/>
  <c r="F23" i="3"/>
  <c r="F23" i="5"/>
  <c r="AL23" i="2"/>
  <c r="L23" i="3"/>
  <c r="AR23" i="2" s="1"/>
  <c r="L23" i="5"/>
  <c r="Y23" i="5"/>
  <c r="Y23" i="3"/>
  <c r="BE23" i="2" s="1"/>
  <c r="W22" i="3"/>
  <c r="W22" i="5"/>
  <c r="K22" i="3"/>
  <c r="AQ22" i="2" s="1"/>
  <c r="K22" i="5"/>
  <c r="Z24" i="2"/>
  <c r="V24" i="2"/>
  <c r="R24" i="2"/>
  <c r="N24" i="2"/>
  <c r="J24" i="2"/>
  <c r="F24" i="2"/>
  <c r="Y24" i="2"/>
  <c r="U24" i="2"/>
  <c r="Q24" i="2"/>
  <c r="M24" i="2"/>
  <c r="I24" i="2"/>
  <c r="E24" i="2"/>
  <c r="T24" i="2"/>
  <c r="L24" i="2"/>
  <c r="D24" i="2"/>
  <c r="P24" i="2"/>
  <c r="W24" i="2"/>
  <c r="G24" i="2"/>
  <c r="AA24" i="2"/>
  <c r="S24" i="2"/>
  <c r="K24" i="2"/>
  <c r="X24" i="2"/>
  <c r="H24" i="2"/>
  <c r="O24" i="2"/>
  <c r="AA4" i="2"/>
  <c r="AA5" i="2"/>
  <c r="AA6" i="2"/>
  <c r="AA7" i="2"/>
  <c r="AA8" i="2"/>
  <c r="AA9" i="2"/>
  <c r="AA10" i="2"/>
  <c r="AA11" i="2"/>
  <c r="AA12" i="2"/>
  <c r="AA13" i="2"/>
  <c r="AA14" i="2"/>
  <c r="AA15" i="2"/>
  <c r="AA16" i="2"/>
  <c r="AA17" i="2"/>
  <c r="AA18" i="2"/>
  <c r="AA19" i="2"/>
  <c r="AA20" i="2"/>
  <c r="AA21" i="2"/>
  <c r="AA22" i="2"/>
  <c r="B25" i="2"/>
  <c r="C26" i="2"/>
  <c r="AB23" i="2"/>
  <c r="AA17" i="3" l="1"/>
  <c r="BG17" i="2" s="1"/>
  <c r="AA17" i="5"/>
  <c r="AA9" i="3"/>
  <c r="BG9" i="2" s="1"/>
  <c r="AA9" i="5"/>
  <c r="X24" i="3"/>
  <c r="X24" i="5"/>
  <c r="L24" i="5"/>
  <c r="L24" i="3"/>
  <c r="AR24" i="2" s="1"/>
  <c r="F24" i="3"/>
  <c r="AL24" i="2" s="1"/>
  <c r="F24" i="5"/>
  <c r="AA18" i="3"/>
  <c r="BG18" i="2" s="1"/>
  <c r="AA18" i="5"/>
  <c r="D24" i="3"/>
  <c r="AJ24" i="2" s="1"/>
  <c r="D24" i="5"/>
  <c r="C26" i="5"/>
  <c r="C26" i="3"/>
  <c r="AA16" i="5"/>
  <c r="AA16" i="3"/>
  <c r="BG16" i="2" s="1"/>
  <c r="AA8" i="5"/>
  <c r="AA8" i="3"/>
  <c r="BG8" i="2" s="1"/>
  <c r="K24" i="3"/>
  <c r="AQ24" i="2" s="1"/>
  <c r="K24" i="5"/>
  <c r="T24" i="3"/>
  <c r="T24" i="5"/>
  <c r="J24" i="3"/>
  <c r="AP24" i="2" s="1"/>
  <c r="J24" i="5"/>
  <c r="H24" i="5"/>
  <c r="H24" i="3"/>
  <c r="AN24" i="2" s="1"/>
  <c r="AB23" i="3"/>
  <c r="BH23" i="2" s="1"/>
  <c r="AB23" i="5"/>
  <c r="C25" i="5"/>
  <c r="C25" i="3"/>
  <c r="AA15" i="5"/>
  <c r="AA15" i="3"/>
  <c r="BG15" i="2" s="1"/>
  <c r="AA7" i="3"/>
  <c r="BG7" i="2" s="1"/>
  <c r="AA7" i="5"/>
  <c r="S24" i="3"/>
  <c r="AY24" i="2" s="1"/>
  <c r="S24" i="5"/>
  <c r="E24" i="5"/>
  <c r="E24" i="3"/>
  <c r="AK24" i="2" s="1"/>
  <c r="N24" i="3"/>
  <c r="AT24" i="2" s="1"/>
  <c r="N24" i="5"/>
  <c r="AA10" i="3"/>
  <c r="BG10" i="2" s="1"/>
  <c r="AA10" i="5"/>
  <c r="Y24" i="3"/>
  <c r="BE24" i="2" s="1"/>
  <c r="Y24" i="5"/>
  <c r="AA22" i="3"/>
  <c r="BG22" i="2" s="1"/>
  <c r="AA22" i="5"/>
  <c r="AA14" i="3"/>
  <c r="BG14" i="2" s="1"/>
  <c r="AA14" i="5"/>
  <c r="AA6" i="3"/>
  <c r="BG6" i="2" s="1"/>
  <c r="AA6" i="5"/>
  <c r="AA24" i="5"/>
  <c r="AA24" i="3"/>
  <c r="BG24" i="2" s="1"/>
  <c r="I24" i="3"/>
  <c r="AO24" i="2" s="1"/>
  <c r="I24" i="5"/>
  <c r="R24" i="5"/>
  <c r="R24" i="3"/>
  <c r="AX24" i="2" s="1"/>
  <c r="AA21" i="5"/>
  <c r="AA21" i="3"/>
  <c r="BG21" i="2" s="1"/>
  <c r="AA13" i="5"/>
  <c r="AA13" i="3"/>
  <c r="BG13" i="2" s="1"/>
  <c r="AA5" i="3"/>
  <c r="BG5" i="2" s="1"/>
  <c r="AA5" i="5"/>
  <c r="G24" i="3"/>
  <c r="AM24" i="2" s="1"/>
  <c r="G24" i="5"/>
  <c r="M24" i="3"/>
  <c r="AS24" i="2" s="1"/>
  <c r="M24" i="5"/>
  <c r="V24" i="3"/>
  <c r="BB24" i="2" s="1"/>
  <c r="V24" i="5"/>
  <c r="AA20" i="5"/>
  <c r="AA20" i="3"/>
  <c r="BG20" i="2" s="1"/>
  <c r="AA12" i="5"/>
  <c r="AA12" i="3"/>
  <c r="BG12" i="2" s="1"/>
  <c r="AA4" i="5"/>
  <c r="AA4" i="3"/>
  <c r="BG4" i="2" s="1"/>
  <c r="W24" i="3"/>
  <c r="BC24" i="2" s="1"/>
  <c r="W24" i="5"/>
  <c r="Q24" i="3"/>
  <c r="AW24" i="2" s="1"/>
  <c r="Q24" i="5"/>
  <c r="Z24" i="3"/>
  <c r="Z24" i="5"/>
  <c r="BC22" i="2"/>
  <c r="AY23" i="2"/>
  <c r="BD23" i="2"/>
  <c r="AA19" i="3"/>
  <c r="BG19" i="2" s="1"/>
  <c r="AA19" i="5"/>
  <c r="AA11" i="3"/>
  <c r="BG11" i="2" s="1"/>
  <c r="AA11" i="5"/>
  <c r="O24" i="3"/>
  <c r="AU24" i="2" s="1"/>
  <c r="O24" i="5"/>
  <c r="P24" i="3"/>
  <c r="AV24" i="2" s="1"/>
  <c r="P24" i="5"/>
  <c r="U24" i="3"/>
  <c r="BA24" i="2" s="1"/>
  <c r="U24" i="5"/>
  <c r="AA25" i="2"/>
  <c r="W25" i="2"/>
  <c r="O25" i="2"/>
  <c r="Z25" i="2"/>
  <c r="V25" i="2"/>
  <c r="N25" i="2"/>
  <c r="J25" i="2"/>
  <c r="F25" i="2"/>
  <c r="E25" i="2"/>
  <c r="Y25" i="2"/>
  <c r="AB25" i="2"/>
  <c r="T25" i="2"/>
  <c r="L25" i="2"/>
  <c r="AB4" i="2"/>
  <c r="AB5" i="2"/>
  <c r="AB6" i="2"/>
  <c r="AB7" i="2"/>
  <c r="AB8" i="2"/>
  <c r="AB9" i="2"/>
  <c r="AB10" i="2"/>
  <c r="AB11" i="2"/>
  <c r="AB12" i="2"/>
  <c r="AB13" i="2"/>
  <c r="AB14" i="2"/>
  <c r="AB15" i="2"/>
  <c r="AB16" i="2"/>
  <c r="AB17" i="2"/>
  <c r="AB18" i="2"/>
  <c r="AB19" i="2"/>
  <c r="AB20" i="2"/>
  <c r="AB21" i="2"/>
  <c r="AB22" i="2"/>
  <c r="AB24" i="2"/>
  <c r="AC23" i="2"/>
  <c r="B26" i="2"/>
  <c r="AB16" i="5" l="1"/>
  <c r="AB16" i="3"/>
  <c r="BH16" i="2" s="1"/>
  <c r="AB8" i="3"/>
  <c r="BH8" i="2" s="1"/>
  <c r="AB8" i="5"/>
  <c r="Q25" i="2"/>
  <c r="M25" i="2"/>
  <c r="G25" i="2"/>
  <c r="AB17" i="3"/>
  <c r="BH17" i="2" s="1"/>
  <c r="AB17" i="5"/>
  <c r="Z25" i="3"/>
  <c r="BF25" i="2" s="1"/>
  <c r="Z25" i="5"/>
  <c r="AC23" i="3"/>
  <c r="BI23" i="2" s="1"/>
  <c r="AC23" i="5"/>
  <c r="AB24" i="5"/>
  <c r="AB24" i="3"/>
  <c r="BH24" i="2" s="1"/>
  <c r="AB15" i="3"/>
  <c r="BH15" i="2" s="1"/>
  <c r="AB15" i="5"/>
  <c r="AB7" i="3"/>
  <c r="BH7" i="2" s="1"/>
  <c r="AB7" i="5"/>
  <c r="D25" i="2"/>
  <c r="U25" i="2"/>
  <c r="K25" i="2"/>
  <c r="I25" i="2"/>
  <c r="AB22" i="3"/>
  <c r="BH22" i="2" s="1"/>
  <c r="AB22" i="5"/>
  <c r="AB14" i="3"/>
  <c r="BH14" i="2" s="1"/>
  <c r="AB14" i="5"/>
  <c r="AB6" i="5"/>
  <c r="AB6" i="3"/>
  <c r="BH6" i="2" s="1"/>
  <c r="L25" i="3"/>
  <c r="AR25" i="2" s="1"/>
  <c r="L25" i="5"/>
  <c r="F25" i="5"/>
  <c r="F25" i="3"/>
  <c r="AL25" i="2" s="1"/>
  <c r="O25" i="3"/>
  <c r="AU25" i="2" s="1"/>
  <c r="O25" i="5"/>
  <c r="BF24" i="2"/>
  <c r="BD24" i="2"/>
  <c r="AB21" i="3"/>
  <c r="BH21" i="2" s="1"/>
  <c r="AB21" i="5"/>
  <c r="AB13" i="3"/>
  <c r="BH13" i="2" s="1"/>
  <c r="AB13" i="5"/>
  <c r="AB5" i="3"/>
  <c r="BH5" i="2" s="1"/>
  <c r="AB5" i="5"/>
  <c r="T25" i="3"/>
  <c r="T25" i="5"/>
  <c r="J25" i="3"/>
  <c r="AP25" i="2" s="1"/>
  <c r="J25" i="5"/>
  <c r="S25" i="2"/>
  <c r="E25" i="5"/>
  <c r="E25" i="3"/>
  <c r="AK25" i="2" s="1"/>
  <c r="AB20" i="3"/>
  <c r="BH20" i="2" s="1"/>
  <c r="AB20" i="5"/>
  <c r="AB12" i="5"/>
  <c r="AB12" i="3"/>
  <c r="BH12" i="2" s="1"/>
  <c r="AB4" i="3"/>
  <c r="BH4" i="2" s="1"/>
  <c r="AB4" i="5"/>
  <c r="AB25" i="3"/>
  <c r="BH25" i="2" s="1"/>
  <c r="AB25" i="5"/>
  <c r="N25" i="3"/>
  <c r="AT25" i="2" s="1"/>
  <c r="N25" i="5"/>
  <c r="W25" i="5"/>
  <c r="W25" i="3"/>
  <c r="BC25" i="2" s="1"/>
  <c r="AB19" i="3"/>
  <c r="BH19" i="2" s="1"/>
  <c r="AB19" i="5"/>
  <c r="AB11" i="5"/>
  <c r="AB11" i="3"/>
  <c r="BH11" i="2" s="1"/>
  <c r="P25" i="2"/>
  <c r="H25" i="2"/>
  <c r="R25" i="2"/>
  <c r="AA25" i="5"/>
  <c r="AA25" i="3"/>
  <c r="BG25" i="2" s="1"/>
  <c r="AZ24" i="2"/>
  <c r="AB9" i="3"/>
  <c r="BH9" i="2" s="1"/>
  <c r="AB9" i="5"/>
  <c r="AB18" i="5"/>
  <c r="AB18" i="3"/>
  <c r="BH18" i="2" s="1"/>
  <c r="AB10" i="5"/>
  <c r="AB10" i="3"/>
  <c r="BH10" i="2" s="1"/>
  <c r="X25" i="2"/>
  <c r="Y25" i="3"/>
  <c r="Y25" i="5"/>
  <c r="V25" i="3"/>
  <c r="BB25" i="2" s="1"/>
  <c r="V25" i="5"/>
  <c r="AC25" i="2"/>
  <c r="AC4" i="2"/>
  <c r="AC5" i="2"/>
  <c r="AC6" i="2"/>
  <c r="AC7" i="2"/>
  <c r="AC8" i="2"/>
  <c r="AC9" i="2"/>
  <c r="AC10" i="2"/>
  <c r="AC11" i="2"/>
  <c r="AC12" i="2"/>
  <c r="AC13" i="2"/>
  <c r="AC14" i="2"/>
  <c r="AC15" i="2"/>
  <c r="AC16" i="2"/>
  <c r="AC17" i="2"/>
  <c r="AC18" i="2"/>
  <c r="AC19" i="2"/>
  <c r="AC20" i="2"/>
  <c r="AC21" i="2"/>
  <c r="AC22" i="2"/>
  <c r="AC24" i="2"/>
  <c r="AB26" i="2"/>
  <c r="X26" i="2"/>
  <c r="T26" i="2"/>
  <c r="P26" i="2"/>
  <c r="L26" i="2"/>
  <c r="H26" i="2"/>
  <c r="D26" i="2"/>
  <c r="AA26" i="2"/>
  <c r="W26" i="2"/>
  <c r="S26" i="2"/>
  <c r="O26" i="2"/>
  <c r="K26" i="2"/>
  <c r="G26" i="2"/>
  <c r="V26" i="2"/>
  <c r="N26" i="2"/>
  <c r="F26" i="2"/>
  <c r="Z26" i="2"/>
  <c r="J26" i="2"/>
  <c r="Q26" i="2"/>
  <c r="AC26" i="2"/>
  <c r="U26" i="2"/>
  <c r="M26" i="2"/>
  <c r="E26" i="2"/>
  <c r="R26" i="2"/>
  <c r="Y26" i="2"/>
  <c r="I26" i="2"/>
  <c r="C27" i="2"/>
  <c r="B27" i="2"/>
  <c r="AD23" i="2"/>
  <c r="AC22" i="3" l="1"/>
  <c r="BI22" i="2" s="1"/>
  <c r="AC22" i="5"/>
  <c r="AC14" i="3"/>
  <c r="BI14" i="2" s="1"/>
  <c r="AC14" i="5"/>
  <c r="Q25" i="3"/>
  <c r="AW25" i="2" s="1"/>
  <c r="Q25" i="5"/>
  <c r="S25" i="3"/>
  <c r="AY25" i="2" s="1"/>
  <c r="S25" i="5"/>
  <c r="I25" i="3"/>
  <c r="AO25" i="2" s="1"/>
  <c r="I25" i="5"/>
  <c r="M26" i="3"/>
  <c r="AS26" i="2" s="1"/>
  <c r="M26" i="5"/>
  <c r="V26" i="3"/>
  <c r="BB26" i="2" s="1"/>
  <c r="V26" i="5"/>
  <c r="AC21" i="5"/>
  <c r="AC21" i="3"/>
  <c r="BI21" i="2" s="1"/>
  <c r="AC5" i="3"/>
  <c r="BI5" i="2" s="1"/>
  <c r="AC5" i="5"/>
  <c r="C27" i="5"/>
  <c r="C27" i="3"/>
  <c r="U26" i="5"/>
  <c r="U26" i="3"/>
  <c r="BA26" i="2"/>
  <c r="G26" i="3"/>
  <c r="AM26" i="2" s="1"/>
  <c r="G26" i="5"/>
  <c r="L26" i="3"/>
  <c r="AR26" i="2" s="1"/>
  <c r="L26" i="5"/>
  <c r="AC20" i="5"/>
  <c r="AC20" i="3"/>
  <c r="BI20" i="2" s="1"/>
  <c r="AC12" i="5"/>
  <c r="AC12" i="3"/>
  <c r="BI12" i="2" s="1"/>
  <c r="AC4" i="3"/>
  <c r="AC4" i="5"/>
  <c r="H25" i="3"/>
  <c r="AN25" i="2" s="1"/>
  <c r="H25" i="5"/>
  <c r="K25" i="3"/>
  <c r="AQ25" i="2" s="1"/>
  <c r="K25" i="5"/>
  <c r="E26" i="3"/>
  <c r="AK26" i="2" s="1"/>
  <c r="E26" i="5"/>
  <c r="H26" i="3"/>
  <c r="AN26" i="2" s="1"/>
  <c r="H26" i="5"/>
  <c r="AC13" i="3"/>
  <c r="BI13" i="2" s="1"/>
  <c r="AC13" i="5"/>
  <c r="AC26" i="5"/>
  <c r="AC26" i="3"/>
  <c r="BI26" i="2" s="1"/>
  <c r="K26" i="3"/>
  <c r="AQ26" i="2" s="1"/>
  <c r="K26" i="5"/>
  <c r="P26" i="5"/>
  <c r="P26" i="3"/>
  <c r="AV26" i="2" s="1"/>
  <c r="AC19" i="3"/>
  <c r="BI19" i="2" s="1"/>
  <c r="AC19" i="5"/>
  <c r="AC11" i="5"/>
  <c r="AC11" i="3"/>
  <c r="BI11" i="2" s="1"/>
  <c r="AC25" i="5"/>
  <c r="AC25" i="3"/>
  <c r="BI25" i="2" s="1"/>
  <c r="BE25" i="2"/>
  <c r="D26" i="3"/>
  <c r="AJ26" i="2" s="1"/>
  <c r="D26" i="5"/>
  <c r="AC6" i="3"/>
  <c r="BI6" i="2" s="1"/>
  <c r="AC6" i="5"/>
  <c r="AD23" i="3"/>
  <c r="BJ23" i="2" s="1"/>
  <c r="AD23" i="5"/>
  <c r="Q26" i="3"/>
  <c r="AW26" i="2" s="1"/>
  <c r="Q26" i="5"/>
  <c r="O26" i="3"/>
  <c r="AU26" i="2" s="1"/>
  <c r="O26" i="5"/>
  <c r="T26" i="3"/>
  <c r="AZ26" i="2" s="1"/>
  <c r="T26" i="5"/>
  <c r="AC18" i="5"/>
  <c r="AC18" i="3"/>
  <c r="BI18" i="2" s="1"/>
  <c r="AC10" i="5"/>
  <c r="AC10" i="3"/>
  <c r="BI10" i="2" s="1"/>
  <c r="P25" i="5"/>
  <c r="P25" i="3"/>
  <c r="AV25" i="2" s="1"/>
  <c r="U25" i="5"/>
  <c r="U25" i="3"/>
  <c r="BA25" i="2" s="1"/>
  <c r="N26" i="3"/>
  <c r="AT26" i="2" s="1"/>
  <c r="N26" i="5"/>
  <c r="R25" i="3"/>
  <c r="AX25" i="2" s="1"/>
  <c r="R25" i="5"/>
  <c r="I26" i="5"/>
  <c r="I26" i="3"/>
  <c r="AO26" i="2" s="1"/>
  <c r="J26" i="5"/>
  <c r="J26" i="3"/>
  <c r="AP26" i="2" s="1"/>
  <c r="S26" i="3"/>
  <c r="AY26" i="2" s="1"/>
  <c r="S26" i="5"/>
  <c r="X26" i="3"/>
  <c r="BD26" i="2" s="1"/>
  <c r="X26" i="5"/>
  <c r="AC17" i="5"/>
  <c r="AC17" i="3"/>
  <c r="BI17" i="2" s="1"/>
  <c r="AC9" i="5"/>
  <c r="AC9" i="3"/>
  <c r="BI9" i="2" s="1"/>
  <c r="G25" i="3"/>
  <c r="AM25" i="2" s="1"/>
  <c r="G25" i="5"/>
  <c r="Y26" i="5"/>
  <c r="Y26" i="3"/>
  <c r="BE26" i="2" s="1"/>
  <c r="Z26" i="3"/>
  <c r="BF26" i="2" s="1"/>
  <c r="Z26" i="5"/>
  <c r="W26" i="3"/>
  <c r="BC26" i="2" s="1"/>
  <c r="W26" i="5"/>
  <c r="AB26" i="5"/>
  <c r="AB26" i="3"/>
  <c r="AC16" i="3"/>
  <c r="BI16" i="2" s="1"/>
  <c r="AC16" i="5"/>
  <c r="AC8" i="5"/>
  <c r="AC8" i="3"/>
  <c r="BI8" i="2" s="1"/>
  <c r="X25" i="3"/>
  <c r="BD25" i="2" s="1"/>
  <c r="X25" i="5"/>
  <c r="AZ25" i="2"/>
  <c r="D25" i="3"/>
  <c r="AJ25" i="2" s="1"/>
  <c r="D25" i="5"/>
  <c r="R26" i="5"/>
  <c r="R26" i="3"/>
  <c r="AX26" i="2" s="1"/>
  <c r="F26" i="5"/>
  <c r="F26" i="3"/>
  <c r="AL26" i="2" s="1"/>
  <c r="AA26" i="3"/>
  <c r="AA26" i="5"/>
  <c r="AC24" i="3"/>
  <c r="BI24" i="2" s="1"/>
  <c r="AC24" i="5"/>
  <c r="AC15" i="5"/>
  <c r="AC15" i="3"/>
  <c r="BI15" i="2" s="1"/>
  <c r="AC7" i="3"/>
  <c r="BI7" i="2" s="1"/>
  <c r="AC7" i="5"/>
  <c r="M25" i="5"/>
  <c r="M25" i="3"/>
  <c r="AS25" i="2" s="1"/>
  <c r="AC27" i="2"/>
  <c r="Y27" i="2"/>
  <c r="U27" i="2"/>
  <c r="M27" i="2"/>
  <c r="E27" i="2"/>
  <c r="AB27" i="2"/>
  <c r="X27" i="2"/>
  <c r="T27" i="2"/>
  <c r="P27" i="2"/>
  <c r="H27" i="2"/>
  <c r="D27" i="2"/>
  <c r="W27" i="2"/>
  <c r="O27" i="2"/>
  <c r="G27" i="2"/>
  <c r="S27" i="2"/>
  <c r="R27" i="2"/>
  <c r="AD27" i="2"/>
  <c r="F27" i="2"/>
  <c r="AA27" i="2"/>
  <c r="K27" i="2"/>
  <c r="J27" i="2"/>
  <c r="AD4" i="2"/>
  <c r="AD5" i="2"/>
  <c r="AD6" i="2"/>
  <c r="AD7" i="2"/>
  <c r="AD8" i="2"/>
  <c r="AD9" i="2"/>
  <c r="AD10" i="2"/>
  <c r="AD11" i="2"/>
  <c r="AD12" i="2"/>
  <c r="AD13" i="2"/>
  <c r="AD14" i="2"/>
  <c r="AD15" i="2"/>
  <c r="AD16" i="2"/>
  <c r="AD17" i="2"/>
  <c r="AD18" i="2"/>
  <c r="AD19" i="2"/>
  <c r="AD20" i="2"/>
  <c r="AD21" i="2"/>
  <c r="AD22" i="2"/>
  <c r="AD24" i="2"/>
  <c r="AD25" i="2"/>
  <c r="AD26" i="2"/>
  <c r="B28" i="2"/>
  <c r="C28" i="2"/>
  <c r="C29" i="2"/>
  <c r="AE23" i="2"/>
  <c r="AD17" i="3" l="1"/>
  <c r="BJ17" i="2" s="1"/>
  <c r="AD17" i="5"/>
  <c r="AD9" i="3"/>
  <c r="BJ9" i="2" s="1"/>
  <c r="AD9" i="5"/>
  <c r="G27" i="5"/>
  <c r="G27" i="3"/>
  <c r="AM27" i="2" s="1"/>
  <c r="X27" i="3"/>
  <c r="BD27" i="2" s="1"/>
  <c r="X27" i="5"/>
  <c r="AC27" i="3"/>
  <c r="BI27" i="2" s="1"/>
  <c r="AC27" i="5"/>
  <c r="AD26" i="5"/>
  <c r="AD26" i="3"/>
  <c r="BJ26" i="2" s="1"/>
  <c r="K27" i="5"/>
  <c r="K27" i="3"/>
  <c r="AQ27" i="2" s="1"/>
  <c r="AE23" i="3"/>
  <c r="BK23" i="2" s="1"/>
  <c r="AE23" i="5"/>
  <c r="AD25" i="3"/>
  <c r="BJ25" i="2" s="1"/>
  <c r="AD25" i="5"/>
  <c r="AD16" i="5"/>
  <c r="AD16" i="3"/>
  <c r="BJ16" i="2" s="1"/>
  <c r="AD8" i="3"/>
  <c r="BJ8" i="2" s="1"/>
  <c r="AD8" i="5"/>
  <c r="AA27" i="3"/>
  <c r="BG27" i="2" s="1"/>
  <c r="AA27" i="5"/>
  <c r="O27" i="3"/>
  <c r="AU27" i="2" s="1"/>
  <c r="O27" i="5"/>
  <c r="AB27" i="3"/>
  <c r="BH27" i="2" s="1"/>
  <c r="AB27" i="5"/>
  <c r="BH26" i="2"/>
  <c r="C28" i="5"/>
  <c r="C28" i="3"/>
  <c r="AD24" i="5"/>
  <c r="AD24" i="3"/>
  <c r="BJ24" i="2" s="1"/>
  <c r="AD15" i="5"/>
  <c r="AD15" i="3"/>
  <c r="BJ15" i="2" s="1"/>
  <c r="AD7" i="3"/>
  <c r="BJ7" i="2" s="1"/>
  <c r="AD7" i="5"/>
  <c r="F27" i="3"/>
  <c r="AL27" i="2" s="1"/>
  <c r="F27" i="5"/>
  <c r="W27" i="3"/>
  <c r="BC27" i="2" s="1"/>
  <c r="W27" i="5"/>
  <c r="E27" i="5"/>
  <c r="E27" i="3"/>
  <c r="AK27" i="2" s="1"/>
  <c r="AD22" i="3"/>
  <c r="BJ22" i="2" s="1"/>
  <c r="AD22" i="5"/>
  <c r="AD14" i="3"/>
  <c r="BJ14" i="2" s="1"/>
  <c r="AD14" i="5"/>
  <c r="AD6" i="3"/>
  <c r="BJ6" i="2" s="1"/>
  <c r="AD6" i="5"/>
  <c r="N27" i="2"/>
  <c r="D27" i="3"/>
  <c r="AJ27" i="2" s="1"/>
  <c r="D27" i="5"/>
  <c r="I27" i="2"/>
  <c r="AD21" i="3"/>
  <c r="BJ21" i="2" s="1"/>
  <c r="AD21" i="5"/>
  <c r="AD13" i="5"/>
  <c r="AD13" i="3"/>
  <c r="BJ13" i="2" s="1"/>
  <c r="AD5" i="3"/>
  <c r="BJ5" i="2" s="1"/>
  <c r="AD5" i="5"/>
  <c r="V27" i="2"/>
  <c r="H27" i="3"/>
  <c r="AN27" i="2" s="1"/>
  <c r="H27" i="5"/>
  <c r="M27" i="5"/>
  <c r="M27" i="3"/>
  <c r="AS27" i="2" s="1"/>
  <c r="AD20" i="3"/>
  <c r="BJ20" i="2" s="1"/>
  <c r="AD20" i="5"/>
  <c r="AD12" i="5"/>
  <c r="AD12" i="3"/>
  <c r="BJ12" i="2" s="1"/>
  <c r="AD4" i="3"/>
  <c r="BJ4" i="2" s="1"/>
  <c r="AD4" i="5"/>
  <c r="AD27" i="3"/>
  <c r="BJ27" i="2" s="1"/>
  <c r="AD27" i="5"/>
  <c r="L27" i="2"/>
  <c r="Q27" i="2"/>
  <c r="AD19" i="5"/>
  <c r="AD19" i="3"/>
  <c r="BJ19" i="2" s="1"/>
  <c r="AD11" i="3"/>
  <c r="BJ11" i="2" s="1"/>
  <c r="AD11" i="5"/>
  <c r="J27" i="5"/>
  <c r="J27" i="3"/>
  <c r="AP27" i="2" s="1"/>
  <c r="R27" i="5"/>
  <c r="R27" i="3"/>
  <c r="AX27" i="2" s="1"/>
  <c r="P27" i="3"/>
  <c r="AV27" i="2" s="1"/>
  <c r="P27" i="5"/>
  <c r="U27" i="5"/>
  <c r="U27" i="3"/>
  <c r="BA27" i="2" s="1"/>
  <c r="BG26" i="2"/>
  <c r="BI4" i="2"/>
  <c r="C29" i="5"/>
  <c r="C29" i="3"/>
  <c r="AD18" i="3"/>
  <c r="BJ18" i="2" s="1"/>
  <c r="AD18" i="5"/>
  <c r="AD10" i="5"/>
  <c r="AD10" i="3"/>
  <c r="BJ10" i="2" s="1"/>
  <c r="Z27" i="2"/>
  <c r="S27" i="5"/>
  <c r="S27" i="3"/>
  <c r="AY27" i="2"/>
  <c r="T27" i="5"/>
  <c r="T27" i="3"/>
  <c r="AZ27" i="2" s="1"/>
  <c r="Y27" i="3"/>
  <c r="BE27" i="2" s="1"/>
  <c r="Y27" i="5"/>
  <c r="Y28" i="2"/>
  <c r="U28" i="2"/>
  <c r="Q28" i="2"/>
  <c r="M28" i="2"/>
  <c r="I28" i="2"/>
  <c r="E28" i="2"/>
  <c r="X28" i="2"/>
  <c r="T28" i="2"/>
  <c r="L28" i="2"/>
  <c r="H28" i="2"/>
  <c r="D28" i="2"/>
  <c r="AA28" i="2"/>
  <c r="Z28" i="2"/>
  <c r="J28" i="2"/>
  <c r="AE28" i="2"/>
  <c r="O28" i="2"/>
  <c r="AD28" i="2"/>
  <c r="V28" i="2"/>
  <c r="AE4" i="2"/>
  <c r="AE5" i="2"/>
  <c r="AE6" i="2"/>
  <c r="AE7" i="2"/>
  <c r="AE8" i="2"/>
  <c r="AE9" i="2"/>
  <c r="AE10" i="2"/>
  <c r="AE11" i="2"/>
  <c r="AE12" i="2"/>
  <c r="AE13" i="2"/>
  <c r="AE14" i="2"/>
  <c r="AE15" i="2"/>
  <c r="AE16" i="2"/>
  <c r="AE17" i="2"/>
  <c r="AE18" i="2"/>
  <c r="AE19" i="2"/>
  <c r="AE20" i="2"/>
  <c r="AE21" i="2"/>
  <c r="AE22" i="2"/>
  <c r="AE24" i="2"/>
  <c r="AE25" i="2"/>
  <c r="AE26" i="2"/>
  <c r="AE27" i="2"/>
  <c r="B29" i="2"/>
  <c r="AF23" i="2"/>
  <c r="AE19" i="3" l="1"/>
  <c r="BK19" i="2" s="1"/>
  <c r="AE19" i="5"/>
  <c r="AE11" i="3"/>
  <c r="BK11" i="2" s="1"/>
  <c r="AE11" i="5"/>
  <c r="V28" i="5"/>
  <c r="V28" i="3"/>
  <c r="BB28" i="2" s="1"/>
  <c r="J28" i="3"/>
  <c r="AP28" i="2" s="1"/>
  <c r="J28" i="5"/>
  <c r="L28" i="3"/>
  <c r="AR28" i="2" s="1"/>
  <c r="L28" i="5"/>
  <c r="Q28" i="3"/>
  <c r="AW28" i="2" s="1"/>
  <c r="Q28" i="5"/>
  <c r="I27" i="5"/>
  <c r="I27" i="3"/>
  <c r="AO27" i="2" s="1"/>
  <c r="AE27" i="5"/>
  <c r="AE27" i="3"/>
  <c r="BK27" i="2" s="1"/>
  <c r="AE18" i="3"/>
  <c r="BK18" i="2" s="1"/>
  <c r="AE18" i="5"/>
  <c r="AE10" i="3"/>
  <c r="BK10" i="2" s="1"/>
  <c r="AE10" i="5"/>
  <c r="W28" i="2"/>
  <c r="R28" i="2"/>
  <c r="P28" i="2"/>
  <c r="U28" i="5"/>
  <c r="U28" i="3"/>
  <c r="BA28" i="2" s="1"/>
  <c r="Z27" i="3"/>
  <c r="Z27" i="5"/>
  <c r="L27" i="3"/>
  <c r="AR27" i="2" s="1"/>
  <c r="L27" i="5"/>
  <c r="AE26" i="5"/>
  <c r="AE26" i="3"/>
  <c r="BK26" i="2" s="1"/>
  <c r="AE17" i="5"/>
  <c r="AE17" i="3"/>
  <c r="BK17" i="2" s="1"/>
  <c r="AE9" i="5"/>
  <c r="AE9" i="3"/>
  <c r="BK9" i="2" s="1"/>
  <c r="N28" i="2"/>
  <c r="Z28" i="3"/>
  <c r="BF28" i="2" s="1"/>
  <c r="Z28" i="5"/>
  <c r="T28" i="3"/>
  <c r="AZ28" i="2" s="1"/>
  <c r="T28" i="5"/>
  <c r="Y28" i="3"/>
  <c r="BE28" i="2" s="1"/>
  <c r="Y28" i="5"/>
  <c r="AF23" i="3"/>
  <c r="BL23" i="2" s="1"/>
  <c r="AF23" i="5"/>
  <c r="AE25" i="5"/>
  <c r="AE25" i="3"/>
  <c r="BK25" i="2" s="1"/>
  <c r="AE16" i="3"/>
  <c r="BK16" i="2" s="1"/>
  <c r="AE16" i="5"/>
  <c r="AE8" i="3"/>
  <c r="BK8" i="2" s="1"/>
  <c r="AE8" i="5"/>
  <c r="AD28" i="3"/>
  <c r="BJ28" i="2" s="1"/>
  <c r="AD28" i="5"/>
  <c r="K28" i="2"/>
  <c r="X28" i="3"/>
  <c r="BD28" i="2" s="1"/>
  <c r="X28" i="5"/>
  <c r="AC28" i="2"/>
  <c r="AE24" i="3"/>
  <c r="BK24" i="2" s="1"/>
  <c r="AE24" i="5"/>
  <c r="AE15" i="5"/>
  <c r="AE15" i="3"/>
  <c r="BK15" i="2" s="1"/>
  <c r="AE7" i="3"/>
  <c r="BK7" i="2" s="1"/>
  <c r="AE7" i="5"/>
  <c r="F28" i="2"/>
  <c r="S28" i="2"/>
  <c r="AB28" i="2"/>
  <c r="AE22" i="5"/>
  <c r="AE22" i="3"/>
  <c r="BK22" i="2" s="1"/>
  <c r="AE14" i="3"/>
  <c r="BK14" i="2" s="1"/>
  <c r="AE14" i="5"/>
  <c r="AE6" i="5"/>
  <c r="AE6" i="3"/>
  <c r="BK6" i="2" s="1"/>
  <c r="G28" i="2"/>
  <c r="AA28" i="3"/>
  <c r="BG28" i="2" s="1"/>
  <c r="AA28" i="5"/>
  <c r="E28" i="3"/>
  <c r="AK28" i="2" s="1"/>
  <c r="E28" i="5"/>
  <c r="V27" i="5"/>
  <c r="V27" i="3"/>
  <c r="BB27" i="2" s="1"/>
  <c r="N27" i="5"/>
  <c r="N27" i="3"/>
  <c r="AT27" i="2" s="1"/>
  <c r="AE21" i="3"/>
  <c r="BK21" i="2" s="1"/>
  <c r="AE21" i="5"/>
  <c r="AE13" i="3"/>
  <c r="BK13" i="2" s="1"/>
  <c r="AE13" i="5"/>
  <c r="AE5" i="3"/>
  <c r="BK5" i="2" s="1"/>
  <c r="AE5" i="5"/>
  <c r="O28" i="3"/>
  <c r="AU28" i="2" s="1"/>
  <c r="O28" i="5"/>
  <c r="D28" i="5"/>
  <c r="D28" i="3"/>
  <c r="AJ28" i="2" s="1"/>
  <c r="I28" i="3"/>
  <c r="AO28" i="2" s="1"/>
  <c r="I28" i="5"/>
  <c r="AE20" i="3"/>
  <c r="BK20" i="2" s="1"/>
  <c r="AE20" i="5"/>
  <c r="AE12" i="3"/>
  <c r="BK12" i="2" s="1"/>
  <c r="AE12" i="5"/>
  <c r="AE4" i="5"/>
  <c r="AE4" i="3"/>
  <c r="BK4" i="2"/>
  <c r="AE28" i="5"/>
  <c r="AE28" i="3"/>
  <c r="BK28" i="2" s="1"/>
  <c r="H28" i="5"/>
  <c r="H28" i="3"/>
  <c r="AN28" i="2" s="1"/>
  <c r="M28" i="3"/>
  <c r="AS28" i="2" s="1"/>
  <c r="M28" i="5"/>
  <c r="Q27" i="3"/>
  <c r="AW27" i="2" s="1"/>
  <c r="Q27" i="5"/>
  <c r="AD29" i="2"/>
  <c r="Z29" i="2"/>
  <c r="R29" i="2"/>
  <c r="F29" i="2"/>
  <c r="AC29" i="2"/>
  <c r="Y29" i="2"/>
  <c r="U29" i="2"/>
  <c r="Q29" i="2"/>
  <c r="M29" i="2"/>
  <c r="I29" i="2"/>
  <c r="E29" i="2"/>
  <c r="T29" i="2"/>
  <c r="K29" i="2"/>
  <c r="AF29" i="2"/>
  <c r="P29" i="2"/>
  <c r="H29" i="2"/>
  <c r="W29" i="2"/>
  <c r="AE29" i="2"/>
  <c r="O29" i="2"/>
  <c r="X29" i="2"/>
  <c r="G29" i="2"/>
  <c r="AF4" i="2"/>
  <c r="AF5" i="2"/>
  <c r="AF6" i="2"/>
  <c r="AF7" i="2"/>
  <c r="AF8" i="2"/>
  <c r="AF9" i="2"/>
  <c r="AF10" i="2"/>
  <c r="AF11" i="2"/>
  <c r="AF12" i="2"/>
  <c r="AF13" i="2"/>
  <c r="AF14" i="2"/>
  <c r="AF15" i="2"/>
  <c r="AF16" i="2"/>
  <c r="AF17" i="2"/>
  <c r="AF18" i="2"/>
  <c r="AF19" i="2"/>
  <c r="AF20" i="2"/>
  <c r="AF21" i="2"/>
  <c r="AF22" i="2"/>
  <c r="AF24" i="2"/>
  <c r="AF25" i="2"/>
  <c r="AF26" i="2"/>
  <c r="AF27" i="2"/>
  <c r="AF28" i="2"/>
  <c r="B30" i="2"/>
  <c r="AG23" i="2"/>
  <c r="C30" i="2"/>
  <c r="AF24" i="5" l="1"/>
  <c r="AF24" i="3"/>
  <c r="BL24" i="2" s="1"/>
  <c r="AF15" i="5"/>
  <c r="AF15" i="3"/>
  <c r="BL15" i="2" s="1"/>
  <c r="AF7" i="5"/>
  <c r="AF7" i="3"/>
  <c r="BL7" i="2" s="1"/>
  <c r="W29" i="5"/>
  <c r="W29" i="3"/>
  <c r="BC29" i="2" s="1"/>
  <c r="L29" i="2"/>
  <c r="Y29" i="3"/>
  <c r="BE29" i="2" s="1"/>
  <c r="Y29" i="5"/>
  <c r="AD29" i="3"/>
  <c r="BJ29" i="2" s="1"/>
  <c r="AD29" i="5"/>
  <c r="W28" i="3"/>
  <c r="BC28" i="2" s="1"/>
  <c r="W28" i="5"/>
  <c r="AF22" i="3"/>
  <c r="BL22" i="2" s="1"/>
  <c r="AF22" i="5"/>
  <c r="AF14" i="5"/>
  <c r="AF14" i="3"/>
  <c r="BL14" i="2" s="1"/>
  <c r="AF6" i="3"/>
  <c r="BL6" i="2" s="1"/>
  <c r="AF6" i="5"/>
  <c r="H29" i="5"/>
  <c r="H29" i="3"/>
  <c r="AN29" i="2" s="1"/>
  <c r="T29" i="5"/>
  <c r="T29" i="3"/>
  <c r="AZ29" i="2" s="1"/>
  <c r="AC29" i="3"/>
  <c r="BI29" i="2" s="1"/>
  <c r="AC29" i="5"/>
  <c r="S28" i="3"/>
  <c r="AY28" i="2" s="1"/>
  <c r="S28" i="5"/>
  <c r="AF21" i="5"/>
  <c r="AF21" i="3"/>
  <c r="BL21" i="2" s="1"/>
  <c r="AF13" i="5"/>
  <c r="AF13" i="3"/>
  <c r="BL13" i="2" s="1"/>
  <c r="AF5" i="5"/>
  <c r="AF5" i="3"/>
  <c r="BL5" i="2" s="1"/>
  <c r="P29" i="5"/>
  <c r="P29" i="3"/>
  <c r="AV29" i="2" s="1"/>
  <c r="AB29" i="2"/>
  <c r="F29" i="3"/>
  <c r="AL29" i="2" s="1"/>
  <c r="F29" i="5"/>
  <c r="G28" i="5"/>
  <c r="G28" i="3"/>
  <c r="AM28" i="2" s="1"/>
  <c r="N28" i="3"/>
  <c r="AT28" i="2" s="1"/>
  <c r="N28" i="5"/>
  <c r="AG23" i="3"/>
  <c r="BM23" i="2" s="1"/>
  <c r="AG23" i="5"/>
  <c r="AF20" i="5"/>
  <c r="AF20" i="3"/>
  <c r="BL20" i="2" s="1"/>
  <c r="AF12" i="5"/>
  <c r="AF12" i="3"/>
  <c r="BL12" i="2" s="1"/>
  <c r="AF4" i="5"/>
  <c r="AF4" i="3"/>
  <c r="BL4" i="2" s="1"/>
  <c r="AF29" i="3"/>
  <c r="BL29" i="2" s="1"/>
  <c r="AF29" i="5"/>
  <c r="E29" i="3"/>
  <c r="AK29" i="2" s="1"/>
  <c r="E29" i="5"/>
  <c r="J29" i="2"/>
  <c r="F28" i="3"/>
  <c r="AL28" i="2" s="1"/>
  <c r="F28" i="5"/>
  <c r="K28" i="3"/>
  <c r="AQ28" i="2" s="1"/>
  <c r="K28" i="5"/>
  <c r="C30" i="5"/>
  <c r="C30" i="3"/>
  <c r="AF28" i="3"/>
  <c r="BL28" i="2" s="1"/>
  <c r="AF28" i="5"/>
  <c r="AF19" i="3"/>
  <c r="BL19" i="2" s="1"/>
  <c r="AF19" i="5"/>
  <c r="AF11" i="3"/>
  <c r="BL11" i="2" s="1"/>
  <c r="AF11" i="5"/>
  <c r="G29" i="3"/>
  <c r="AM29" i="2" s="1"/>
  <c r="G29" i="5"/>
  <c r="K29" i="5"/>
  <c r="K29" i="3"/>
  <c r="AQ29" i="2" s="1"/>
  <c r="I29" i="5"/>
  <c r="I29" i="3"/>
  <c r="AO29" i="2" s="1"/>
  <c r="N29" i="2"/>
  <c r="P28" i="5"/>
  <c r="P28" i="3"/>
  <c r="AV28" i="2" s="1"/>
  <c r="AF27" i="5"/>
  <c r="AF27" i="3"/>
  <c r="BL27" i="2" s="1"/>
  <c r="AF18" i="3"/>
  <c r="BL18" i="2" s="1"/>
  <c r="AF18" i="5"/>
  <c r="AF10" i="3"/>
  <c r="BL10" i="2" s="1"/>
  <c r="AF10" i="5"/>
  <c r="X29" i="3"/>
  <c r="BD29" i="2" s="1"/>
  <c r="X29" i="5"/>
  <c r="S29" i="2"/>
  <c r="M29" i="5"/>
  <c r="M29" i="3"/>
  <c r="AS29" i="2" s="1"/>
  <c r="R29" i="5"/>
  <c r="R29" i="3"/>
  <c r="AX29" i="2" s="1"/>
  <c r="AF26" i="3"/>
  <c r="BL26" i="2" s="1"/>
  <c r="AF26" i="5"/>
  <c r="AF17" i="5"/>
  <c r="AF17" i="3"/>
  <c r="BL17" i="2" s="1"/>
  <c r="AF9" i="5"/>
  <c r="AF9" i="3"/>
  <c r="BL9" i="2" s="1"/>
  <c r="O29" i="3"/>
  <c r="AU29" i="2" s="1"/>
  <c r="O29" i="5"/>
  <c r="AA29" i="2"/>
  <c r="Q29" i="3"/>
  <c r="AW29" i="2" s="1"/>
  <c r="Q29" i="5"/>
  <c r="V29" i="2"/>
  <c r="AC28" i="5"/>
  <c r="AC28" i="3"/>
  <c r="BI28" i="2" s="1"/>
  <c r="BF27" i="2"/>
  <c r="R28" i="5"/>
  <c r="R28" i="3"/>
  <c r="AX28" i="2" s="1"/>
  <c r="AF25" i="3"/>
  <c r="BL25" i="2" s="1"/>
  <c r="AF25" i="5"/>
  <c r="AF16" i="5"/>
  <c r="AF16" i="3"/>
  <c r="BL16" i="2" s="1"/>
  <c r="AF8" i="3"/>
  <c r="BL8" i="2" s="1"/>
  <c r="AF8" i="5"/>
  <c r="AE29" i="5"/>
  <c r="AE29" i="3"/>
  <c r="BK29" i="2" s="1"/>
  <c r="D29" i="2"/>
  <c r="U29" i="5"/>
  <c r="U29" i="3"/>
  <c r="BA29" i="2" s="1"/>
  <c r="Z29" i="5"/>
  <c r="Z29" i="3"/>
  <c r="BF29" i="2" s="1"/>
  <c r="AB28" i="3"/>
  <c r="BH28" i="2" s="1"/>
  <c r="AB28" i="5"/>
  <c r="AG4" i="2"/>
  <c r="AG5" i="2"/>
  <c r="AG6" i="2"/>
  <c r="AG7" i="2"/>
  <c r="AG8" i="2"/>
  <c r="AG9" i="2"/>
  <c r="AG10" i="2"/>
  <c r="AG11" i="2"/>
  <c r="AG12" i="2"/>
  <c r="AG13" i="2"/>
  <c r="AG14" i="2"/>
  <c r="AG15" i="2"/>
  <c r="AG16" i="2"/>
  <c r="AG17" i="2"/>
  <c r="AG18" i="2"/>
  <c r="AG19" i="2"/>
  <c r="AG20" i="2"/>
  <c r="AG21" i="2"/>
  <c r="AG22" i="2"/>
  <c r="AG24" i="2"/>
  <c r="AG25" i="2"/>
  <c r="AG26" i="2"/>
  <c r="AG27" i="2"/>
  <c r="AG28" i="2"/>
  <c r="AE30" i="2"/>
  <c r="AA30" i="2"/>
  <c r="W30" i="2"/>
  <c r="S30" i="2"/>
  <c r="O30" i="2"/>
  <c r="K30" i="2"/>
  <c r="G30" i="2"/>
  <c r="AD30" i="2"/>
  <c r="Z30" i="2"/>
  <c r="V30" i="2"/>
  <c r="R30" i="2"/>
  <c r="N30" i="2"/>
  <c r="J30" i="2"/>
  <c r="F30" i="2"/>
  <c r="AC30" i="2"/>
  <c r="U30" i="2"/>
  <c r="M30" i="2"/>
  <c r="E30" i="2"/>
  <c r="AB30" i="2"/>
  <c r="T30" i="2"/>
  <c r="L30" i="2"/>
  <c r="D30" i="2"/>
  <c r="AG30" i="2"/>
  <c r="Q30" i="2"/>
  <c r="I30" i="2"/>
  <c r="X30" i="2"/>
  <c r="AF30" i="2"/>
  <c r="P30" i="2"/>
  <c r="Y30" i="2"/>
  <c r="H30" i="2"/>
  <c r="AG29" i="2"/>
  <c r="B31" i="2"/>
  <c r="C31" i="2"/>
  <c r="AH23" i="2"/>
  <c r="AF30" i="3" l="1"/>
  <c r="BL30" i="2" s="1"/>
  <c r="AF30" i="5"/>
  <c r="AB30" i="3"/>
  <c r="BH30" i="2" s="1"/>
  <c r="AB30" i="5"/>
  <c r="R30" i="5"/>
  <c r="R30" i="3"/>
  <c r="AX30" i="2" s="1"/>
  <c r="W30" i="3"/>
  <c r="BC30" i="2" s="1"/>
  <c r="W30" i="5"/>
  <c r="AG22" i="5"/>
  <c r="AG22" i="3"/>
  <c r="BM22" i="2" s="1"/>
  <c r="AG14" i="3"/>
  <c r="BM14" i="2" s="1"/>
  <c r="AG14" i="5"/>
  <c r="AG6" i="5"/>
  <c r="AG6" i="3"/>
  <c r="BM6" i="2" s="1"/>
  <c r="X30" i="5"/>
  <c r="X30" i="3"/>
  <c r="BD30" i="2" s="1"/>
  <c r="E30" i="3"/>
  <c r="AK30" i="2" s="1"/>
  <c r="E30" i="5"/>
  <c r="V30" i="5"/>
  <c r="V30" i="3"/>
  <c r="BB30" i="2" s="1"/>
  <c r="AA30" i="5"/>
  <c r="AA30" i="3"/>
  <c r="BG30" i="2" s="1"/>
  <c r="AG21" i="5"/>
  <c r="AG21" i="3"/>
  <c r="BM21" i="2" s="1"/>
  <c r="AG13" i="5"/>
  <c r="AG13" i="3"/>
  <c r="BM13" i="2" s="1"/>
  <c r="AG5" i="5"/>
  <c r="AG5" i="3"/>
  <c r="BM5" i="2" s="1"/>
  <c r="AA29" i="3"/>
  <c r="BG29" i="2" s="1"/>
  <c r="AA29" i="5"/>
  <c r="I30" i="5"/>
  <c r="I30" i="3"/>
  <c r="AO30" i="2" s="1"/>
  <c r="M30" i="5"/>
  <c r="M30" i="3"/>
  <c r="AS30" i="2" s="1"/>
  <c r="Z30" i="3"/>
  <c r="BF30" i="2" s="1"/>
  <c r="Z30" i="5"/>
  <c r="AE30" i="3"/>
  <c r="BK30" i="2" s="1"/>
  <c r="AE30" i="5"/>
  <c r="AG20" i="3"/>
  <c r="BM20" i="2" s="1"/>
  <c r="AG20" i="5"/>
  <c r="AG12" i="5"/>
  <c r="AG12" i="3"/>
  <c r="BM12" i="2" s="1"/>
  <c r="AG4" i="3"/>
  <c r="BM4" i="2" s="1"/>
  <c r="AG4" i="5"/>
  <c r="AB29" i="3"/>
  <c r="AB29" i="5"/>
  <c r="BH29" i="2"/>
  <c r="Q30" i="5"/>
  <c r="Q30" i="3"/>
  <c r="AW30" i="2" s="1"/>
  <c r="U30" i="3"/>
  <c r="BA30" i="2" s="1"/>
  <c r="U30" i="5"/>
  <c r="AD30" i="5"/>
  <c r="AD30" i="3"/>
  <c r="AG28" i="5"/>
  <c r="AG28" i="3"/>
  <c r="BM28" i="2" s="1"/>
  <c r="AG19" i="5"/>
  <c r="AG19" i="3"/>
  <c r="BM19" i="2" s="1"/>
  <c r="AG11" i="3"/>
  <c r="BM11" i="2" s="1"/>
  <c r="AG11" i="5"/>
  <c r="AH23" i="3"/>
  <c r="BN23" i="2" s="1"/>
  <c r="BO23" i="2" s="1"/>
  <c r="AH23" i="5"/>
  <c r="AG29" i="3"/>
  <c r="BM29" i="2" s="1"/>
  <c r="AG29" i="5"/>
  <c r="AG30" i="3"/>
  <c r="BM30" i="2" s="1"/>
  <c r="AG30" i="5"/>
  <c r="AC30" i="3"/>
  <c r="BI30" i="2" s="1"/>
  <c r="AC30" i="5"/>
  <c r="G30" i="3"/>
  <c r="AM30" i="2" s="1"/>
  <c r="G30" i="5"/>
  <c r="AG27" i="5"/>
  <c r="AG27" i="3"/>
  <c r="BM27" i="2" s="1"/>
  <c r="AG18" i="3"/>
  <c r="BM18" i="2" s="1"/>
  <c r="AG18" i="5"/>
  <c r="AG10" i="5"/>
  <c r="AG10" i="3"/>
  <c r="BM10" i="2" s="1"/>
  <c r="D29" i="5"/>
  <c r="D29" i="3"/>
  <c r="AJ29" i="2" s="1"/>
  <c r="V29" i="3"/>
  <c r="BB29" i="2" s="1"/>
  <c r="V29" i="5"/>
  <c r="J29" i="5"/>
  <c r="J29" i="3"/>
  <c r="AP29" i="2" s="1"/>
  <c r="H30" i="5"/>
  <c r="H30" i="3"/>
  <c r="AN30" i="2" s="1"/>
  <c r="D30" i="3"/>
  <c r="AJ30" i="2" s="1"/>
  <c r="D30" i="5"/>
  <c r="F30" i="5"/>
  <c r="F30" i="3"/>
  <c r="AL30" i="2" s="1"/>
  <c r="K30" i="3"/>
  <c r="AQ30" i="2" s="1"/>
  <c r="K30" i="5"/>
  <c r="AG26" i="5"/>
  <c r="AG26" i="3"/>
  <c r="BM26" i="2" s="1"/>
  <c r="AG17" i="3"/>
  <c r="BM17" i="2" s="1"/>
  <c r="AG17" i="5"/>
  <c r="AG9" i="3"/>
  <c r="BM9" i="2" s="1"/>
  <c r="AG9" i="5"/>
  <c r="S29" i="3"/>
  <c r="AY29" i="2" s="1"/>
  <c r="S29" i="5"/>
  <c r="Y30" i="3"/>
  <c r="BE30" i="2" s="1"/>
  <c r="Y30" i="5"/>
  <c r="L30" i="3"/>
  <c r="AR30" i="2" s="1"/>
  <c r="L30" i="5"/>
  <c r="J30" i="5"/>
  <c r="J30" i="3"/>
  <c r="AP30" i="2" s="1"/>
  <c r="O30" i="3"/>
  <c r="AU30" i="2" s="1"/>
  <c r="O30" i="5"/>
  <c r="AG25" i="3"/>
  <c r="BM25" i="2" s="1"/>
  <c r="AG25" i="5"/>
  <c r="AG16" i="3"/>
  <c r="BM16" i="2" s="1"/>
  <c r="AG16" i="5"/>
  <c r="AG8" i="5"/>
  <c r="AG8" i="3"/>
  <c r="BM8" i="2" s="1"/>
  <c r="L29" i="5"/>
  <c r="L29" i="3"/>
  <c r="AR29" i="2" s="1"/>
  <c r="C31" i="5"/>
  <c r="C31" i="3"/>
  <c r="P30" i="5"/>
  <c r="P30" i="3"/>
  <c r="AV30" i="2" s="1"/>
  <c r="T30" i="3"/>
  <c r="AZ30" i="2" s="1"/>
  <c r="T30" i="5"/>
  <c r="N30" i="3"/>
  <c r="AT30" i="2" s="1"/>
  <c r="N30" i="5"/>
  <c r="S30" i="3"/>
  <c r="AY30" i="2" s="1"/>
  <c r="S30" i="5"/>
  <c r="AG24" i="3"/>
  <c r="BM24" i="2" s="1"/>
  <c r="AG24" i="5"/>
  <c r="AG15" i="3"/>
  <c r="BM15" i="2" s="1"/>
  <c r="AG15" i="5"/>
  <c r="AG7" i="3"/>
  <c r="BM7" i="2" s="1"/>
  <c r="AG7" i="5"/>
  <c r="N29" i="3"/>
  <c r="AT29" i="2" s="1"/>
  <c r="N29" i="5"/>
  <c r="AF31" i="2"/>
  <c r="T31" i="2"/>
  <c r="K31" i="2"/>
  <c r="G31" i="2"/>
  <c r="AD31" i="2"/>
  <c r="F31" i="2"/>
  <c r="AH31" i="2"/>
  <c r="R31" i="2"/>
  <c r="Z31" i="2"/>
  <c r="Y31" i="2"/>
  <c r="AG31" i="2"/>
  <c r="Q31" i="2"/>
  <c r="I31" i="2"/>
  <c r="AH4" i="2"/>
  <c r="AH5" i="2"/>
  <c r="AH6" i="2"/>
  <c r="AH7" i="2"/>
  <c r="AH8" i="2"/>
  <c r="AH9" i="2"/>
  <c r="AH10" i="2"/>
  <c r="AH11" i="2"/>
  <c r="AH12" i="2"/>
  <c r="AH13" i="2"/>
  <c r="AH14" i="2"/>
  <c r="AH15" i="2"/>
  <c r="AH16" i="2"/>
  <c r="AH17" i="2"/>
  <c r="AH18" i="2"/>
  <c r="AH19" i="2"/>
  <c r="AH20" i="2"/>
  <c r="AH21" i="2"/>
  <c r="AH22" i="2"/>
  <c r="AH24" i="2"/>
  <c r="AH25" i="2"/>
  <c r="AH26" i="2"/>
  <c r="AH27" i="2"/>
  <c r="AH28" i="2"/>
  <c r="AH29" i="2"/>
  <c r="AH30" i="2"/>
  <c r="AH11" i="3" l="1"/>
  <c r="BN11" i="2" s="1"/>
  <c r="BO11" i="2" s="1"/>
  <c r="AH11" i="5"/>
  <c r="G31" i="3"/>
  <c r="AM31" i="2" s="1"/>
  <c r="G31" i="5"/>
  <c r="AH27" i="3"/>
  <c r="BN27" i="2" s="1"/>
  <c r="BO27" i="2" s="1"/>
  <c r="AH27" i="5"/>
  <c r="AH18" i="5"/>
  <c r="AH18" i="3"/>
  <c r="BN18" i="2" s="1"/>
  <c r="BO18" i="2" s="1"/>
  <c r="AH10" i="3"/>
  <c r="BN10" i="2" s="1"/>
  <c r="BO10" i="2" s="1"/>
  <c r="AH10" i="5"/>
  <c r="Q31" i="3"/>
  <c r="AW31" i="2" s="1"/>
  <c r="Q31" i="5"/>
  <c r="M31" i="2"/>
  <c r="K31" i="5"/>
  <c r="K31" i="3"/>
  <c r="AQ31" i="2" s="1"/>
  <c r="L31" i="2"/>
  <c r="BQ23" i="2"/>
  <c r="BR23" i="2"/>
  <c r="BP23" i="2" s="1"/>
  <c r="E31" i="2"/>
  <c r="AH26" i="3"/>
  <c r="BN26" i="2" s="1"/>
  <c r="BO26" i="2" s="1"/>
  <c r="AH26" i="5"/>
  <c r="AH17" i="5"/>
  <c r="AH17" i="3"/>
  <c r="BN17" i="2" s="1"/>
  <c r="BO17" i="2" s="1"/>
  <c r="AH9" i="5"/>
  <c r="AH9" i="3"/>
  <c r="BN9" i="2" s="1"/>
  <c r="BO9" i="2" s="1"/>
  <c r="AG31" i="5"/>
  <c r="AG31" i="3"/>
  <c r="BM31" i="2" s="1"/>
  <c r="U31" i="2"/>
  <c r="O31" i="2"/>
  <c r="P31" i="2"/>
  <c r="I31" i="3"/>
  <c r="AO31" i="2" s="1"/>
  <c r="I31" i="5"/>
  <c r="AH25" i="3"/>
  <c r="BN25" i="2" s="1"/>
  <c r="BO25" i="2" s="1"/>
  <c r="AH25" i="5"/>
  <c r="AH16" i="3"/>
  <c r="BN16" i="2" s="1"/>
  <c r="BO16" i="2" s="1"/>
  <c r="AH16" i="5"/>
  <c r="AH8" i="3"/>
  <c r="BN8" i="2" s="1"/>
  <c r="BO8" i="2" s="1"/>
  <c r="AH8" i="5"/>
  <c r="Y31" i="5"/>
  <c r="Y31" i="3"/>
  <c r="BE31" i="2" s="1"/>
  <c r="AC31" i="2"/>
  <c r="S31" i="2"/>
  <c r="T31" i="3"/>
  <c r="AZ31" i="2" s="1"/>
  <c r="T31" i="5"/>
  <c r="H31" i="2"/>
  <c r="AH24" i="5"/>
  <c r="AH24" i="3"/>
  <c r="BN24" i="2" s="1"/>
  <c r="BO24" i="2" s="1"/>
  <c r="AH15" i="3"/>
  <c r="BN15" i="2" s="1"/>
  <c r="BO15" i="2" s="1"/>
  <c r="AH15" i="5"/>
  <c r="AH7" i="5"/>
  <c r="AH7" i="3"/>
  <c r="BN7" i="2" s="1"/>
  <c r="BO7" i="2" s="1"/>
  <c r="J31" i="2"/>
  <c r="F31" i="3"/>
  <c r="AL31" i="2" s="1"/>
  <c r="F31" i="5"/>
  <c r="W31" i="2"/>
  <c r="X31" i="2"/>
  <c r="AH28" i="3"/>
  <c r="BN28" i="2" s="1"/>
  <c r="BO28" i="2" s="1"/>
  <c r="AH28" i="5"/>
  <c r="AH22" i="3"/>
  <c r="BN22" i="2" s="1"/>
  <c r="BO22" i="2" s="1"/>
  <c r="AH22" i="5"/>
  <c r="AH14" i="3"/>
  <c r="BN14" i="2" s="1"/>
  <c r="BO14" i="2" s="1"/>
  <c r="AH14" i="5"/>
  <c r="AH6" i="5"/>
  <c r="AH6" i="3"/>
  <c r="BN6" i="2" s="1"/>
  <c r="BO6" i="2" s="1"/>
  <c r="Z31" i="3"/>
  <c r="BF31" i="2" s="1"/>
  <c r="Z31" i="5"/>
  <c r="N31" i="2"/>
  <c r="AA31" i="2"/>
  <c r="AB31" i="2"/>
  <c r="AH30" i="3"/>
  <c r="BN30" i="2" s="1"/>
  <c r="AH30" i="5"/>
  <c r="AH21" i="3"/>
  <c r="BN21" i="2" s="1"/>
  <c r="BO21" i="2" s="1"/>
  <c r="AH21" i="5"/>
  <c r="AH13" i="3"/>
  <c r="BN13" i="2" s="1"/>
  <c r="BO13" i="2" s="1"/>
  <c r="AH13" i="5"/>
  <c r="AH5" i="5"/>
  <c r="AH5" i="3"/>
  <c r="BN5" i="2" s="1"/>
  <c r="BO5" i="2" s="1"/>
  <c r="R31" i="3"/>
  <c r="AX31" i="2" s="1"/>
  <c r="R31" i="5"/>
  <c r="V31" i="2"/>
  <c r="AE31" i="2"/>
  <c r="AF31" i="3"/>
  <c r="BL31" i="2" s="1"/>
  <c r="AF31" i="5"/>
  <c r="AH19" i="5"/>
  <c r="AH19" i="3"/>
  <c r="BN19" i="2" s="1"/>
  <c r="BO19" i="2" s="1"/>
  <c r="AH29" i="3"/>
  <c r="BN29" i="2" s="1"/>
  <c r="BO29" i="2" s="1"/>
  <c r="AH29" i="5"/>
  <c r="AH20" i="3"/>
  <c r="BN20" i="2" s="1"/>
  <c r="BO20" i="2" s="1"/>
  <c r="AH20" i="5"/>
  <c r="AH12" i="5"/>
  <c r="AH12" i="3"/>
  <c r="BN12" i="2" s="1"/>
  <c r="BO12" i="2" s="1"/>
  <c r="AH4" i="3"/>
  <c r="BN4" i="2" s="1"/>
  <c r="BO4" i="2" s="1"/>
  <c r="AH4" i="5"/>
  <c r="AH31" i="5"/>
  <c r="AH31" i="3"/>
  <c r="BN31" i="2" s="1"/>
  <c r="AD31" i="5"/>
  <c r="AD31" i="3"/>
  <c r="D31" i="2"/>
  <c r="BJ30" i="2"/>
  <c r="BO30" i="2" l="1"/>
  <c r="BR30" i="2" s="1"/>
  <c r="BP30" i="2" s="1"/>
  <c r="BQ9" i="2"/>
  <c r="BR9" i="2"/>
  <c r="BP9" i="2" s="1"/>
  <c r="BR20" i="2"/>
  <c r="BP20" i="2" s="1"/>
  <c r="BQ20" i="2"/>
  <c r="BR6" i="2"/>
  <c r="BP6" i="2" s="1"/>
  <c r="BQ6" i="2"/>
  <c r="BQ27" i="2"/>
  <c r="BR27" i="2"/>
  <c r="BP27" i="2" s="1"/>
  <c r="BR28" i="2"/>
  <c r="BP28" i="2" s="1"/>
  <c r="BQ28" i="2"/>
  <c r="BR17" i="2"/>
  <c r="BP17" i="2" s="1"/>
  <c r="BQ17" i="2"/>
  <c r="BR13" i="2"/>
  <c r="BP13" i="2" s="1"/>
  <c r="BQ13" i="2"/>
  <c r="BQ7" i="2"/>
  <c r="BR7" i="2"/>
  <c r="BP7" i="2" s="1"/>
  <c r="BR4" i="2"/>
  <c r="BP4" i="2" s="1"/>
  <c r="BQ4" i="2"/>
  <c r="BR19" i="2"/>
  <c r="BP19" i="2" s="1"/>
  <c r="BQ19" i="2"/>
  <c r="BQ21" i="2"/>
  <c r="BR21" i="2"/>
  <c r="BP21" i="2" s="1"/>
  <c r="BQ10" i="2"/>
  <c r="BR10" i="2"/>
  <c r="BP10" i="2" s="1"/>
  <c r="BQ12" i="2"/>
  <c r="BR12" i="2"/>
  <c r="BP12" i="2" s="1"/>
  <c r="BR15" i="2"/>
  <c r="BP15" i="2" s="1"/>
  <c r="BQ15" i="2"/>
  <c r="BQ8" i="2"/>
  <c r="BR8" i="2"/>
  <c r="BP8" i="2" s="1"/>
  <c r="D31" i="3"/>
  <c r="AJ31" i="2" s="1"/>
  <c r="D31" i="5"/>
  <c r="AE31" i="3"/>
  <c r="BK31" i="2" s="1"/>
  <c r="AE31" i="5"/>
  <c r="X31" i="5"/>
  <c r="X31" i="3"/>
  <c r="BD31" i="2" s="1"/>
  <c r="U31" i="3"/>
  <c r="BA31" i="2" s="1"/>
  <c r="U31" i="5"/>
  <c r="E31" i="5"/>
  <c r="E31" i="3"/>
  <c r="AK31" i="2" s="1"/>
  <c r="BQ25" i="2"/>
  <c r="BR25" i="2"/>
  <c r="BP25" i="2" s="1"/>
  <c r="L31" i="3"/>
  <c r="AR31" i="2" s="1"/>
  <c r="L31" i="5"/>
  <c r="BJ31" i="2"/>
  <c r="V31" i="5"/>
  <c r="V31" i="3"/>
  <c r="BB31" i="2" s="1"/>
  <c r="BR22" i="2"/>
  <c r="BQ22" i="2"/>
  <c r="W31" i="3"/>
  <c r="BC31" i="2" s="1"/>
  <c r="W31" i="5"/>
  <c r="BQ29" i="2"/>
  <c r="BR29" i="2"/>
  <c r="BP29" i="2" s="1"/>
  <c r="AB31" i="5"/>
  <c r="AB31" i="3"/>
  <c r="BH31" i="2" s="1"/>
  <c r="BQ26" i="2"/>
  <c r="BR26" i="2"/>
  <c r="BP26" i="2" s="1"/>
  <c r="S31" i="3"/>
  <c r="AY31" i="2" s="1"/>
  <c r="S31" i="5"/>
  <c r="P31" i="3"/>
  <c r="AV31" i="2" s="1"/>
  <c r="P31" i="5"/>
  <c r="AA31" i="3"/>
  <c r="BG31" i="2" s="1"/>
  <c r="AA31" i="5"/>
  <c r="H31" i="3"/>
  <c r="H31" i="5"/>
  <c r="AN31" i="2"/>
  <c r="AC31" i="3"/>
  <c r="AC31" i="5"/>
  <c r="BQ16" i="2"/>
  <c r="BR16" i="2"/>
  <c r="BP16" i="2" s="1"/>
  <c r="O31" i="3"/>
  <c r="AU31" i="2" s="1"/>
  <c r="O31" i="5"/>
  <c r="M31" i="3"/>
  <c r="AS31" i="2" s="1"/>
  <c r="M31" i="5"/>
  <c r="BR18" i="2"/>
  <c r="BP18" i="2" s="1"/>
  <c r="BQ18" i="2"/>
  <c r="BR11" i="2"/>
  <c r="BP11" i="2" s="1"/>
  <c r="BQ11" i="2"/>
  <c r="BQ5" i="2"/>
  <c r="BR5" i="2"/>
  <c r="BP5" i="2" s="1"/>
  <c r="N31" i="3"/>
  <c r="AT31" i="2" s="1"/>
  <c r="N31" i="5"/>
  <c r="BR14" i="2"/>
  <c r="BP14" i="2" s="1"/>
  <c r="BQ14" i="2"/>
  <c r="J31" i="3"/>
  <c r="AP31" i="2" s="1"/>
  <c r="J31" i="5"/>
  <c r="BR24" i="2"/>
  <c r="BP24" i="2" s="1"/>
  <c r="BQ24" i="2"/>
  <c r="BQ30" i="2" l="1"/>
  <c r="BP22" i="2"/>
  <c r="BI31" i="2"/>
  <c r="BO31" i="2" s="1"/>
  <c r="BR31" i="2" l="1"/>
  <c r="BP31" i="2" s="1"/>
  <c r="BQ31" i="2"/>
  <c r="C42" i="2" l="1"/>
  <c r="C42" i="5" l="1"/>
  <c r="C42" i="3"/>
  <c r="C44" i="2" l="1"/>
  <c r="C44" i="5" s="1"/>
  <c r="B42" i="2"/>
  <c r="B43" i="2"/>
  <c r="C43" i="2"/>
  <c r="C45" i="2"/>
  <c r="C44" i="3" l="1"/>
  <c r="C45" i="5"/>
  <c r="C45" i="3"/>
  <c r="C43" i="5"/>
  <c r="C43" i="3"/>
  <c r="Y42" i="2"/>
  <c r="N42" i="2"/>
  <c r="AE43" i="2"/>
  <c r="AA43" i="2"/>
  <c r="W43" i="2"/>
  <c r="S43" i="2"/>
  <c r="O43" i="2"/>
  <c r="K43" i="2"/>
  <c r="G43" i="2"/>
  <c r="AH43" i="2"/>
  <c r="AD43" i="2"/>
  <c r="Z43" i="2"/>
  <c r="V43" i="2"/>
  <c r="R43" i="2"/>
  <c r="J43" i="2"/>
  <c r="F43" i="2"/>
  <c r="AG43" i="2"/>
  <c r="AC43" i="2"/>
  <c r="Y43" i="2"/>
  <c r="U43" i="2"/>
  <c r="Q43" i="2"/>
  <c r="M43" i="2"/>
  <c r="I43" i="2"/>
  <c r="E43" i="2"/>
  <c r="AF43" i="2"/>
  <c r="P43" i="2"/>
  <c r="AB43" i="2"/>
  <c r="L43" i="2"/>
  <c r="X43" i="2"/>
  <c r="T43" i="2"/>
  <c r="H43" i="2"/>
  <c r="D43" i="2"/>
  <c r="C46" i="2"/>
  <c r="P43" i="3" l="1"/>
  <c r="AV43" i="2" s="1"/>
  <c r="P43" i="5"/>
  <c r="AC43" i="5"/>
  <c r="AC43" i="3"/>
  <c r="BI43" i="2" s="1"/>
  <c r="AH43" i="3"/>
  <c r="BN43" i="2" s="1"/>
  <c r="AH43" i="5"/>
  <c r="AA42" i="2"/>
  <c r="AF42" i="2"/>
  <c r="L42" i="2"/>
  <c r="F42" i="2"/>
  <c r="AG42" i="2"/>
  <c r="AC42" i="2"/>
  <c r="Q42" i="2"/>
  <c r="S42" i="2"/>
  <c r="Y42" i="5"/>
  <c r="Y42" i="3"/>
  <c r="BE42" i="2" s="1"/>
  <c r="AF43" i="5"/>
  <c r="AF43" i="3"/>
  <c r="BL43" i="2" s="1"/>
  <c r="J42" i="2"/>
  <c r="D43" i="5"/>
  <c r="D43" i="3"/>
  <c r="AJ43" i="2" s="1"/>
  <c r="E43" i="3"/>
  <c r="AK43" i="2" s="1"/>
  <c r="E43" i="5"/>
  <c r="F43" i="3"/>
  <c r="AL43" i="2" s="1"/>
  <c r="F43" i="5"/>
  <c r="K43" i="5"/>
  <c r="K43" i="3"/>
  <c r="AQ43" i="2" s="1"/>
  <c r="AB42" i="2"/>
  <c r="H42" i="2"/>
  <c r="V42" i="2"/>
  <c r="D44" i="2"/>
  <c r="B44" i="2"/>
  <c r="G43" i="3"/>
  <c r="AM43" i="2" s="1"/>
  <c r="G43" i="5"/>
  <c r="AH42" i="2"/>
  <c r="AE42" i="2"/>
  <c r="W42" i="2"/>
  <c r="H43" i="5"/>
  <c r="H43" i="3"/>
  <c r="AN43" i="2" s="1"/>
  <c r="I43" i="5"/>
  <c r="I43" i="3"/>
  <c r="AO43" i="2" s="1"/>
  <c r="J43" i="5"/>
  <c r="J43" i="3"/>
  <c r="AP43" i="2" s="1"/>
  <c r="O43" i="3"/>
  <c r="AU43" i="2" s="1"/>
  <c r="O43" i="5"/>
  <c r="AD42" i="2"/>
  <c r="M42" i="2"/>
  <c r="AG43" i="3"/>
  <c r="BM43" i="2" s="1"/>
  <c r="AG43" i="5"/>
  <c r="D42" i="2"/>
  <c r="O42" i="2"/>
  <c r="T43" i="3"/>
  <c r="AZ43" i="2" s="1"/>
  <c r="T43" i="5"/>
  <c r="M43" i="3"/>
  <c r="AS43" i="2" s="1"/>
  <c r="M43" i="5"/>
  <c r="R43" i="5"/>
  <c r="R43" i="3"/>
  <c r="AX43" i="2" s="1"/>
  <c r="S43" i="5"/>
  <c r="S43" i="3"/>
  <c r="AY43" i="2" s="1"/>
  <c r="X42" i="2"/>
  <c r="X43" i="5"/>
  <c r="X43" i="3"/>
  <c r="BD43" i="2" s="1"/>
  <c r="V43" i="3"/>
  <c r="BB43" i="2" s="1"/>
  <c r="V43" i="5"/>
  <c r="W43" i="5"/>
  <c r="W43" i="3"/>
  <c r="BC43" i="2" s="1"/>
  <c r="U42" i="2"/>
  <c r="I42" i="2"/>
  <c r="Z42" i="2"/>
  <c r="P42" i="2"/>
  <c r="Q43" i="5"/>
  <c r="Q43" i="3"/>
  <c r="AW43" i="2" s="1"/>
  <c r="L43" i="3"/>
  <c r="AR43" i="2" s="1"/>
  <c r="L43" i="5"/>
  <c r="U43" i="3"/>
  <c r="BA43" i="2" s="1"/>
  <c r="U43" i="5"/>
  <c r="Z43" i="3"/>
  <c r="BF43" i="2" s="1"/>
  <c r="Z43" i="5"/>
  <c r="AA43" i="5"/>
  <c r="AA43" i="3"/>
  <c r="BG43" i="2" s="1"/>
  <c r="K42" i="2"/>
  <c r="G42" i="2"/>
  <c r="T42" i="2"/>
  <c r="C46" i="5"/>
  <c r="C46" i="3"/>
  <c r="AB43" i="3"/>
  <c r="BH43" i="2" s="1"/>
  <c r="AB43" i="5"/>
  <c r="Y43" i="3"/>
  <c r="BE43" i="2" s="1"/>
  <c r="Y43" i="5"/>
  <c r="AD43" i="5"/>
  <c r="AD43" i="3"/>
  <c r="BJ43" i="2" s="1"/>
  <c r="AE43" i="3"/>
  <c r="BK43" i="2" s="1"/>
  <c r="AE43" i="5"/>
  <c r="E42" i="2"/>
  <c r="R42" i="2"/>
  <c r="N42" i="3"/>
  <c r="AT42" i="2" s="1"/>
  <c r="N42" i="5"/>
  <c r="B45" i="2"/>
  <c r="BO43" i="2" l="1"/>
  <c r="E44" i="2"/>
  <c r="F44" i="2"/>
  <c r="K44" i="2"/>
  <c r="P44" i="2"/>
  <c r="E42" i="5"/>
  <c r="E42" i="3"/>
  <c r="AK42" i="2" s="1"/>
  <c r="Z42" i="5"/>
  <c r="Z42" i="3"/>
  <c r="BF42" i="2" s="1"/>
  <c r="O42" i="5"/>
  <c r="O42" i="3"/>
  <c r="AU42" i="2" s="1"/>
  <c r="M42" i="3"/>
  <c r="AS42" i="2" s="1"/>
  <c r="M42" i="5"/>
  <c r="J42" i="5"/>
  <c r="J42" i="3"/>
  <c r="AP42" i="2" s="1"/>
  <c r="I44" i="2"/>
  <c r="J44" i="2"/>
  <c r="O44" i="2"/>
  <c r="T44" i="2"/>
  <c r="X42" i="3"/>
  <c r="BD42" i="2" s="1"/>
  <c r="X42" i="5"/>
  <c r="AC42" i="3"/>
  <c r="BI42" i="2" s="1"/>
  <c r="AC42" i="5"/>
  <c r="AF42" i="5"/>
  <c r="AF42" i="3"/>
  <c r="BL42" i="2" s="1"/>
  <c r="U44" i="2"/>
  <c r="R44" i="2"/>
  <c r="S44" i="2"/>
  <c r="X44" i="2"/>
  <c r="P42" i="5"/>
  <c r="P42" i="3"/>
  <c r="AV42" i="2" s="1"/>
  <c r="I42" i="3"/>
  <c r="AO42" i="2" s="1"/>
  <c r="I42" i="5"/>
  <c r="D42" i="3"/>
  <c r="AJ42" i="2" s="1"/>
  <c r="D42" i="5"/>
  <c r="AD42" i="3"/>
  <c r="BJ42" i="2" s="1"/>
  <c r="AD42" i="5"/>
  <c r="W42" i="3"/>
  <c r="BC42" i="2" s="1"/>
  <c r="W42" i="5"/>
  <c r="Y44" i="2"/>
  <c r="V44" i="2"/>
  <c r="W44" i="2"/>
  <c r="AB44" i="2"/>
  <c r="T42" i="5"/>
  <c r="T42" i="3"/>
  <c r="AZ42" i="2" s="1"/>
  <c r="V42" i="5"/>
  <c r="V42" i="3"/>
  <c r="BB42" i="2" s="1"/>
  <c r="AG42" i="3"/>
  <c r="BM42" i="2" s="1"/>
  <c r="AG42" i="5"/>
  <c r="AA42" i="3"/>
  <c r="BG42" i="2" s="1"/>
  <c r="AA42" i="5"/>
  <c r="M44" i="2"/>
  <c r="Z44" i="2"/>
  <c r="AA44" i="2"/>
  <c r="AF44" i="2"/>
  <c r="U42" i="5"/>
  <c r="U42" i="3"/>
  <c r="BA42" i="2" s="1"/>
  <c r="AE42" i="3"/>
  <c r="BK42" i="2" s="1"/>
  <c r="AE42" i="5"/>
  <c r="D44" i="3"/>
  <c r="AJ44" i="2" s="1"/>
  <c r="D44" i="5"/>
  <c r="AC44" i="2"/>
  <c r="AD44" i="2"/>
  <c r="AE44" i="2"/>
  <c r="G42" i="3"/>
  <c r="AM42" i="2" s="1"/>
  <c r="G42" i="5"/>
  <c r="H42" i="3"/>
  <c r="AN42" i="2" s="1"/>
  <c r="H42" i="5"/>
  <c r="S42" i="5"/>
  <c r="S42" i="3"/>
  <c r="AY42" i="2" s="1"/>
  <c r="F42" i="3"/>
  <c r="AL42" i="2" s="1"/>
  <c r="F42" i="5"/>
  <c r="Q44" i="2"/>
  <c r="AH44" i="2"/>
  <c r="H44" i="2"/>
  <c r="R42" i="3"/>
  <c r="AX42" i="2" s="1"/>
  <c r="R42" i="5"/>
  <c r="AH42" i="5"/>
  <c r="AH42" i="3"/>
  <c r="BN42" i="2" s="1"/>
  <c r="AG44" i="2"/>
  <c r="G44" i="2"/>
  <c r="L44" i="2"/>
  <c r="K42" i="3"/>
  <c r="AQ42" i="2" s="1"/>
  <c r="K42" i="5"/>
  <c r="AB42" i="5"/>
  <c r="AB42" i="3"/>
  <c r="BH42" i="2" s="1"/>
  <c r="Q42" i="3"/>
  <c r="AW42" i="2" s="1"/>
  <c r="Q42" i="5"/>
  <c r="L42" i="5"/>
  <c r="L42" i="3"/>
  <c r="AR42" i="2" s="1"/>
  <c r="B46" i="2"/>
  <c r="BO42" i="2" l="1"/>
  <c r="AF45" i="2"/>
  <c r="AH45" i="2"/>
  <c r="D45" i="2"/>
  <c r="E45" i="2"/>
  <c r="AH44" i="5"/>
  <c r="AH44" i="3"/>
  <c r="BN44" i="2" s="1"/>
  <c r="AE44" i="3"/>
  <c r="BK44" i="2" s="1"/>
  <c r="AE44" i="5"/>
  <c r="AF44" i="5"/>
  <c r="AF44" i="3"/>
  <c r="BL44" i="2" s="1"/>
  <c r="AB44" i="5"/>
  <c r="AB44" i="3"/>
  <c r="BH44" i="2" s="1"/>
  <c r="F45" i="2"/>
  <c r="G45" i="2"/>
  <c r="H45" i="2"/>
  <c r="I45" i="2"/>
  <c r="R44" i="5"/>
  <c r="R44" i="3"/>
  <c r="AX44" i="2" s="1"/>
  <c r="I44" i="5"/>
  <c r="I44" i="3"/>
  <c r="AO44" i="2" s="1"/>
  <c r="F44" i="3"/>
  <c r="AL44" i="2" s="1"/>
  <c r="F44" i="5"/>
  <c r="AG45" i="2"/>
  <c r="K44" i="3"/>
  <c r="AQ44" i="2" s="1"/>
  <c r="K44" i="5"/>
  <c r="J45" i="2"/>
  <c r="K45" i="2"/>
  <c r="L45" i="2"/>
  <c r="M45" i="2"/>
  <c r="L44" i="5"/>
  <c r="L44" i="3"/>
  <c r="AR44" i="2" s="1"/>
  <c r="Q44" i="5"/>
  <c r="Q44" i="3"/>
  <c r="AW44" i="2" s="1"/>
  <c r="AD44" i="3"/>
  <c r="BJ44" i="2" s="1"/>
  <c r="AD44" i="5"/>
  <c r="AA44" i="5"/>
  <c r="AA44" i="3"/>
  <c r="BG44" i="2" s="1"/>
  <c r="W44" i="5"/>
  <c r="W44" i="3"/>
  <c r="BC44" i="2" s="1"/>
  <c r="AE45" i="2"/>
  <c r="S44" i="5"/>
  <c r="S44" i="3"/>
  <c r="AY44" i="2" s="1"/>
  <c r="V45" i="2"/>
  <c r="O45" i="2"/>
  <c r="P45" i="2"/>
  <c r="Q45" i="2"/>
  <c r="U44" i="5"/>
  <c r="U44" i="3"/>
  <c r="BA44" i="2" s="1"/>
  <c r="T44" i="5"/>
  <c r="T44" i="3"/>
  <c r="AZ44" i="2" s="1"/>
  <c r="E44" i="3"/>
  <c r="AK44" i="2" s="1"/>
  <c r="E44" i="5"/>
  <c r="J44" i="3"/>
  <c r="AP44" i="2" s="1"/>
  <c r="J44" i="5"/>
  <c r="Z45" i="2"/>
  <c r="S45" i="2"/>
  <c r="T45" i="2"/>
  <c r="U45" i="2"/>
  <c r="G44" i="3"/>
  <c r="AM44" i="2" s="1"/>
  <c r="G44" i="5"/>
  <c r="AC44" i="5"/>
  <c r="AC44" i="3"/>
  <c r="BI44" i="2" s="1"/>
  <c r="Z44" i="5"/>
  <c r="Z44" i="3"/>
  <c r="BF44" i="2" s="1"/>
  <c r="V44" i="3"/>
  <c r="BB44" i="2" s="1"/>
  <c r="V44" i="5"/>
  <c r="R45" i="2"/>
  <c r="W45" i="2"/>
  <c r="X45" i="2"/>
  <c r="Y45" i="2"/>
  <c r="X44" i="5"/>
  <c r="X44" i="3"/>
  <c r="BD44" i="2" s="1"/>
  <c r="O44" i="5"/>
  <c r="O44" i="3"/>
  <c r="AU44" i="2" s="1"/>
  <c r="P44" i="3"/>
  <c r="AV44" i="2" s="1"/>
  <c r="P44" i="5"/>
  <c r="AD45" i="2"/>
  <c r="AA45" i="2"/>
  <c r="AB45" i="2"/>
  <c r="AC45" i="2"/>
  <c r="AG44" i="5"/>
  <c r="AG44" i="3"/>
  <c r="BM44" i="2" s="1"/>
  <c r="H44" i="3"/>
  <c r="AN44" i="2" s="1"/>
  <c r="H44" i="5"/>
  <c r="M44" i="5"/>
  <c r="M44" i="3"/>
  <c r="AS44" i="2" s="1"/>
  <c r="Y44" i="3"/>
  <c r="BE44" i="2" s="1"/>
  <c r="Y44" i="5"/>
  <c r="BR43" i="2"/>
  <c r="BP43" i="2" s="1"/>
  <c r="BQ43" i="2"/>
  <c r="BO44" i="2" l="1"/>
  <c r="O46" i="2"/>
  <c r="X46" i="2"/>
  <c r="Y46" i="2"/>
  <c r="AD46" i="2"/>
  <c r="W45" i="3"/>
  <c r="BC45" i="2" s="1"/>
  <c r="W45" i="5"/>
  <c r="U45" i="3"/>
  <c r="BA45" i="2" s="1"/>
  <c r="U45" i="5"/>
  <c r="O45" i="5"/>
  <c r="O45" i="3"/>
  <c r="AU45" i="2" s="1"/>
  <c r="AE46" i="2"/>
  <c r="AB46" i="2"/>
  <c r="AC46" i="2"/>
  <c r="AH46" i="2"/>
  <c r="AD45" i="5"/>
  <c r="AD45" i="3"/>
  <c r="BJ45" i="2" s="1"/>
  <c r="L45" i="5"/>
  <c r="L45" i="3"/>
  <c r="AR45" i="2" s="1"/>
  <c r="I45" i="3"/>
  <c r="AO45" i="2" s="1"/>
  <c r="I45" i="5"/>
  <c r="AH45" i="5"/>
  <c r="AH45" i="3"/>
  <c r="BN45" i="2" s="1"/>
  <c r="S46" i="2"/>
  <c r="AF46" i="2"/>
  <c r="AG46" i="2"/>
  <c r="T45" i="5"/>
  <c r="T45" i="3"/>
  <c r="AZ45" i="2" s="1"/>
  <c r="V45" i="3"/>
  <c r="BB45" i="2" s="1"/>
  <c r="V45" i="5"/>
  <c r="AE45" i="3"/>
  <c r="BK45" i="2" s="1"/>
  <c r="AE45" i="5"/>
  <c r="D46" i="2"/>
  <c r="E46" i="2"/>
  <c r="F46" i="2"/>
  <c r="AC45" i="5"/>
  <c r="AC45" i="3"/>
  <c r="BI45" i="2" s="1"/>
  <c r="K45" i="5"/>
  <c r="K45" i="3"/>
  <c r="AQ45" i="2" s="1"/>
  <c r="H45" i="5"/>
  <c r="H45" i="3"/>
  <c r="AN45" i="2" s="1"/>
  <c r="AF45" i="3"/>
  <c r="BL45" i="2" s="1"/>
  <c r="AF45" i="5"/>
  <c r="G46" i="2"/>
  <c r="H46" i="2"/>
  <c r="I46" i="2"/>
  <c r="J46" i="2"/>
  <c r="Y45" i="3"/>
  <c r="BE45" i="2" s="1"/>
  <c r="Y45" i="5"/>
  <c r="S45" i="5"/>
  <c r="S45" i="3"/>
  <c r="AY45" i="2" s="1"/>
  <c r="Q45" i="5"/>
  <c r="Q45" i="3"/>
  <c r="AW45" i="2" s="1"/>
  <c r="K46" i="2"/>
  <c r="L46" i="2"/>
  <c r="M46" i="2"/>
  <c r="R46" i="2"/>
  <c r="AB45" i="5"/>
  <c r="AB45" i="3"/>
  <c r="BH45" i="2" s="1"/>
  <c r="J45" i="5"/>
  <c r="J45" i="3"/>
  <c r="AP45" i="2" s="1"/>
  <c r="G45" i="5"/>
  <c r="G45" i="3"/>
  <c r="AM45" i="2" s="1"/>
  <c r="E45" i="3"/>
  <c r="AK45" i="2" s="1"/>
  <c r="E45" i="5"/>
  <c r="BR42" i="2"/>
  <c r="BP42" i="2" s="1"/>
  <c r="BQ42" i="2"/>
  <c r="W46" i="2"/>
  <c r="P46" i="2"/>
  <c r="Q46" i="2"/>
  <c r="V46" i="2"/>
  <c r="X45" i="5"/>
  <c r="X45" i="3"/>
  <c r="BD45" i="2" s="1"/>
  <c r="R45" i="3"/>
  <c r="AX45" i="2" s="1"/>
  <c r="R45" i="5"/>
  <c r="Z45" i="5"/>
  <c r="Z45" i="3"/>
  <c r="BF45" i="2" s="1"/>
  <c r="P45" i="5"/>
  <c r="P45" i="3"/>
  <c r="AV45" i="2" s="1"/>
  <c r="AG45" i="5"/>
  <c r="AG45" i="3"/>
  <c r="BM45" i="2" s="1"/>
  <c r="AA46" i="2"/>
  <c r="T46" i="2"/>
  <c r="U46" i="2"/>
  <c r="Z46" i="2"/>
  <c r="AA45" i="5"/>
  <c r="AA45" i="3"/>
  <c r="BG45" i="2" s="1"/>
  <c r="M45" i="5"/>
  <c r="M45" i="3"/>
  <c r="AS45" i="2" s="1"/>
  <c r="F45" i="3"/>
  <c r="AL45" i="2" s="1"/>
  <c r="F45" i="5"/>
  <c r="D45" i="5"/>
  <c r="D45" i="3"/>
  <c r="AJ45" i="2" s="1"/>
  <c r="T46" i="5" l="1"/>
  <c r="T46" i="3"/>
  <c r="P46" i="5"/>
  <c r="P46" i="3"/>
  <c r="J46" i="5"/>
  <c r="J46" i="3"/>
  <c r="E46" i="5"/>
  <c r="E46" i="3"/>
  <c r="AF46" i="3"/>
  <c r="BL46" i="2" s="1"/>
  <c r="AF46" i="5"/>
  <c r="L46" i="3"/>
  <c r="L46" i="5"/>
  <c r="AB46" i="5"/>
  <c r="AB46" i="3"/>
  <c r="Y46" i="3"/>
  <c r="Y46" i="5"/>
  <c r="AA46" i="5"/>
  <c r="AA46" i="3"/>
  <c r="W46" i="3"/>
  <c r="W46" i="5"/>
  <c r="I46" i="3"/>
  <c r="I46" i="5"/>
  <c r="D46" i="3"/>
  <c r="D46" i="5"/>
  <c r="S46" i="3"/>
  <c r="S46" i="5"/>
  <c r="K46" i="5"/>
  <c r="K46" i="3"/>
  <c r="AE46" i="3"/>
  <c r="BK46" i="2" s="1"/>
  <c r="AE46" i="5"/>
  <c r="X46" i="3"/>
  <c r="X46" i="5"/>
  <c r="Z46" i="3"/>
  <c r="Z46" i="5"/>
  <c r="V46" i="3"/>
  <c r="V46" i="5"/>
  <c r="H46" i="5"/>
  <c r="H46" i="3"/>
  <c r="R46" i="5"/>
  <c r="R46" i="3"/>
  <c r="AH46" i="5"/>
  <c r="AH46" i="3"/>
  <c r="BN46" i="2" s="1"/>
  <c r="O46" i="3"/>
  <c r="O46" i="5"/>
  <c r="U46" i="3"/>
  <c r="U46" i="5"/>
  <c r="Q46" i="5"/>
  <c r="Q46" i="3"/>
  <c r="G46" i="5"/>
  <c r="G46" i="3"/>
  <c r="F46" i="5"/>
  <c r="F46" i="3"/>
  <c r="AG46" i="5"/>
  <c r="AG46" i="3"/>
  <c r="BM46" i="2" s="1"/>
  <c r="BO45" i="2"/>
  <c r="M46" i="3"/>
  <c r="M46" i="5"/>
  <c r="AC46" i="5"/>
  <c r="AC46" i="3"/>
  <c r="AD46" i="3"/>
  <c r="AD46" i="5"/>
  <c r="BR44" i="2"/>
  <c r="BP44" i="2" s="1"/>
  <c r="BQ44" i="2"/>
  <c r="AU46" i="2" l="1"/>
  <c r="BF46" i="2"/>
  <c r="BE46" i="2"/>
  <c r="AR46" i="2"/>
  <c r="AL46" i="2"/>
  <c r="AW46" i="2"/>
  <c r="AQ46" i="2"/>
  <c r="AK46" i="2"/>
  <c r="AV46" i="2"/>
  <c r="AN46" i="2"/>
  <c r="AO46" i="2"/>
  <c r="BD46" i="2"/>
  <c r="AJ46" i="2"/>
  <c r="BC46" i="2"/>
  <c r="BH46" i="2"/>
  <c r="BJ46" i="2"/>
  <c r="AS46" i="2"/>
  <c r="BB46" i="2"/>
  <c r="BI46" i="2"/>
  <c r="BQ45" i="2"/>
  <c r="BR45" i="2"/>
  <c r="BP45" i="2" s="1"/>
  <c r="AM46" i="2"/>
  <c r="AX46" i="2"/>
  <c r="AY46" i="2"/>
  <c r="AP46" i="2"/>
  <c r="AZ46" i="2"/>
  <c r="BA46" i="2"/>
  <c r="BG46" i="2"/>
  <c r="BO46" i="2" l="1"/>
  <c r="BQ46" i="2" l="1"/>
  <c r="BR46" i="2"/>
  <c r="BP46" i="2" s="1"/>
  <c r="C32" i="2" l="1"/>
  <c r="C34" i="2"/>
  <c r="C33" i="2"/>
  <c r="C35" i="2"/>
  <c r="C36" i="2"/>
  <c r="C37" i="2"/>
  <c r="C38" i="2"/>
  <c r="C39" i="2"/>
  <c r="C40" i="2"/>
  <c r="C41" i="2"/>
  <c r="C40" i="5" l="1"/>
  <c r="C40" i="3"/>
  <c r="C39" i="5"/>
  <c r="C39" i="3"/>
  <c r="B37" i="2"/>
  <c r="AG37" i="2"/>
  <c r="AF37" i="2"/>
  <c r="AE37" i="2"/>
  <c r="J37" i="2"/>
  <c r="AC37" i="2"/>
  <c r="AB37" i="2"/>
  <c r="AA37" i="2"/>
  <c r="V37" i="2"/>
  <c r="Y37" i="2"/>
  <c r="X37" i="2"/>
  <c r="W37" i="2"/>
  <c r="F37" i="2"/>
  <c r="U37" i="2"/>
  <c r="T37" i="2"/>
  <c r="S37" i="2"/>
  <c r="R37" i="2"/>
  <c r="Q37" i="2"/>
  <c r="P37" i="2"/>
  <c r="O37" i="2"/>
  <c r="N37" i="2"/>
  <c r="M37" i="2"/>
  <c r="L37" i="2"/>
  <c r="K37" i="2"/>
  <c r="AH37" i="2"/>
  <c r="E37" i="2"/>
  <c r="AD37" i="2"/>
  <c r="H37" i="2"/>
  <c r="D37" i="2"/>
  <c r="Z37" i="2"/>
  <c r="G37" i="2"/>
  <c r="I37" i="2"/>
  <c r="B36" i="2"/>
  <c r="AH36" i="2"/>
  <c r="AF36" i="2"/>
  <c r="Q36" i="2"/>
  <c r="B33" i="2"/>
  <c r="V33" i="2"/>
  <c r="U33" i="2"/>
  <c r="H33" i="2"/>
  <c r="AA33" i="2"/>
  <c r="R33" i="2"/>
  <c r="Q33" i="2"/>
  <c r="AE33" i="2"/>
  <c r="S33" i="2"/>
  <c r="N33" i="2"/>
  <c r="M33" i="2"/>
  <c r="W33" i="2"/>
  <c r="L33" i="2"/>
  <c r="Z33" i="2"/>
  <c r="Y33" i="2"/>
  <c r="P33" i="2"/>
  <c r="AB33" i="2"/>
  <c r="J33" i="2"/>
  <c r="I33" i="2"/>
  <c r="O33" i="2"/>
  <c r="K33" i="2"/>
  <c r="F33" i="2"/>
  <c r="E33" i="2"/>
  <c r="G33" i="2"/>
  <c r="AH33" i="2"/>
  <c r="AG33" i="2"/>
  <c r="AF33" i="2"/>
  <c r="T33" i="2"/>
  <c r="AD33" i="2"/>
  <c r="AC33" i="2"/>
  <c r="X33" i="2"/>
  <c r="D33" i="2"/>
  <c r="B41" i="2"/>
  <c r="E41" i="2"/>
  <c r="D41" i="2"/>
  <c r="AD41" i="2"/>
  <c r="N41" i="2"/>
  <c r="Z41" i="2"/>
  <c r="Y41" i="2"/>
  <c r="X41" i="2"/>
  <c r="W41" i="2"/>
  <c r="J41" i="2"/>
  <c r="U41" i="2"/>
  <c r="T41" i="2"/>
  <c r="S41" i="2"/>
  <c r="V41" i="2"/>
  <c r="K41" i="2"/>
  <c r="AG41" i="2"/>
  <c r="AB41" i="2"/>
  <c r="Q41" i="2"/>
  <c r="P41" i="2"/>
  <c r="O41" i="2"/>
  <c r="R41" i="2"/>
  <c r="AF41" i="2"/>
  <c r="AC41" i="2"/>
  <c r="M41" i="2"/>
  <c r="L41" i="2"/>
  <c r="F41" i="2"/>
  <c r="AE41" i="2"/>
  <c r="I41" i="2"/>
  <c r="H41" i="2"/>
  <c r="G41" i="2"/>
  <c r="AH41" i="2"/>
  <c r="AA41" i="2"/>
  <c r="B35" i="2"/>
  <c r="AB35" i="2"/>
  <c r="R35" i="2"/>
  <c r="N35" i="2"/>
  <c r="X35" i="2"/>
  <c r="W35" i="2"/>
  <c r="J35" i="2"/>
  <c r="AC35" i="2"/>
  <c r="T35" i="2"/>
  <c r="S35" i="2"/>
  <c r="AG35" i="2"/>
  <c r="U35" i="2"/>
  <c r="P35" i="2"/>
  <c r="O35" i="2"/>
  <c r="Y35" i="2"/>
  <c r="E35" i="2"/>
  <c r="L35" i="2"/>
  <c r="K35" i="2"/>
  <c r="Q35" i="2"/>
  <c r="AD35" i="2"/>
  <c r="H35" i="2"/>
  <c r="G35" i="2"/>
  <c r="I35" i="2"/>
  <c r="M35" i="2"/>
  <c r="D35" i="2"/>
  <c r="AH35" i="2"/>
  <c r="V35" i="2"/>
  <c r="AF35" i="2"/>
  <c r="AE35" i="2"/>
  <c r="Z35" i="2"/>
  <c r="F35" i="2"/>
  <c r="C35" i="5"/>
  <c r="C35" i="3"/>
  <c r="B34" i="2"/>
  <c r="AE34" i="2"/>
  <c r="AD34" i="2"/>
  <c r="Y34" i="2"/>
  <c r="E34" i="2"/>
  <c r="AA34" i="2"/>
  <c r="Z34" i="2"/>
  <c r="Q34" i="2"/>
  <c r="AB34" i="2"/>
  <c r="AG34" i="2"/>
  <c r="W34" i="2"/>
  <c r="V34" i="2"/>
  <c r="I34" i="2"/>
  <c r="T34" i="2"/>
  <c r="U34" i="2"/>
  <c r="S34" i="2"/>
  <c r="R34" i="2"/>
  <c r="AF34" i="2"/>
  <c r="D34" i="2"/>
  <c r="O34" i="2"/>
  <c r="N34" i="2"/>
  <c r="X34" i="2"/>
  <c r="AC34" i="2"/>
  <c r="K34" i="2"/>
  <c r="J34" i="2"/>
  <c r="P34" i="2"/>
  <c r="M34" i="2"/>
  <c r="AH34" i="2"/>
  <c r="G34" i="2"/>
  <c r="F34" i="2"/>
  <c r="H34" i="2"/>
  <c r="L34" i="2"/>
  <c r="B32" i="2"/>
  <c r="K40" i="2"/>
  <c r="B40" i="2"/>
  <c r="D40" i="2"/>
  <c r="X40" i="2"/>
  <c r="W40" i="2"/>
  <c r="R40" i="2"/>
  <c r="U40" i="2"/>
  <c r="AC40" i="2"/>
  <c r="H40" i="2"/>
  <c r="AH40" i="2"/>
  <c r="B38" i="2"/>
  <c r="V38" i="2"/>
  <c r="U38" i="2"/>
  <c r="T38" i="2"/>
  <c r="R38" i="2"/>
  <c r="Q38" i="2"/>
  <c r="P38" i="2"/>
  <c r="S38" i="2"/>
  <c r="N38" i="2"/>
  <c r="M38" i="2"/>
  <c r="L38" i="2"/>
  <c r="O38" i="2"/>
  <c r="J38" i="2"/>
  <c r="I38" i="2"/>
  <c r="H38" i="2"/>
  <c r="AE38" i="2"/>
  <c r="X38" i="2"/>
  <c r="F38" i="2"/>
  <c r="E38" i="2"/>
  <c r="D38" i="2"/>
  <c r="Y38" i="2"/>
  <c r="AH38" i="2"/>
  <c r="AG38" i="2"/>
  <c r="AF38" i="2"/>
  <c r="AA38" i="2"/>
  <c r="AD38" i="2"/>
  <c r="AC38" i="2"/>
  <c r="AB38" i="2"/>
  <c r="K38" i="2"/>
  <c r="Z38" i="2"/>
  <c r="W38" i="2"/>
  <c r="C32" i="5"/>
  <c r="C32" i="3"/>
  <c r="C41" i="5"/>
  <c r="C41" i="3"/>
  <c r="C37" i="5"/>
  <c r="C37" i="3"/>
  <c r="C33" i="5"/>
  <c r="C33" i="3"/>
  <c r="K39" i="2"/>
  <c r="B39" i="2"/>
  <c r="AE39" i="2"/>
  <c r="Z39" i="2"/>
  <c r="Y39" i="2"/>
  <c r="X39" i="2"/>
  <c r="AD39" i="2"/>
  <c r="AA39" i="2"/>
  <c r="V39" i="2"/>
  <c r="U39" i="2"/>
  <c r="H39" i="2"/>
  <c r="W39" i="2"/>
  <c r="R39" i="2"/>
  <c r="Q39" i="2"/>
  <c r="T39" i="2"/>
  <c r="S39" i="2"/>
  <c r="N39" i="2"/>
  <c r="P39" i="2"/>
  <c r="O39" i="2"/>
  <c r="J39" i="2"/>
  <c r="AF39" i="2"/>
  <c r="L39" i="2"/>
  <c r="F39" i="2"/>
  <c r="D39" i="2"/>
  <c r="AH39" i="2"/>
  <c r="AG39" i="2"/>
  <c r="AB39" i="2"/>
  <c r="AC39" i="2"/>
  <c r="C36" i="5"/>
  <c r="C36" i="3"/>
  <c r="C34" i="5"/>
  <c r="C34" i="3"/>
  <c r="C38" i="5"/>
  <c r="C38" i="3"/>
  <c r="P39" i="5" l="1"/>
  <c r="P39" i="3"/>
  <c r="AV39" i="2" s="1"/>
  <c r="AG40" i="2"/>
  <c r="N34" i="5"/>
  <c r="N34" i="3"/>
  <c r="AT34" i="2" s="1"/>
  <c r="K33" i="3"/>
  <c r="AQ33" i="2" s="1"/>
  <c r="K33" i="5"/>
  <c r="G36" i="2"/>
  <c r="T37" i="3"/>
  <c r="AZ37" i="2" s="1"/>
  <c r="T37" i="5"/>
  <c r="F39" i="5"/>
  <c r="F39" i="3"/>
  <c r="AL39" i="2" s="1"/>
  <c r="M39" i="2"/>
  <c r="U39" i="5"/>
  <c r="U39" i="3"/>
  <c r="BA39" i="2" s="1"/>
  <c r="W38" i="3"/>
  <c r="BC38" i="2" s="1"/>
  <c r="W38" i="5"/>
  <c r="AG38" i="5"/>
  <c r="AG38" i="3"/>
  <c r="BM38" i="2" s="1"/>
  <c r="H38" i="5"/>
  <c r="H38" i="3"/>
  <c r="AN38" i="2" s="1"/>
  <c r="P38" i="5"/>
  <c r="P38" i="3"/>
  <c r="AV38" i="2" s="1"/>
  <c r="O40" i="2"/>
  <c r="U40" i="5"/>
  <c r="U40" i="3"/>
  <c r="BA40" i="2" s="1"/>
  <c r="Y40" i="2"/>
  <c r="F40" i="2"/>
  <c r="AG32" i="2"/>
  <c r="K32" i="2"/>
  <c r="AH32" i="2"/>
  <c r="AA32" i="2"/>
  <c r="AH34" i="5"/>
  <c r="AH34" i="3"/>
  <c r="BN34" i="2" s="1"/>
  <c r="O34" i="3"/>
  <c r="AU34" i="2" s="1"/>
  <c r="O34" i="5"/>
  <c r="V34" i="5"/>
  <c r="V34" i="3"/>
  <c r="BB34" i="2" s="1"/>
  <c r="Y34" i="5"/>
  <c r="Y34" i="3"/>
  <c r="BE34" i="2" s="1"/>
  <c r="AE35" i="3"/>
  <c r="BK35" i="2" s="1"/>
  <c r="AE35" i="5"/>
  <c r="H35" i="3"/>
  <c r="AN35" i="2" s="1"/>
  <c r="H35" i="5"/>
  <c r="P35" i="3"/>
  <c r="AV35" i="2" s="1"/>
  <c r="P35" i="5"/>
  <c r="X35" i="3"/>
  <c r="BD35" i="2" s="1"/>
  <c r="X35" i="5"/>
  <c r="I41" i="5"/>
  <c r="I41" i="3"/>
  <c r="AO41" i="2" s="1"/>
  <c r="O41" i="5"/>
  <c r="O41" i="3"/>
  <c r="AU41" i="2" s="1"/>
  <c r="T41" i="3"/>
  <c r="AZ41" i="2" s="1"/>
  <c r="T41" i="5"/>
  <c r="AD41" i="5"/>
  <c r="AD41" i="3"/>
  <c r="BJ41" i="2" s="1"/>
  <c r="T33" i="5"/>
  <c r="T33" i="3"/>
  <c r="AZ33" i="2" s="1"/>
  <c r="O33" i="5"/>
  <c r="O33" i="3"/>
  <c r="AU33" i="2" s="1"/>
  <c r="W33" i="5"/>
  <c r="W33" i="3"/>
  <c r="BC33" i="2" s="1"/>
  <c r="H33" i="5"/>
  <c r="H33" i="3"/>
  <c r="AN33" i="2" s="1"/>
  <c r="Q36" i="3"/>
  <c r="AW36" i="2" s="1"/>
  <c r="Q36" i="5"/>
  <c r="H36" i="2"/>
  <c r="E36" i="2"/>
  <c r="Y36" i="2"/>
  <c r="Z37" i="3"/>
  <c r="BF37" i="2" s="1"/>
  <c r="Z37" i="5"/>
  <c r="M37" i="5"/>
  <c r="M37" i="3"/>
  <c r="AS37" i="2" s="1"/>
  <c r="U37" i="3"/>
  <c r="BA37" i="2" s="1"/>
  <c r="U37" i="5"/>
  <c r="AC37" i="3"/>
  <c r="BI37" i="2" s="1"/>
  <c r="AC37" i="5"/>
  <c r="E39" i="2"/>
  <c r="S38" i="5"/>
  <c r="S38" i="3"/>
  <c r="AY38" i="2" s="1"/>
  <c r="AC40" i="3"/>
  <c r="BI40" i="2" s="1"/>
  <c r="AC40" i="5"/>
  <c r="Y32" i="2"/>
  <c r="Z35" i="3"/>
  <c r="BF35" i="2" s="1"/>
  <c r="Z35" i="5"/>
  <c r="AD33" i="3"/>
  <c r="BJ33" i="2" s="1"/>
  <c r="AD33" i="5"/>
  <c r="G39" i="2"/>
  <c r="N39" i="3"/>
  <c r="AT39" i="2" s="1"/>
  <c r="N39" i="5"/>
  <c r="V39" i="3"/>
  <c r="BB39" i="2" s="1"/>
  <c r="V39" i="5"/>
  <c r="K39" i="3"/>
  <c r="AQ39" i="2" s="1"/>
  <c r="K39" i="5"/>
  <c r="Z38" i="3"/>
  <c r="BF38" i="2" s="1"/>
  <c r="Z38" i="5"/>
  <c r="AH38" i="3"/>
  <c r="BN38" i="2" s="1"/>
  <c r="AH38" i="5"/>
  <c r="I38" i="5"/>
  <c r="I38" i="3"/>
  <c r="AO38" i="2" s="1"/>
  <c r="Q38" i="5"/>
  <c r="Q38" i="3"/>
  <c r="AW38" i="2" s="1"/>
  <c r="P40" i="2"/>
  <c r="R40" i="3"/>
  <c r="AX40" i="2" s="1"/>
  <c r="R40" i="5"/>
  <c r="Z40" i="2"/>
  <c r="G40" i="2"/>
  <c r="F32" i="2"/>
  <c r="V32" i="2"/>
  <c r="G32" i="2"/>
  <c r="W32" i="2"/>
  <c r="M34" i="5"/>
  <c r="M34" i="3"/>
  <c r="AS34" i="2" s="1"/>
  <c r="D34" i="3"/>
  <c r="AJ34" i="2" s="1"/>
  <c r="D34" i="5"/>
  <c r="W34" i="5"/>
  <c r="W34" i="3"/>
  <c r="BC34" i="2" s="1"/>
  <c r="AD34" i="3"/>
  <c r="BJ34" i="2" s="1"/>
  <c r="AD34" i="5"/>
  <c r="AF35" i="5"/>
  <c r="AF35" i="3"/>
  <c r="BL35" i="2" s="1"/>
  <c r="AD35" i="3"/>
  <c r="BJ35" i="2" s="1"/>
  <c r="AD35" i="5"/>
  <c r="U35" i="3"/>
  <c r="BA35" i="2" s="1"/>
  <c r="U35" i="5"/>
  <c r="N35" i="5"/>
  <c r="N35" i="3"/>
  <c r="AT35" i="2" s="1"/>
  <c r="AE41" i="5"/>
  <c r="AE41" i="3"/>
  <c r="BK41" i="2" s="1"/>
  <c r="P41" i="3"/>
  <c r="AV41" i="2" s="1"/>
  <c r="P41" i="5"/>
  <c r="U41" i="3"/>
  <c r="BA41" i="2" s="1"/>
  <c r="U41" i="5"/>
  <c r="D41" i="3"/>
  <c r="AJ41" i="2" s="1"/>
  <c r="D41" i="5"/>
  <c r="AF33" i="3"/>
  <c r="BL33" i="2" s="1"/>
  <c r="AF33" i="5"/>
  <c r="I33" i="3"/>
  <c r="AO33" i="2" s="1"/>
  <c r="I33" i="5"/>
  <c r="M33" i="5"/>
  <c r="M33" i="3"/>
  <c r="AS33" i="2" s="1"/>
  <c r="U33" i="3"/>
  <c r="BA33" i="2" s="1"/>
  <c r="U33" i="5"/>
  <c r="N36" i="2"/>
  <c r="V36" i="2"/>
  <c r="AD36" i="2"/>
  <c r="K36" i="2"/>
  <c r="D37" i="3"/>
  <c r="AJ37" i="2" s="1"/>
  <c r="D37" i="5"/>
  <c r="N37" i="3"/>
  <c r="AT37" i="2" s="1"/>
  <c r="N37" i="5"/>
  <c r="F37" i="3"/>
  <c r="AL37" i="2" s="1"/>
  <c r="F37" i="5"/>
  <c r="J37" i="5"/>
  <c r="J37" i="3"/>
  <c r="AP37" i="2" s="1"/>
  <c r="AE39" i="3"/>
  <c r="BK39" i="2" s="1"/>
  <c r="AE39" i="5"/>
  <c r="I32" i="2"/>
  <c r="I34" i="5"/>
  <c r="I34" i="3"/>
  <c r="AO34" i="2" s="1"/>
  <c r="N41" i="3"/>
  <c r="AT41" i="2" s="1"/>
  <c r="N41" i="5"/>
  <c r="G37" i="5"/>
  <c r="G37" i="3"/>
  <c r="AM37" i="2" s="1"/>
  <c r="AC39" i="3"/>
  <c r="BI39" i="2" s="1"/>
  <c r="AC39" i="5"/>
  <c r="L39" i="3"/>
  <c r="AR39" i="2" s="1"/>
  <c r="L39" i="5"/>
  <c r="S39" i="3"/>
  <c r="AY39" i="2" s="1"/>
  <c r="S39" i="5"/>
  <c r="AA39" i="3"/>
  <c r="BG39" i="2" s="1"/>
  <c r="AA39" i="5"/>
  <c r="K38" i="3"/>
  <c r="AQ38" i="2" s="1"/>
  <c r="K38" i="5"/>
  <c r="Y38" i="3"/>
  <c r="BE38" i="2" s="1"/>
  <c r="Y38" i="5"/>
  <c r="J38" i="3"/>
  <c r="AP38" i="2" s="1"/>
  <c r="J38" i="5"/>
  <c r="R38" i="3"/>
  <c r="AX38" i="2" s="1"/>
  <c r="R38" i="5"/>
  <c r="H40" i="5"/>
  <c r="H40" i="3"/>
  <c r="AN40" i="2" s="1"/>
  <c r="W40" i="5"/>
  <c r="W40" i="3"/>
  <c r="BC40" i="2" s="1"/>
  <c r="AE40" i="2"/>
  <c r="L40" i="2"/>
  <c r="D32" i="2"/>
  <c r="L32" i="2"/>
  <c r="T32" i="2"/>
  <c r="AB32" i="2"/>
  <c r="P34" i="5"/>
  <c r="P34" i="3"/>
  <c r="AV34" i="2" s="1"/>
  <c r="AF34" i="5"/>
  <c r="AF34" i="3"/>
  <c r="BL34" i="2" s="1"/>
  <c r="AG34" i="3"/>
  <c r="BM34" i="2" s="1"/>
  <c r="AG34" i="5"/>
  <c r="AE34" i="3"/>
  <c r="BK34" i="2" s="1"/>
  <c r="AE34" i="5"/>
  <c r="V35" i="5"/>
  <c r="V35" i="3"/>
  <c r="BB35" i="2" s="1"/>
  <c r="Q35" i="5"/>
  <c r="Q35" i="3"/>
  <c r="AW35" i="2" s="1"/>
  <c r="AG35" i="3"/>
  <c r="BM35" i="2" s="1"/>
  <c r="AG35" i="5"/>
  <c r="R35" i="5"/>
  <c r="R35" i="3"/>
  <c r="AX35" i="2" s="1"/>
  <c r="F41" i="3"/>
  <c r="AL41" i="2" s="1"/>
  <c r="F41" i="5"/>
  <c r="Q41" i="3"/>
  <c r="AW41" i="2" s="1"/>
  <c r="Q41" i="5"/>
  <c r="J41" i="5"/>
  <c r="J41" i="3"/>
  <c r="AP41" i="2" s="1"/>
  <c r="E41" i="3"/>
  <c r="AK41" i="2" s="1"/>
  <c r="E41" i="5"/>
  <c r="AG33" i="5"/>
  <c r="AG33" i="3"/>
  <c r="BM33" i="2" s="1"/>
  <c r="J33" i="3"/>
  <c r="AP33" i="2" s="1"/>
  <c r="J33" i="5"/>
  <c r="N33" i="3"/>
  <c r="AT33" i="2" s="1"/>
  <c r="N33" i="5"/>
  <c r="V33" i="5"/>
  <c r="V33" i="3"/>
  <c r="BB33" i="2" s="1"/>
  <c r="S36" i="2"/>
  <c r="AA36" i="2"/>
  <c r="L36" i="2"/>
  <c r="T36" i="2"/>
  <c r="H37" i="3"/>
  <c r="AN37" i="2" s="1"/>
  <c r="H37" i="5"/>
  <c r="O37" i="3"/>
  <c r="AU37" i="2" s="1"/>
  <c r="O37" i="5"/>
  <c r="W37" i="5"/>
  <c r="W37" i="3"/>
  <c r="BC37" i="2" s="1"/>
  <c r="AE37" i="3"/>
  <c r="BK37" i="2" s="1"/>
  <c r="AE37" i="5"/>
  <c r="AF32" i="2"/>
  <c r="G34" i="5"/>
  <c r="G34" i="3"/>
  <c r="AM34" i="2" s="1"/>
  <c r="W35" i="5"/>
  <c r="W35" i="3"/>
  <c r="BC35" i="2" s="1"/>
  <c r="R41" i="5"/>
  <c r="R41" i="3"/>
  <c r="AX41" i="2" s="1"/>
  <c r="F36" i="2"/>
  <c r="AB37" i="3"/>
  <c r="BH37" i="2" s="1"/>
  <c r="AB37" i="5"/>
  <c r="AB39" i="3"/>
  <c r="BH39" i="2" s="1"/>
  <c r="AB39" i="5"/>
  <c r="AF39" i="3"/>
  <c r="BL39" i="2" s="1"/>
  <c r="AF39" i="5"/>
  <c r="T39" i="3"/>
  <c r="AZ39" i="2" s="1"/>
  <c r="T39" i="5"/>
  <c r="AD39" i="3"/>
  <c r="BJ39" i="2" s="1"/>
  <c r="AD39" i="5"/>
  <c r="AB38" i="5"/>
  <c r="AB38" i="3"/>
  <c r="BH38" i="2" s="1"/>
  <c r="D38" i="3"/>
  <c r="AJ38" i="2" s="1"/>
  <c r="D38" i="5"/>
  <c r="O38" i="3"/>
  <c r="AU38" i="2" s="1"/>
  <c r="O38" i="5"/>
  <c r="G38" i="2"/>
  <c r="Q40" i="2"/>
  <c r="X40" i="3"/>
  <c r="BD40" i="2" s="1"/>
  <c r="X40" i="5"/>
  <c r="AF40" i="2"/>
  <c r="E32" i="2"/>
  <c r="M32" i="2"/>
  <c r="U32" i="2"/>
  <c r="AC32" i="2"/>
  <c r="J34" i="3"/>
  <c r="AP34" i="2" s="1"/>
  <c r="J34" i="5"/>
  <c r="R34" i="3"/>
  <c r="AX34" i="2" s="1"/>
  <c r="R34" i="5"/>
  <c r="AB34" i="3"/>
  <c r="BH34" i="2" s="1"/>
  <c r="AB34" i="5"/>
  <c r="AH35" i="3"/>
  <c r="BN35" i="2" s="1"/>
  <c r="AH35" i="5"/>
  <c r="K35" i="3"/>
  <c r="AQ35" i="2" s="1"/>
  <c r="K35" i="5"/>
  <c r="S35" i="3"/>
  <c r="AY35" i="2" s="1"/>
  <c r="S35" i="5"/>
  <c r="AA35" i="2"/>
  <c r="L41" i="5"/>
  <c r="L41" i="3"/>
  <c r="AR41" i="2" s="1"/>
  <c r="AB41" i="3"/>
  <c r="BH41" i="2" s="1"/>
  <c r="AB41" i="5"/>
  <c r="W41" i="5"/>
  <c r="W41" i="3"/>
  <c r="BC41" i="2" s="1"/>
  <c r="AH33" i="5"/>
  <c r="AH33" i="3"/>
  <c r="BN33" i="2" s="1"/>
  <c r="AB33" i="5"/>
  <c r="AB33" i="3"/>
  <c r="BH33" i="2" s="1"/>
  <c r="S33" i="3"/>
  <c r="AY33" i="2" s="1"/>
  <c r="S33" i="5"/>
  <c r="AB36" i="2"/>
  <c r="AC36" i="2"/>
  <c r="AG36" i="2"/>
  <c r="M36" i="2"/>
  <c r="AD37" i="3"/>
  <c r="BJ37" i="2" s="1"/>
  <c r="AD37" i="5"/>
  <c r="P37" i="3"/>
  <c r="AV37" i="2" s="1"/>
  <c r="P37" i="5"/>
  <c r="X37" i="3"/>
  <c r="BD37" i="2" s="1"/>
  <c r="X37" i="5"/>
  <c r="AF37" i="3"/>
  <c r="BL37" i="2" s="1"/>
  <c r="AF37" i="5"/>
  <c r="H39" i="5"/>
  <c r="H39" i="3"/>
  <c r="AN39" i="2" s="1"/>
  <c r="J40" i="2"/>
  <c r="Q32" i="2"/>
  <c r="O35" i="3"/>
  <c r="AU35" i="2" s="1"/>
  <c r="O35" i="5"/>
  <c r="H41" i="5"/>
  <c r="H41" i="3"/>
  <c r="AN41" i="2" s="1"/>
  <c r="AA33" i="3"/>
  <c r="BG33" i="2" s="1"/>
  <c r="AA33" i="5"/>
  <c r="AG39" i="3"/>
  <c r="BM39" i="2" s="1"/>
  <c r="AG39" i="5"/>
  <c r="I39" i="2"/>
  <c r="Q39" i="5"/>
  <c r="Q39" i="3"/>
  <c r="AW39" i="2" s="1"/>
  <c r="X39" i="3"/>
  <c r="BD39" i="2" s="1"/>
  <c r="X39" i="5"/>
  <c r="AC38" i="3"/>
  <c r="BI38" i="2" s="1"/>
  <c r="AC38" i="5"/>
  <c r="E38" i="3"/>
  <c r="AK38" i="2" s="1"/>
  <c r="E38" i="5"/>
  <c r="L38" i="5"/>
  <c r="L38" i="3"/>
  <c r="AR38" i="2" s="1"/>
  <c r="T38" i="5"/>
  <c r="T38" i="3"/>
  <c r="AZ38" i="2" s="1"/>
  <c r="N40" i="2"/>
  <c r="I40" i="2"/>
  <c r="M40" i="2"/>
  <c r="K40" i="5"/>
  <c r="K40" i="3"/>
  <c r="AQ40" i="2" s="1"/>
  <c r="J32" i="2"/>
  <c r="R32" i="2"/>
  <c r="Z32" i="2"/>
  <c r="L34" i="3"/>
  <c r="AR34" i="2" s="1"/>
  <c r="L34" i="5"/>
  <c r="K34" i="3"/>
  <c r="AQ34" i="2" s="1"/>
  <c r="K34" i="5"/>
  <c r="S34" i="5"/>
  <c r="S34" i="3"/>
  <c r="AY34" i="2" s="1"/>
  <c r="Q34" i="3"/>
  <c r="AW34" i="2" s="1"/>
  <c r="Q34" i="5"/>
  <c r="D35" i="3"/>
  <c r="AJ35" i="2" s="1"/>
  <c r="D35" i="5"/>
  <c r="L35" i="3"/>
  <c r="AR35" i="2" s="1"/>
  <c r="L35" i="5"/>
  <c r="T35" i="3"/>
  <c r="AZ35" i="2" s="1"/>
  <c r="T35" i="5"/>
  <c r="AB35" i="3"/>
  <c r="BH35" i="2" s="1"/>
  <c r="AB35" i="5"/>
  <c r="AA41" i="3"/>
  <c r="BG41" i="2" s="1"/>
  <c r="AA41" i="5"/>
  <c r="M41" i="5"/>
  <c r="M41" i="3"/>
  <c r="AS41" i="2" s="1"/>
  <c r="AG41" i="5"/>
  <c r="AG41" i="3"/>
  <c r="BM41" i="2" s="1"/>
  <c r="X41" i="5"/>
  <c r="X41" i="3"/>
  <c r="BD41" i="2" s="1"/>
  <c r="D33" i="3"/>
  <c r="AJ33" i="2" s="1"/>
  <c r="D33" i="5"/>
  <c r="G33" i="3"/>
  <c r="AM33" i="2" s="1"/>
  <c r="G33" i="5"/>
  <c r="P33" i="5"/>
  <c r="P33" i="3"/>
  <c r="AV33" i="2" s="1"/>
  <c r="AE33" i="5"/>
  <c r="AE33" i="3"/>
  <c r="BK33" i="2" s="1"/>
  <c r="D36" i="2"/>
  <c r="U36" i="2"/>
  <c r="I36" i="2"/>
  <c r="J36" i="2"/>
  <c r="E37" i="3"/>
  <c r="AK37" i="2" s="1"/>
  <c r="E37" i="5"/>
  <c r="Q37" i="5"/>
  <c r="Q37" i="3"/>
  <c r="AW37" i="2" s="1"/>
  <c r="Y37" i="3"/>
  <c r="BE37" i="2" s="1"/>
  <c r="Y37" i="5"/>
  <c r="AG37" i="5"/>
  <c r="AG37" i="3"/>
  <c r="BM37" i="2" s="1"/>
  <c r="AE38" i="3"/>
  <c r="BK38" i="2" s="1"/>
  <c r="AE38" i="5"/>
  <c r="AB40" i="2"/>
  <c r="G35" i="3"/>
  <c r="AM35" i="2" s="1"/>
  <c r="G35" i="5"/>
  <c r="L33" i="5"/>
  <c r="L33" i="3"/>
  <c r="AR33" i="2" s="1"/>
  <c r="AH39" i="3"/>
  <c r="BN39" i="2" s="1"/>
  <c r="AH39" i="5"/>
  <c r="J39" i="3"/>
  <c r="AP39" i="2" s="1"/>
  <c r="J39" i="5"/>
  <c r="R39" i="5"/>
  <c r="R39" i="3"/>
  <c r="AX39" i="2" s="1"/>
  <c r="Y39" i="5"/>
  <c r="Y39" i="3"/>
  <c r="BE39" i="2" s="1"/>
  <c r="AD38" i="3"/>
  <c r="BJ38" i="2" s="1"/>
  <c r="AD38" i="5"/>
  <c r="F38" i="3"/>
  <c r="AL38" i="2" s="1"/>
  <c r="F38" i="5"/>
  <c r="M38" i="5"/>
  <c r="M38" i="3"/>
  <c r="AS38" i="2" s="1"/>
  <c r="U38" i="5"/>
  <c r="U38" i="3"/>
  <c r="BA38" i="2" s="1"/>
  <c r="AH40" i="3"/>
  <c r="BN40" i="2" s="1"/>
  <c r="AH40" i="5"/>
  <c r="S40" i="2"/>
  <c r="V40" i="2"/>
  <c r="AD40" i="2"/>
  <c r="S32" i="2"/>
  <c r="N32" i="2"/>
  <c r="AD32" i="2"/>
  <c r="O32" i="2"/>
  <c r="H34" i="3"/>
  <c r="AN34" i="2" s="1"/>
  <c r="H34" i="5"/>
  <c r="AC34" i="3"/>
  <c r="BI34" i="2" s="1"/>
  <c r="AC34" i="5"/>
  <c r="U34" i="3"/>
  <c r="BA34" i="2" s="1"/>
  <c r="U34" i="5"/>
  <c r="Z34" i="5"/>
  <c r="Z34" i="3"/>
  <c r="BF34" i="2" s="1"/>
  <c r="M35" i="3"/>
  <c r="AS35" i="2" s="1"/>
  <c r="M35" i="5"/>
  <c r="E35" i="3"/>
  <c r="AK35" i="2" s="1"/>
  <c r="E35" i="5"/>
  <c r="AC35" i="3"/>
  <c r="BI35" i="2" s="1"/>
  <c r="AC35" i="5"/>
  <c r="AH41" i="5"/>
  <c r="AH41" i="3"/>
  <c r="BN41" i="2" s="1"/>
  <c r="AC41" i="3"/>
  <c r="BI41" i="2" s="1"/>
  <c r="AC41" i="5"/>
  <c r="K41" i="3"/>
  <c r="AQ41" i="2" s="1"/>
  <c r="K41" i="5"/>
  <c r="Y41" i="5"/>
  <c r="Y41" i="3"/>
  <c r="BE41" i="2" s="1"/>
  <c r="X33" i="5"/>
  <c r="X33" i="3"/>
  <c r="BD33" i="2" s="1"/>
  <c r="E33" i="3"/>
  <c r="AK33" i="2" s="1"/>
  <c r="E33" i="5"/>
  <c r="Y33" i="3"/>
  <c r="BE33" i="2" s="1"/>
  <c r="Y33" i="5"/>
  <c r="Q33" i="5"/>
  <c r="Q33" i="3"/>
  <c r="AW33" i="2" s="1"/>
  <c r="R36" i="2"/>
  <c r="Z36" i="2"/>
  <c r="AH36" i="3"/>
  <c r="BN36" i="2" s="1"/>
  <c r="AH36" i="5"/>
  <c r="O36" i="2"/>
  <c r="AH37" i="3"/>
  <c r="BN37" i="2" s="1"/>
  <c r="AH37" i="5"/>
  <c r="R37" i="3"/>
  <c r="AX37" i="2" s="1"/>
  <c r="R37" i="5"/>
  <c r="V37" i="3"/>
  <c r="BB37" i="2" s="1"/>
  <c r="V37" i="5"/>
  <c r="AF38" i="3"/>
  <c r="BL38" i="2" s="1"/>
  <c r="AF38" i="5"/>
  <c r="E34" i="3"/>
  <c r="AK34" i="2" s="1"/>
  <c r="E34" i="5"/>
  <c r="S41" i="3"/>
  <c r="AY41" i="2" s="1"/>
  <c r="S41" i="5"/>
  <c r="AF36" i="5"/>
  <c r="AF36" i="3"/>
  <c r="BL36" i="2" s="1"/>
  <c r="L37" i="3"/>
  <c r="AR37" i="2" s="1"/>
  <c r="L37" i="5"/>
  <c r="D39" i="3"/>
  <c r="AJ39" i="2" s="1"/>
  <c r="D39" i="5"/>
  <c r="O39" i="3"/>
  <c r="AU39" i="2" s="1"/>
  <c r="O39" i="5"/>
  <c r="W39" i="3"/>
  <c r="BC39" i="2" s="1"/>
  <c r="W39" i="5"/>
  <c r="Z39" i="3"/>
  <c r="BF39" i="2" s="1"/>
  <c r="Z39" i="5"/>
  <c r="AA38" i="3"/>
  <c r="BG38" i="2" s="1"/>
  <c r="AA38" i="5"/>
  <c r="X38" i="3"/>
  <c r="BD38" i="2" s="1"/>
  <c r="X38" i="5"/>
  <c r="N38" i="3"/>
  <c r="AT38" i="2" s="1"/>
  <c r="N38" i="5"/>
  <c r="V38" i="3"/>
  <c r="BB38" i="2" s="1"/>
  <c r="V38" i="5"/>
  <c r="E40" i="2"/>
  <c r="T40" i="2"/>
  <c r="AA40" i="2"/>
  <c r="D40" i="3"/>
  <c r="AJ40" i="2" s="1"/>
  <c r="D40" i="5"/>
  <c r="AE32" i="2"/>
  <c r="H32" i="2"/>
  <c r="P32" i="2"/>
  <c r="X32" i="2"/>
  <c r="F34" i="3"/>
  <c r="AL34" i="2" s="1"/>
  <c r="F34" i="5"/>
  <c r="X34" i="5"/>
  <c r="X34" i="3"/>
  <c r="BD34" i="2" s="1"/>
  <c r="T34" i="5"/>
  <c r="T34" i="3"/>
  <c r="AZ34" i="2" s="1"/>
  <c r="AA34" i="3"/>
  <c r="BG34" i="2" s="1"/>
  <c r="AA34" i="5"/>
  <c r="F35" i="3"/>
  <c r="AL35" i="2" s="1"/>
  <c r="F35" i="5"/>
  <c r="I35" i="3"/>
  <c r="AO35" i="2" s="1"/>
  <c r="I35" i="5"/>
  <c r="Y35" i="3"/>
  <c r="BE35" i="2" s="1"/>
  <c r="Y35" i="5"/>
  <c r="J35" i="3"/>
  <c r="AP35" i="2" s="1"/>
  <c r="J35" i="5"/>
  <c r="G41" i="5"/>
  <c r="G41" i="3"/>
  <c r="AM41" i="2" s="1"/>
  <c r="AF41" i="3"/>
  <c r="BL41" i="2" s="1"/>
  <c r="AF41" i="5"/>
  <c r="V41" i="3"/>
  <c r="BB41" i="2" s="1"/>
  <c r="V41" i="5"/>
  <c r="Z41" i="3"/>
  <c r="BF41" i="2" s="1"/>
  <c r="Z41" i="5"/>
  <c r="AC33" i="3"/>
  <c r="BI33" i="2" s="1"/>
  <c r="AC33" i="5"/>
  <c r="F33" i="5"/>
  <c r="F33" i="3"/>
  <c r="AL33" i="2" s="1"/>
  <c r="Z33" i="3"/>
  <c r="BF33" i="2" s="1"/>
  <c r="Z33" i="5"/>
  <c r="R33" i="5"/>
  <c r="R33" i="3"/>
  <c r="AX33" i="2" s="1"/>
  <c r="W36" i="2"/>
  <c r="AE36" i="2"/>
  <c r="P36" i="2"/>
  <c r="X36" i="2"/>
  <c r="I37" i="3"/>
  <c r="AO37" i="2" s="1"/>
  <c r="I37" i="5"/>
  <c r="K37" i="5"/>
  <c r="K37" i="3"/>
  <c r="AQ37" i="2" s="1"/>
  <c r="S37" i="3"/>
  <c r="AY37" i="2" s="1"/>
  <c r="S37" i="5"/>
  <c r="AA37" i="3"/>
  <c r="BG37" i="2" s="1"/>
  <c r="AA37" i="5"/>
  <c r="BO34" i="2" l="1"/>
  <c r="O36" i="5"/>
  <c r="O36" i="3"/>
  <c r="AU36" i="2" s="1"/>
  <c r="O32" i="3"/>
  <c r="AU32" i="2" s="1"/>
  <c r="O32" i="5"/>
  <c r="O55" i="2"/>
  <c r="O54" i="2"/>
  <c r="N32" i="5"/>
  <c r="N32" i="3"/>
  <c r="AT32" i="2" s="1"/>
  <c r="N55" i="2"/>
  <c r="N54" i="2"/>
  <c r="S32" i="3"/>
  <c r="AY32" i="2" s="1"/>
  <c r="S32" i="5"/>
  <c r="S55" i="2"/>
  <c r="S54" i="2"/>
  <c r="U36" i="3"/>
  <c r="U36" i="5"/>
  <c r="BA36" i="2"/>
  <c r="N40" i="5"/>
  <c r="N40" i="3"/>
  <c r="AT40" i="2" s="1"/>
  <c r="AE40" i="5"/>
  <c r="AE40" i="3"/>
  <c r="BK40" i="2" s="1"/>
  <c r="K36" i="3"/>
  <c r="AQ36" i="2" s="1"/>
  <c r="K36" i="5"/>
  <c r="BO41" i="2"/>
  <c r="Y32" i="3"/>
  <c r="BE32" i="2" s="1"/>
  <c r="Y32" i="5"/>
  <c r="Y54" i="2"/>
  <c r="Y55" i="2"/>
  <c r="AH32" i="5"/>
  <c r="AH32" i="3"/>
  <c r="BN32" i="2" s="1"/>
  <c r="AH55" i="2"/>
  <c r="AH54" i="2"/>
  <c r="X36" i="3"/>
  <c r="BD36" i="2" s="1"/>
  <c r="X36" i="5"/>
  <c r="AD32" i="3"/>
  <c r="BJ32" i="2" s="1"/>
  <c r="AD32" i="5"/>
  <c r="AD54" i="2"/>
  <c r="AD55" i="2"/>
  <c r="BO33" i="2"/>
  <c r="AC36" i="5"/>
  <c r="AC36" i="3"/>
  <c r="BI36" i="2" s="1"/>
  <c r="F36" i="5"/>
  <c r="F36" i="3"/>
  <c r="AL36" i="2" s="1"/>
  <c r="T36" i="5"/>
  <c r="T36" i="3"/>
  <c r="AZ36" i="2" s="1"/>
  <c r="G32" i="3"/>
  <c r="AM32" i="2" s="1"/>
  <c r="G32" i="5"/>
  <c r="G55" i="2"/>
  <c r="G54" i="2"/>
  <c r="V32" i="5"/>
  <c r="V32" i="3"/>
  <c r="BB32" i="2" s="1"/>
  <c r="V54" i="2"/>
  <c r="V55" i="2"/>
  <c r="F32" i="5"/>
  <c r="F32" i="3"/>
  <c r="AL32" i="2" s="1"/>
  <c r="F55" i="2"/>
  <c r="F54" i="2"/>
  <c r="G39" i="3"/>
  <c r="AM39" i="2" s="1"/>
  <c r="G39" i="5"/>
  <c r="H36" i="3"/>
  <c r="AN36" i="2" s="1"/>
  <c r="H36" i="5"/>
  <c r="K32" i="3"/>
  <c r="AQ32" i="2" s="1"/>
  <c r="K32" i="5"/>
  <c r="K54" i="2"/>
  <c r="K55" i="2"/>
  <c r="AG32" i="3"/>
  <c r="AG32" i="5"/>
  <c r="BM32" i="2"/>
  <c r="AG54" i="2"/>
  <c r="AG55" i="2"/>
  <c r="AA40" i="3"/>
  <c r="AA40" i="5"/>
  <c r="BG40" i="2"/>
  <c r="AD40" i="3"/>
  <c r="AD40" i="5"/>
  <c r="BJ40" i="2"/>
  <c r="AB40" i="5"/>
  <c r="AB40" i="3"/>
  <c r="BH40" i="2" s="1"/>
  <c r="D36" i="5"/>
  <c r="D36" i="3"/>
  <c r="AJ36" i="2" s="1"/>
  <c r="Q32" i="3"/>
  <c r="AW32" i="2" s="1"/>
  <c r="Q32" i="5"/>
  <c r="Q54" i="2"/>
  <c r="Q55" i="2"/>
  <c r="AD36" i="3"/>
  <c r="BJ36" i="2" s="1"/>
  <c r="AD36" i="5"/>
  <c r="P40" i="3"/>
  <c r="AV40" i="2" s="1"/>
  <c r="P40" i="5"/>
  <c r="O40" i="3"/>
  <c r="AU40" i="2" s="1"/>
  <c r="O40" i="5"/>
  <c r="P36" i="5"/>
  <c r="P36" i="3"/>
  <c r="AV36" i="2" s="1"/>
  <c r="AB36" i="5"/>
  <c r="AB36" i="3"/>
  <c r="BH36" i="2" s="1"/>
  <c r="AA35" i="5"/>
  <c r="AA35" i="3"/>
  <c r="BG35" i="2" s="1"/>
  <c r="BO35" i="2" s="1"/>
  <c r="AF32" i="3"/>
  <c r="BL32" i="2" s="1"/>
  <c r="AF32" i="5"/>
  <c r="AF54" i="2"/>
  <c r="AF55" i="2"/>
  <c r="L36" i="3"/>
  <c r="AR36" i="2" s="1"/>
  <c r="L36" i="5"/>
  <c r="T32" i="3"/>
  <c r="AZ32" i="2" s="1"/>
  <c r="T32" i="5"/>
  <c r="T54" i="2"/>
  <c r="T55" i="2"/>
  <c r="L32" i="5"/>
  <c r="L32" i="3"/>
  <c r="AR32" i="2" s="1"/>
  <c r="L55" i="2"/>
  <c r="L54" i="2"/>
  <c r="W32" i="5"/>
  <c r="W32" i="3"/>
  <c r="BC32" i="2" s="1"/>
  <c r="W55" i="2"/>
  <c r="W54" i="2"/>
  <c r="G40" i="5"/>
  <c r="G40" i="3"/>
  <c r="AM40" i="2" s="1"/>
  <c r="F40" i="5"/>
  <c r="F40" i="3"/>
  <c r="AL40" i="2" s="1"/>
  <c r="M39" i="5"/>
  <c r="M39" i="3"/>
  <c r="AS39" i="2" s="1"/>
  <c r="G36" i="3"/>
  <c r="AM36" i="2" s="1"/>
  <c r="G36" i="5"/>
  <c r="AG40" i="3"/>
  <c r="BM40" i="2" s="1"/>
  <c r="AG40" i="5"/>
  <c r="T40" i="3"/>
  <c r="AZ40" i="2" s="1"/>
  <c r="T40" i="5"/>
  <c r="V40" i="3"/>
  <c r="BB40" i="2" s="1"/>
  <c r="V40" i="5"/>
  <c r="J36" i="3"/>
  <c r="AP36" i="2" s="1"/>
  <c r="J36" i="5"/>
  <c r="M40" i="5"/>
  <c r="M40" i="3"/>
  <c r="AS40" i="2" s="1"/>
  <c r="I39" i="3"/>
  <c r="AO39" i="2" s="1"/>
  <c r="I39" i="5"/>
  <c r="J40" i="5"/>
  <c r="J40" i="3"/>
  <c r="AP40" i="2" s="1"/>
  <c r="Q40" i="5"/>
  <c r="Q40" i="3"/>
  <c r="AW40" i="2" s="1"/>
  <c r="AB32" i="3"/>
  <c r="BH32" i="2" s="1"/>
  <c r="AB32" i="5"/>
  <c r="AB55" i="2"/>
  <c r="AB54" i="2"/>
  <c r="D32" i="3"/>
  <c r="AJ32" i="2" s="1"/>
  <c r="D32" i="5"/>
  <c r="D54" i="2"/>
  <c r="D55" i="2"/>
  <c r="V36" i="3"/>
  <c r="BB36" i="2" s="1"/>
  <c r="V36" i="5"/>
  <c r="P32" i="3"/>
  <c r="AV32" i="2" s="1"/>
  <c r="P32" i="5"/>
  <c r="P54" i="2"/>
  <c r="P55" i="2"/>
  <c r="AE36" i="5"/>
  <c r="AE36" i="3"/>
  <c r="BK36" i="2" s="1"/>
  <c r="H32" i="3"/>
  <c r="AN32" i="2" s="1"/>
  <c r="H32" i="5"/>
  <c r="H55" i="2"/>
  <c r="H54" i="2"/>
  <c r="AE32" i="3"/>
  <c r="BK32" i="2" s="1"/>
  <c r="AE32" i="5"/>
  <c r="AE54" i="2"/>
  <c r="AE55" i="2"/>
  <c r="BO37" i="2"/>
  <c r="Z36" i="3"/>
  <c r="BF36" i="2" s="1"/>
  <c r="Z36" i="5"/>
  <c r="M36" i="5"/>
  <c r="M36" i="3"/>
  <c r="AS36" i="2" s="1"/>
  <c r="E32" i="3"/>
  <c r="AK32" i="2" s="1"/>
  <c r="E32" i="5"/>
  <c r="E54" i="2"/>
  <c r="E55" i="2"/>
  <c r="AA36" i="3"/>
  <c r="BG36" i="2" s="1"/>
  <c r="AA36" i="5"/>
  <c r="Z40" i="5"/>
  <c r="Z40" i="3"/>
  <c r="BF40" i="2" s="1"/>
  <c r="Y36" i="3"/>
  <c r="BE36" i="2" s="1"/>
  <c r="Y36" i="5"/>
  <c r="Y40" i="3"/>
  <c r="BE40" i="2" s="1"/>
  <c r="Y40" i="5"/>
  <c r="E40" i="5"/>
  <c r="E40" i="3"/>
  <c r="AK40" i="2" s="1"/>
  <c r="S40" i="3"/>
  <c r="AY40" i="2" s="1"/>
  <c r="S40" i="5"/>
  <c r="I36" i="5"/>
  <c r="I36" i="3"/>
  <c r="AO36" i="2" s="1"/>
  <c r="Z32" i="5"/>
  <c r="Z32" i="3"/>
  <c r="Z54" i="2"/>
  <c r="Z55" i="2"/>
  <c r="I40" i="5"/>
  <c r="I40" i="3"/>
  <c r="AO40" i="2" s="1"/>
  <c r="M32" i="3"/>
  <c r="AS32" i="2" s="1"/>
  <c r="M32" i="5"/>
  <c r="M54" i="2"/>
  <c r="M55" i="2"/>
  <c r="G38" i="3"/>
  <c r="AM38" i="2" s="1"/>
  <c r="BO38" i="2" s="1"/>
  <c r="G38" i="5"/>
  <c r="L40" i="3"/>
  <c r="AR40" i="2" s="1"/>
  <c r="L40" i="5"/>
  <c r="N36" i="3"/>
  <c r="AT36" i="2" s="1"/>
  <c r="N36" i="5"/>
  <c r="X32" i="3"/>
  <c r="X32" i="5"/>
  <c r="X55" i="2"/>
  <c r="X54" i="2"/>
  <c r="W36" i="5"/>
  <c r="W36" i="3"/>
  <c r="BC36" i="2" s="1"/>
  <c r="R36" i="3"/>
  <c r="AX36" i="2" s="1"/>
  <c r="R36" i="5"/>
  <c r="R32" i="3"/>
  <c r="AX32" i="2" s="1"/>
  <c r="R32" i="5"/>
  <c r="R55" i="2"/>
  <c r="R54" i="2"/>
  <c r="J32" i="5"/>
  <c r="J32" i="3"/>
  <c r="AP32" i="2" s="1"/>
  <c r="J54" i="2"/>
  <c r="J55" i="2"/>
  <c r="AG36" i="3"/>
  <c r="BM36" i="2" s="1"/>
  <c r="AG36" i="5"/>
  <c r="AC32" i="3"/>
  <c r="BI32" i="2" s="1"/>
  <c r="AC32" i="5"/>
  <c r="AC55" i="2"/>
  <c r="AC54" i="2"/>
  <c r="U32" i="3"/>
  <c r="BA32" i="2" s="1"/>
  <c r="U32" i="5"/>
  <c r="U54" i="2"/>
  <c r="U55" i="2"/>
  <c r="AF40" i="5"/>
  <c r="AF40" i="3"/>
  <c r="BL40" i="2" s="1"/>
  <c r="S36" i="3"/>
  <c r="AY36" i="2" s="1"/>
  <c r="S36" i="5"/>
  <c r="I32" i="5"/>
  <c r="I32" i="3"/>
  <c r="I55" i="2"/>
  <c r="I54" i="2"/>
  <c r="E39" i="3"/>
  <c r="AK39" i="2" s="1"/>
  <c r="E39" i="5"/>
  <c r="E36" i="3"/>
  <c r="AK36" i="2" s="1"/>
  <c r="E36" i="5"/>
  <c r="AA32" i="5"/>
  <c r="AA32" i="3"/>
  <c r="BG32" i="2" s="1"/>
  <c r="AA54" i="2"/>
  <c r="AA55" i="2"/>
  <c r="BO39" i="2" l="1"/>
  <c r="BQ39" i="2" s="1"/>
  <c r="BQ38" i="2"/>
  <c r="BR38" i="2"/>
  <c r="BP38" i="2" s="1"/>
  <c r="BO40" i="2"/>
  <c r="BQ35" i="2"/>
  <c r="BR35" i="2"/>
  <c r="BP35" i="2" s="1"/>
  <c r="Q57" i="3"/>
  <c r="Q54" i="3"/>
  <c r="Q55" i="3"/>
  <c r="Q56" i="3"/>
  <c r="AG54" i="5"/>
  <c r="AG55" i="5"/>
  <c r="AG56" i="5"/>
  <c r="AG57" i="5"/>
  <c r="V55" i="3"/>
  <c r="V56" i="3"/>
  <c r="V57" i="3"/>
  <c r="V54" i="3"/>
  <c r="S56" i="5"/>
  <c r="S55" i="5"/>
  <c r="S57" i="5"/>
  <c r="S54" i="5"/>
  <c r="I57" i="3"/>
  <c r="I55" i="3"/>
  <c r="I54" i="3"/>
  <c r="I56" i="3"/>
  <c r="M56" i="3"/>
  <c r="M57" i="3"/>
  <c r="M54" i="3"/>
  <c r="M55" i="3"/>
  <c r="I54" i="5"/>
  <c r="I57" i="5"/>
  <c r="I56" i="5"/>
  <c r="I55" i="5"/>
  <c r="U57" i="5"/>
  <c r="U56" i="5"/>
  <c r="U55" i="5"/>
  <c r="U54" i="5"/>
  <c r="Z57" i="5"/>
  <c r="Z54" i="5"/>
  <c r="Z55" i="5"/>
  <c r="Z56" i="5"/>
  <c r="BR37" i="2"/>
  <c r="BP37" i="2" s="1"/>
  <c r="BQ37" i="2"/>
  <c r="AI55" i="2"/>
  <c r="AB55" i="3"/>
  <c r="AB57" i="3"/>
  <c r="AB54" i="3"/>
  <c r="AB56" i="3"/>
  <c r="T55" i="5"/>
  <c r="T56" i="5"/>
  <c r="T54" i="5"/>
  <c r="T57" i="5"/>
  <c r="AF56" i="3"/>
  <c r="AF54" i="3"/>
  <c r="AF55" i="3"/>
  <c r="AF57" i="3"/>
  <c r="AG55" i="3"/>
  <c r="AG56" i="3"/>
  <c r="AG57" i="3"/>
  <c r="AG54" i="3"/>
  <c r="V57" i="5"/>
  <c r="V56" i="5"/>
  <c r="V55" i="5"/>
  <c r="V54" i="5"/>
  <c r="AD56" i="5"/>
  <c r="AD54" i="5"/>
  <c r="AD57" i="5"/>
  <c r="AD55" i="5"/>
  <c r="S54" i="3"/>
  <c r="S55" i="3"/>
  <c r="S57" i="3"/>
  <c r="S56" i="3"/>
  <c r="Z57" i="3"/>
  <c r="Z54" i="3"/>
  <c r="Z56" i="3"/>
  <c r="Z55" i="3"/>
  <c r="BO36" i="2"/>
  <c r="AB54" i="5"/>
  <c r="AB57" i="5"/>
  <c r="AB56" i="5"/>
  <c r="AB55" i="5"/>
  <c r="AF57" i="5"/>
  <c r="AF54" i="5"/>
  <c r="AF55" i="5"/>
  <c r="AF56" i="5"/>
  <c r="AA55" i="3"/>
  <c r="AA56" i="3"/>
  <c r="AA54" i="3"/>
  <c r="AA57" i="3"/>
  <c r="U57" i="3"/>
  <c r="U55" i="3"/>
  <c r="U54" i="3"/>
  <c r="U56" i="3"/>
  <c r="R56" i="5"/>
  <c r="R57" i="5"/>
  <c r="R55" i="5"/>
  <c r="R54" i="5"/>
  <c r="T54" i="3"/>
  <c r="T57" i="3"/>
  <c r="T56" i="3"/>
  <c r="T55" i="3"/>
  <c r="AD56" i="3"/>
  <c r="AD55" i="3"/>
  <c r="AD54" i="3"/>
  <c r="AD57" i="3"/>
  <c r="AC55" i="5"/>
  <c r="AC57" i="5"/>
  <c r="AC56" i="5"/>
  <c r="AC54" i="5"/>
  <c r="AA55" i="5"/>
  <c r="AA57" i="5"/>
  <c r="AA56" i="5"/>
  <c r="AA54" i="5"/>
  <c r="R57" i="3"/>
  <c r="R54" i="3"/>
  <c r="R55" i="3"/>
  <c r="R56" i="3"/>
  <c r="H57" i="5"/>
  <c r="H54" i="5"/>
  <c r="H56" i="5"/>
  <c r="H55" i="5"/>
  <c r="W54" i="3"/>
  <c r="W56" i="3"/>
  <c r="W55" i="3"/>
  <c r="W57" i="3"/>
  <c r="F55" i="3"/>
  <c r="F56" i="3"/>
  <c r="F54" i="3"/>
  <c r="F57" i="3"/>
  <c r="Y56" i="5"/>
  <c r="Y55" i="5"/>
  <c r="Y54" i="5"/>
  <c r="Y57" i="5"/>
  <c r="J55" i="5"/>
  <c r="J54" i="5"/>
  <c r="J57" i="5"/>
  <c r="J56" i="5"/>
  <c r="X56" i="3"/>
  <c r="X54" i="3"/>
  <c r="X57" i="3"/>
  <c r="X55" i="3"/>
  <c r="BD32" i="2"/>
  <c r="E56" i="5"/>
  <c r="E55" i="5"/>
  <c r="E54" i="5"/>
  <c r="E57" i="5"/>
  <c r="H57" i="3"/>
  <c r="H54" i="3"/>
  <c r="H55" i="3"/>
  <c r="H56" i="3"/>
  <c r="D55" i="5"/>
  <c r="D56" i="5"/>
  <c r="D57" i="5"/>
  <c r="D54" i="5"/>
  <c r="W55" i="5"/>
  <c r="W57" i="5"/>
  <c r="W54" i="5"/>
  <c r="W56" i="5"/>
  <c r="L56" i="3"/>
  <c r="L55" i="3"/>
  <c r="L54" i="3"/>
  <c r="L57" i="3"/>
  <c r="F56" i="5"/>
  <c r="F57" i="5"/>
  <c r="F55" i="5"/>
  <c r="F54" i="5"/>
  <c r="BQ33" i="2"/>
  <c r="BR33" i="2"/>
  <c r="BP33" i="2" s="1"/>
  <c r="Y54" i="3"/>
  <c r="Y56" i="3"/>
  <c r="Y57" i="3"/>
  <c r="Y55" i="3"/>
  <c r="BR41" i="2"/>
  <c r="BP41" i="2" s="1"/>
  <c r="BQ41" i="2"/>
  <c r="J57" i="3"/>
  <c r="J55" i="3"/>
  <c r="J56" i="3"/>
  <c r="J54" i="3"/>
  <c r="X55" i="5"/>
  <c r="X56" i="5"/>
  <c r="X57" i="5"/>
  <c r="X54" i="5"/>
  <c r="E55" i="3"/>
  <c r="E54" i="3"/>
  <c r="E56" i="3"/>
  <c r="E57" i="3"/>
  <c r="P55" i="5"/>
  <c r="P56" i="5"/>
  <c r="P54" i="5"/>
  <c r="P57" i="5"/>
  <c r="D55" i="3"/>
  <c r="D56" i="3"/>
  <c r="D57" i="3"/>
  <c r="D54" i="3"/>
  <c r="L57" i="5"/>
  <c r="L54" i="5"/>
  <c r="L55" i="5"/>
  <c r="L56" i="5"/>
  <c r="K56" i="5"/>
  <c r="K54" i="5"/>
  <c r="K55" i="5"/>
  <c r="K57" i="5"/>
  <c r="G56" i="5"/>
  <c r="G57" i="5"/>
  <c r="G54" i="5"/>
  <c r="G55" i="5"/>
  <c r="N57" i="3"/>
  <c r="N56" i="3"/>
  <c r="N55" i="3"/>
  <c r="N54" i="3"/>
  <c r="O57" i="5"/>
  <c r="O55" i="5"/>
  <c r="O54" i="5"/>
  <c r="O56" i="5"/>
  <c r="BQ34" i="2"/>
  <c r="BR34" i="2"/>
  <c r="BP34" i="2" s="1"/>
  <c r="K55" i="3"/>
  <c r="K54" i="3"/>
  <c r="K57" i="3"/>
  <c r="K56" i="3"/>
  <c r="G55" i="3"/>
  <c r="G57" i="3"/>
  <c r="G56" i="3"/>
  <c r="G54" i="3"/>
  <c r="AH54" i="3"/>
  <c r="AH55" i="3"/>
  <c r="AH56" i="3"/>
  <c r="AH57" i="3"/>
  <c r="N57" i="5"/>
  <c r="N54" i="5"/>
  <c r="N55" i="5"/>
  <c r="N56" i="5"/>
  <c r="O54" i="3"/>
  <c r="O56" i="3"/>
  <c r="O55" i="3"/>
  <c r="O57" i="3"/>
  <c r="AE55" i="5"/>
  <c r="AE54" i="5"/>
  <c r="AE57" i="5"/>
  <c r="AE56" i="5"/>
  <c r="P55" i="3"/>
  <c r="P57" i="3"/>
  <c r="P54" i="3"/>
  <c r="P56" i="3"/>
  <c r="AO32" i="2"/>
  <c r="AC57" i="3"/>
  <c r="AC56" i="3"/>
  <c r="AC54" i="3"/>
  <c r="AC55" i="3"/>
  <c r="M57" i="5"/>
  <c r="M56" i="5"/>
  <c r="M55" i="5"/>
  <c r="M54" i="5"/>
  <c r="BF32" i="2"/>
  <c r="AE56" i="3"/>
  <c r="AE54" i="3"/>
  <c r="AE55" i="3"/>
  <c r="AE57" i="3"/>
  <c r="Q56" i="5"/>
  <c r="Q57" i="5"/>
  <c r="Q54" i="5"/>
  <c r="Q55" i="5"/>
  <c r="AH57" i="5"/>
  <c r="AH55" i="5"/>
  <c r="AH54" i="5"/>
  <c r="AH56" i="5"/>
  <c r="BR39" i="2" l="1"/>
  <c r="BP39" i="2" s="1"/>
  <c r="BO32" i="2"/>
  <c r="BQ32" i="2" s="1"/>
  <c r="AJ56" i="3"/>
  <c r="AJ56" i="5"/>
  <c r="BR36" i="2"/>
  <c r="BP36" i="2" s="1"/>
  <c r="BQ36" i="2"/>
  <c r="BQ40" i="2"/>
  <c r="BR40" i="2"/>
  <c r="BP40" i="2" s="1"/>
  <c r="BR32" i="2" l="1"/>
  <c r="BP32" i="2" s="1"/>
  <c r="D1" i="4" s="1"/>
  <c r="BR2" i="2"/>
  <c r="E1" i="4" s="1"/>
  <c r="D4" i="4" l="1"/>
  <c r="I4" i="4" s="1"/>
  <c r="D12" i="4"/>
  <c r="I12" i="4" s="1"/>
  <c r="D20" i="4"/>
  <c r="K20" i="4" s="1"/>
  <c r="D28" i="4"/>
  <c r="K28" i="4" s="1"/>
  <c r="D5" i="4"/>
  <c r="K5" i="4" s="1"/>
  <c r="D13" i="4"/>
  <c r="I13" i="4" s="1"/>
  <c r="D21" i="4"/>
  <c r="I21" i="4" s="1"/>
  <c r="D29" i="4"/>
  <c r="K29" i="4" s="1"/>
  <c r="D6" i="4"/>
  <c r="I6" i="4" s="1"/>
  <c r="D14" i="4"/>
  <c r="D22" i="4"/>
  <c r="D30" i="4"/>
  <c r="K30" i="4" s="1"/>
  <c r="D7" i="4"/>
  <c r="K7" i="4" s="1"/>
  <c r="D15" i="4"/>
  <c r="I15" i="4" s="1"/>
  <c r="D23" i="4"/>
  <c r="K23" i="4" s="1"/>
  <c r="D31" i="4"/>
  <c r="I31" i="4" s="1"/>
  <c r="D8" i="4"/>
  <c r="I8" i="4" s="1"/>
  <c r="D16" i="4"/>
  <c r="K16" i="4" s="1"/>
  <c r="D24" i="4"/>
  <c r="I24" i="4" s="1"/>
  <c r="D32" i="4"/>
  <c r="K32" i="4" s="1"/>
  <c r="D9" i="4"/>
  <c r="K9" i="4" s="1"/>
  <c r="D17" i="4"/>
  <c r="I17" i="4" s="1"/>
  <c r="D25" i="4"/>
  <c r="I25" i="4" s="1"/>
  <c r="D33" i="4"/>
  <c r="I33" i="4" s="1"/>
  <c r="D10" i="4"/>
  <c r="K10" i="4" s="1"/>
  <c r="D18" i="4"/>
  <c r="I18" i="4" s="1"/>
  <c r="D26" i="4"/>
  <c r="K26" i="4" s="1"/>
  <c r="D3" i="4"/>
  <c r="I3" i="4" s="1"/>
  <c r="D11" i="4"/>
  <c r="I11" i="4" s="1"/>
  <c r="D19" i="4"/>
  <c r="I19" i="4" s="1"/>
  <c r="D27" i="4"/>
  <c r="I27" i="4" s="1"/>
  <c r="I5" i="4"/>
  <c r="K14" i="4"/>
  <c r="K22" i="4"/>
  <c r="I22" i="4"/>
  <c r="K12" i="4" l="1"/>
  <c r="I7" i="4"/>
  <c r="K13" i="4"/>
  <c r="K17" i="4"/>
  <c r="K31" i="4"/>
  <c r="I29" i="4"/>
  <c r="K11" i="4"/>
  <c r="I28" i="4"/>
  <c r="I9" i="4"/>
  <c r="I32" i="4"/>
  <c r="K18" i="4"/>
  <c r="K24" i="4"/>
  <c r="I16" i="4"/>
  <c r="I20" i="4"/>
  <c r="I30" i="4"/>
  <c r="K19" i="4"/>
  <c r="K21" i="4"/>
  <c r="K27" i="4"/>
  <c r="K33" i="4"/>
  <c r="K3" i="4"/>
  <c r="I23" i="4"/>
  <c r="K8" i="4"/>
  <c r="I10" i="4"/>
  <c r="K6" i="4"/>
  <c r="K25" i="4"/>
  <c r="I14" i="4"/>
  <c r="K15" i="4"/>
  <c r="I26" i="4"/>
  <c r="K4" i="4"/>
</calcChain>
</file>

<file path=xl/sharedStrings.xml><?xml version="1.0" encoding="utf-8"?>
<sst xmlns="http://schemas.openxmlformats.org/spreadsheetml/2006/main" count="450" uniqueCount="49">
  <si>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</si>
  <si>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</si>
  <si>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</si>
  <si>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</si>
  <si>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</si>
  <si>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</si>
  <si>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</si>
  <si>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</si>
  <si>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</si>
  <si>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</si>
  <si>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</si>
  <si>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</si>
  <si>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</si>
  <si>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</si>
  <si>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</si>
  <si>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</si>
  <si>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</si>
  <si>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</si>
  <si>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</si>
  <si>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</si>
  <si>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</si>
  <si>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</si>
  <si>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</si>
  <si>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</si>
  <si>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</si>
  <si>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</si>
  <si>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</si>
  <si>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</si>
  <si>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</si>
  <si>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</si>
  <si>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</si>
  <si>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</si>
  <si>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</si>
  <si>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</si>
  <si>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</si>
  <si>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</si>
  <si>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</si>
  <si>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</si>
  <si>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</si>
  <si>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</si>
  <si>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</si>
  <si>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</si>
  <si>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</si>
  <si>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</si>
  <si>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</si>
  <si>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</si>
  <si>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t>
  </si>
  <si>
    <t>当</t>
  </si>
  <si>
    <t>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</si>
</sst>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101">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10" xfId="0" applyFont="1" applyBorder="1" applyAlignment="1">
      <alignment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9" xfId="0" applyFont="1" applyBorder="1" applyAlignment="1">
      <alignment horizontal="left" vertical="center" shrinkToFit="1"/>
    </xf>
    <xf numFmtId="0" fontId="4" fillId="0" borderId="11" xfId="0" applyFont="1" applyBorder="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177" fontId="4" fillId="0" borderId="5"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10540" y="144780"/>
          <a:ext cx="887730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2025/3/7 12:01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184150</xdr:colOff>
          <xdr:row>0</xdr:row>
          <xdr:rowOff>165100</xdr:rowOff>
        </xdr:from>
        <xdr:to>
          <xdr:col>39</xdr:col>
          <xdr:colOff>323850</xdr:colOff>
          <xdr:row>0</xdr:row>
          <xdr:rowOff>565150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10540" y="144780"/>
          <a:ext cx="887730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2025/3/7 12:01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xdr:col>
      <xdr:colOff>864870</xdr:colOff>
      <xdr:row>12</xdr:row>
      <xdr:rowOff>102870</xdr:rowOff>
    </xdr:from>
    <xdr:to>
      <xdr:col>33</xdr:col>
      <xdr:colOff>140970</xdr:colOff>
      <xdr:row>24</xdr:row>
      <xdr:rowOff>95250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579245" y="188404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shift_app\shift_manager\&#21220;&#21209;&#34920;(&#23455;&#39443;&#65289;.xlsx" TargetMode="External"/><Relationship Id="rId1" Type="http://schemas.openxmlformats.org/officeDocument/2006/relationships/externalLinkPath" Target="&#21220;&#21209;&#34920;(&#23455;&#39443;&#6528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勤務表 (3)"/>
      <sheetName val="印刷用"/>
      <sheetName val="拘"/>
      <sheetName val="月表示"/>
      <sheetName val="TimePro入力"/>
      <sheetName val="拘束者"/>
      <sheetName val="日勤"/>
      <sheetName val="管理課提出用データ"/>
      <sheetName val="マニュアル"/>
      <sheetName val="印刷用２"/>
      <sheetName val="Sheet1"/>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46082</v>
          </cell>
          <cell r="E1">
            <v>46083</v>
          </cell>
          <cell r="F1">
            <v>46084</v>
          </cell>
          <cell r="G1">
            <v>46085</v>
          </cell>
          <cell r="H1">
            <v>46086</v>
          </cell>
          <cell r="I1">
            <v>46087</v>
          </cell>
          <cell r="J1">
            <v>46088</v>
          </cell>
          <cell r="K1">
            <v>46089</v>
          </cell>
          <cell r="L1">
            <v>46090</v>
          </cell>
          <cell r="M1">
            <v>46091</v>
          </cell>
          <cell r="N1">
            <v>46092</v>
          </cell>
          <cell r="O1">
            <v>46093</v>
          </cell>
          <cell r="P1">
            <v>46094</v>
          </cell>
          <cell r="Q1">
            <v>46095</v>
          </cell>
          <cell r="R1">
            <v>46096</v>
          </cell>
          <cell r="S1">
            <v>46097</v>
          </cell>
          <cell r="T1">
            <v>46098</v>
          </cell>
          <cell r="U1">
            <v>46099</v>
          </cell>
          <cell r="V1">
            <v>46100</v>
          </cell>
          <cell r="W1">
            <v>46101</v>
          </cell>
          <cell r="X1">
            <v>46102</v>
          </cell>
          <cell r="Y1">
            <v>46103</v>
          </cell>
          <cell r="Z1">
            <v>46104</v>
          </cell>
          <cell r="AA1">
            <v>46105</v>
          </cell>
          <cell r="AB1">
            <v>46106</v>
          </cell>
          <cell r="AC1">
            <v>46107</v>
          </cell>
          <cell r="AD1">
            <v>46108</v>
          </cell>
          <cell r="AE1">
            <v>46109</v>
          </cell>
          <cell r="AF1">
            <v>46110</v>
          </cell>
          <cell r="AG1">
            <v>46111</v>
          </cell>
          <cell r="AH1">
            <v>46112</v>
          </cell>
        </row>
        <row r="2">
          <cell r="D2">
            <v>46082</v>
          </cell>
          <cell r="E2">
            <v>46083</v>
          </cell>
          <cell r="F2">
            <v>46084</v>
          </cell>
          <cell r="G2">
            <v>46085</v>
          </cell>
          <cell r="H2">
            <v>46086</v>
          </cell>
          <cell r="I2">
            <v>46087</v>
          </cell>
          <cell r="J2">
            <v>46088</v>
          </cell>
          <cell r="K2">
            <v>46089</v>
          </cell>
          <cell r="L2">
            <v>46090</v>
          </cell>
          <cell r="M2">
            <v>46091</v>
          </cell>
          <cell r="N2">
            <v>46092</v>
          </cell>
          <cell r="O2">
            <v>46093</v>
          </cell>
          <cell r="P2">
            <v>46094</v>
          </cell>
          <cell r="Q2">
            <v>46095</v>
          </cell>
          <cell r="R2">
            <v>46096</v>
          </cell>
          <cell r="S2">
            <v>46097</v>
          </cell>
          <cell r="T2">
            <v>46098</v>
          </cell>
          <cell r="U2">
            <v>46099</v>
          </cell>
          <cell r="V2">
            <v>46100</v>
          </cell>
          <cell r="W2">
            <v>46101</v>
          </cell>
          <cell r="X2">
            <v>46102</v>
          </cell>
          <cell r="Y2">
            <v>46103</v>
          </cell>
          <cell r="Z2">
            <v>46104</v>
          </cell>
          <cell r="AA2">
            <v>46105</v>
          </cell>
          <cell r="AB2">
            <v>46106</v>
          </cell>
          <cell r="AC2">
            <v>46107</v>
          </cell>
          <cell r="AD2">
            <v>46108</v>
          </cell>
          <cell r="AE2">
            <v>46109</v>
          </cell>
          <cell r="AF2">
            <v>46110</v>
          </cell>
          <cell r="AG2">
            <v>46111</v>
          </cell>
          <cell r="AH2">
            <v>46112</v>
          </cell>
        </row>
        <row r="3">
          <cell r="A3">
            <v>1</v>
          </cell>
          <cell r="B3" t="str">
            <v>51774</v>
          </cell>
          <cell r="C3" t="str">
            <v>山村 博</v>
          </cell>
          <cell r="D3" t="str">
            <v>●</v>
          </cell>
          <cell r="E3" t="str">
            <v/>
          </cell>
          <cell r="F3" t="str">
            <v/>
          </cell>
          <cell r="G3" t="str">
            <v/>
          </cell>
          <cell r="H3" t="str">
            <v/>
          </cell>
          <cell r="I3" t="str">
            <v/>
          </cell>
          <cell r="J3" t="str">
            <v>／</v>
          </cell>
          <cell r="K3" t="str">
            <v>●</v>
          </cell>
          <cell r="L3" t="str">
            <v/>
          </cell>
          <cell r="M3" t="str">
            <v/>
          </cell>
          <cell r="N3" t="str">
            <v/>
          </cell>
          <cell r="O3" t="str">
            <v/>
          </cell>
          <cell r="P3" t="str">
            <v/>
          </cell>
          <cell r="Q3" t="str">
            <v>／</v>
          </cell>
          <cell r="R3" t="str">
            <v>●</v>
          </cell>
          <cell r="S3" t="str">
            <v/>
          </cell>
          <cell r="T3" t="str">
            <v/>
          </cell>
          <cell r="U3" t="str">
            <v/>
          </cell>
          <cell r="V3" t="str">
            <v/>
          </cell>
          <cell r="W3" t="str">
            <v/>
          </cell>
          <cell r="X3" t="str">
            <v>／</v>
          </cell>
          <cell r="Y3" t="str">
            <v>●</v>
          </cell>
          <cell r="Z3" t="str">
            <v/>
          </cell>
          <cell r="AA3" t="str">
            <v/>
          </cell>
          <cell r="AB3" t="str">
            <v/>
          </cell>
          <cell r="AC3" t="str">
            <v/>
          </cell>
          <cell r="AD3" t="str">
            <v/>
          </cell>
          <cell r="AE3" t="str">
            <v>／</v>
          </cell>
          <cell r="AF3" t="str">
            <v>●</v>
          </cell>
          <cell r="AG3" t="str">
            <v/>
          </cell>
          <cell r="AH3" t="str">
            <v/>
          </cell>
        </row>
        <row r="4">
          <cell r="A4">
            <v>2</v>
          </cell>
          <cell r="B4" t="str">
            <v>35665</v>
          </cell>
          <cell r="C4" t="str">
            <v>山下 修</v>
          </cell>
          <cell r="D4" t="str">
            <v>●</v>
          </cell>
          <cell r="E4" t="str">
            <v/>
          </cell>
          <cell r="F4" t="str">
            <v/>
          </cell>
          <cell r="G4" t="str">
            <v/>
          </cell>
          <cell r="H4" t="str">
            <v/>
          </cell>
          <cell r="I4" t="str">
            <v/>
          </cell>
          <cell r="J4" t="str">
            <v>／</v>
          </cell>
          <cell r="K4" t="str">
            <v>●</v>
          </cell>
          <cell r="L4" t="str">
            <v/>
          </cell>
          <cell r="M4" t="str">
            <v/>
          </cell>
          <cell r="N4" t="str">
            <v/>
          </cell>
          <cell r="O4" t="str">
            <v/>
          </cell>
          <cell r="P4" t="str">
            <v/>
          </cell>
          <cell r="Q4" t="str">
            <v>○</v>
          </cell>
          <cell r="R4" t="str">
            <v>●</v>
          </cell>
          <cell r="S4" t="str">
            <v/>
          </cell>
          <cell r="T4" t="str">
            <v/>
          </cell>
          <cell r="U4" t="str">
            <v/>
          </cell>
          <cell r="V4" t="str">
            <v/>
          </cell>
          <cell r="W4" t="str">
            <v/>
          </cell>
          <cell r="X4" t="str">
            <v>／</v>
          </cell>
          <cell r="Y4" t="str">
            <v>●</v>
          </cell>
          <cell r="Z4" t="str">
            <v/>
          </cell>
          <cell r="AA4" t="str">
            <v/>
          </cell>
          <cell r="AB4" t="str">
            <v/>
          </cell>
          <cell r="AC4" t="str">
            <v/>
          </cell>
          <cell r="AD4" t="str">
            <v/>
          </cell>
          <cell r="AE4" t="str">
            <v>○</v>
          </cell>
          <cell r="AF4" t="str">
            <v>●</v>
          </cell>
          <cell r="AG4" t="str">
            <v/>
          </cell>
          <cell r="AH4" t="str">
            <v/>
          </cell>
        </row>
        <row r="5">
          <cell r="A5">
            <v>3</v>
          </cell>
          <cell r="B5" t="str">
            <v>62993</v>
          </cell>
          <cell r="C5" t="str">
            <v>平田 恵哉</v>
          </cell>
          <cell r="D5" t="str">
            <v>●</v>
          </cell>
          <cell r="E5" t="str">
            <v>当</v>
          </cell>
          <cell r="F5" t="str">
            <v>明</v>
          </cell>
          <cell r="G5" t="str">
            <v/>
          </cell>
          <cell r="H5" t="str">
            <v/>
          </cell>
          <cell r="I5" t="str">
            <v/>
          </cell>
          <cell r="J5" t="str">
            <v>／</v>
          </cell>
          <cell r="K5" t="str">
            <v>●</v>
          </cell>
          <cell r="L5" t="str">
            <v/>
          </cell>
          <cell r="M5" t="str">
            <v/>
          </cell>
          <cell r="N5" t="str">
            <v/>
          </cell>
          <cell r="O5" t="str">
            <v/>
          </cell>
          <cell r="P5" t="str">
            <v/>
          </cell>
          <cell r="Q5" t="str">
            <v>／</v>
          </cell>
          <cell r="R5" t="str">
            <v>●</v>
          </cell>
          <cell r="S5" t="str">
            <v>当</v>
          </cell>
          <cell r="T5" t="str">
            <v>明</v>
          </cell>
          <cell r="U5" t="str">
            <v/>
          </cell>
          <cell r="V5" t="str">
            <v/>
          </cell>
          <cell r="W5" t="str">
            <v/>
          </cell>
          <cell r="X5" t="str">
            <v>／</v>
          </cell>
          <cell r="Y5" t="str">
            <v>●</v>
          </cell>
          <cell r="Z5" t="str">
            <v/>
          </cell>
          <cell r="AA5" t="str">
            <v/>
          </cell>
          <cell r="AB5" t="str">
            <v/>
          </cell>
          <cell r="AC5" t="str">
            <v/>
          </cell>
          <cell r="AD5" t="str">
            <v/>
          </cell>
          <cell r="AE5" t="str">
            <v>／</v>
          </cell>
          <cell r="AF5" t="str">
            <v>●</v>
          </cell>
          <cell r="AG5" t="str">
            <v/>
          </cell>
          <cell r="AH5" t="str">
            <v/>
          </cell>
        </row>
        <row r="6">
          <cell r="A6">
            <v>4</v>
          </cell>
          <cell r="B6" t="str">
            <v>88014</v>
          </cell>
          <cell r="C6" t="str">
            <v>長田 弘二</v>
          </cell>
          <cell r="D6" t="str">
            <v>●</v>
          </cell>
          <cell r="E6" t="str">
            <v/>
          </cell>
          <cell r="F6" t="str">
            <v/>
          </cell>
          <cell r="G6" t="str">
            <v/>
          </cell>
          <cell r="H6" t="str">
            <v/>
          </cell>
          <cell r="I6" t="str">
            <v/>
          </cell>
          <cell r="J6" t="str">
            <v>○</v>
          </cell>
          <cell r="K6" t="str">
            <v>●</v>
          </cell>
          <cell r="L6" t="str">
            <v/>
          </cell>
          <cell r="M6" t="str">
            <v/>
          </cell>
          <cell r="N6" t="str">
            <v>当</v>
          </cell>
          <cell r="O6" t="str">
            <v>明</v>
          </cell>
          <cell r="P6" t="str">
            <v/>
          </cell>
          <cell r="Q6" t="str">
            <v>／</v>
          </cell>
          <cell r="R6" t="str">
            <v>●</v>
          </cell>
          <cell r="S6" t="str">
            <v/>
          </cell>
          <cell r="T6" t="str">
            <v/>
          </cell>
          <cell r="U6" t="str">
            <v/>
          </cell>
          <cell r="V6" t="str">
            <v/>
          </cell>
          <cell r="W6" t="str">
            <v/>
          </cell>
          <cell r="X6" t="str">
            <v>○</v>
          </cell>
          <cell r="Y6" t="str">
            <v>●</v>
          </cell>
          <cell r="Z6" t="str">
            <v/>
          </cell>
          <cell r="AA6" t="str">
            <v/>
          </cell>
          <cell r="AB6" t="str">
            <v/>
          </cell>
          <cell r="AC6" t="str">
            <v>当</v>
          </cell>
          <cell r="AD6" t="str">
            <v>明</v>
          </cell>
          <cell r="AE6" t="str">
            <v>／</v>
          </cell>
          <cell r="AF6" t="str">
            <v>●</v>
          </cell>
          <cell r="AG6" t="str">
            <v/>
          </cell>
          <cell r="AH6" t="str">
            <v/>
          </cell>
        </row>
        <row r="7">
          <cell r="A7">
            <v>5</v>
          </cell>
          <cell r="B7" t="str">
            <v>29056</v>
          </cell>
          <cell r="C7" t="str">
            <v>中井 士郎</v>
          </cell>
          <cell r="D7" t="str">
            <v>●</v>
          </cell>
          <cell r="E7" t="str">
            <v/>
          </cell>
          <cell r="F7" t="str">
            <v/>
          </cell>
          <cell r="G7" t="str">
            <v/>
          </cell>
          <cell r="H7" t="str">
            <v/>
          </cell>
          <cell r="I7" t="str">
            <v/>
          </cell>
          <cell r="J7" t="str">
            <v>○</v>
          </cell>
          <cell r="K7" t="str">
            <v>●</v>
          </cell>
          <cell r="L7" t="str">
            <v/>
          </cell>
          <cell r="M7" t="str">
            <v/>
          </cell>
          <cell r="N7" t="str">
            <v/>
          </cell>
          <cell r="O7" t="str">
            <v/>
          </cell>
          <cell r="P7" t="str">
            <v/>
          </cell>
          <cell r="Q7" t="str">
            <v>／</v>
          </cell>
          <cell r="R7" t="str">
            <v>●</v>
          </cell>
          <cell r="S7" t="str">
            <v/>
          </cell>
          <cell r="T7" t="str">
            <v/>
          </cell>
          <cell r="U7" t="str">
            <v/>
          </cell>
          <cell r="V7" t="str">
            <v/>
          </cell>
          <cell r="W7" t="str">
            <v/>
          </cell>
          <cell r="X7" t="str">
            <v>○</v>
          </cell>
          <cell r="Y7" t="str">
            <v>●</v>
          </cell>
          <cell r="Z7" t="str">
            <v/>
          </cell>
          <cell r="AA7" t="str">
            <v/>
          </cell>
          <cell r="AB7" t="str">
            <v/>
          </cell>
          <cell r="AC7" t="str">
            <v/>
          </cell>
          <cell r="AD7" t="str">
            <v/>
          </cell>
          <cell r="AE7" t="str">
            <v>／</v>
          </cell>
          <cell r="AF7" t="str">
            <v>●</v>
          </cell>
          <cell r="AG7" t="str">
            <v/>
          </cell>
          <cell r="AH7" t="str">
            <v/>
          </cell>
        </row>
        <row r="8">
          <cell r="A8">
            <v>6</v>
          </cell>
          <cell r="B8" t="str">
            <v>31176</v>
          </cell>
          <cell r="C8" t="str">
            <v>北 洋一</v>
          </cell>
          <cell r="D8" t="str">
            <v>●</v>
          </cell>
          <cell r="E8" t="str">
            <v/>
          </cell>
          <cell r="F8" t="str">
            <v/>
          </cell>
          <cell r="G8" t="str">
            <v/>
          </cell>
          <cell r="H8" t="str">
            <v/>
          </cell>
          <cell r="I8" t="str">
            <v/>
          </cell>
          <cell r="J8" t="str">
            <v>○</v>
          </cell>
          <cell r="K8" t="str">
            <v>●</v>
          </cell>
          <cell r="L8" t="str">
            <v/>
          </cell>
          <cell r="M8" t="str">
            <v/>
          </cell>
          <cell r="N8" t="str">
            <v/>
          </cell>
          <cell r="O8" t="str">
            <v/>
          </cell>
          <cell r="P8" t="str">
            <v/>
          </cell>
          <cell r="Q8" t="str">
            <v>／</v>
          </cell>
          <cell r="R8" t="str">
            <v>●</v>
          </cell>
          <cell r="S8" t="str">
            <v/>
          </cell>
          <cell r="T8" t="str">
            <v/>
          </cell>
          <cell r="U8" t="str">
            <v/>
          </cell>
          <cell r="V8" t="str">
            <v/>
          </cell>
          <cell r="W8" t="str">
            <v/>
          </cell>
          <cell r="X8" t="str">
            <v>○</v>
          </cell>
          <cell r="Y8" t="str">
            <v>●</v>
          </cell>
          <cell r="Z8" t="str">
            <v/>
          </cell>
          <cell r="AA8" t="str">
            <v/>
          </cell>
          <cell r="AB8" t="str">
            <v/>
          </cell>
          <cell r="AC8" t="str">
            <v/>
          </cell>
          <cell r="AD8" t="str">
            <v/>
          </cell>
          <cell r="AE8" t="str">
            <v>／</v>
          </cell>
          <cell r="AF8" t="str">
            <v>●</v>
          </cell>
          <cell r="AG8" t="str">
            <v/>
          </cell>
          <cell r="AH8" t="str">
            <v/>
          </cell>
        </row>
        <row r="9">
          <cell r="A9">
            <v>7</v>
          </cell>
          <cell r="B9" t="str">
            <v>33473</v>
          </cell>
          <cell r="C9" t="str">
            <v>中村 映水</v>
          </cell>
          <cell r="D9" t="str">
            <v>●</v>
          </cell>
          <cell r="E9" t="str">
            <v/>
          </cell>
          <cell r="F9" t="str">
            <v/>
          </cell>
          <cell r="G9" t="str">
            <v/>
          </cell>
          <cell r="H9" t="str">
            <v/>
          </cell>
          <cell r="I9" t="str">
            <v/>
          </cell>
          <cell r="J9" t="str">
            <v>○</v>
          </cell>
          <cell r="K9" t="str">
            <v>●</v>
          </cell>
          <cell r="L9" t="str">
            <v/>
          </cell>
          <cell r="M9" t="str">
            <v/>
          </cell>
          <cell r="N9" t="str">
            <v/>
          </cell>
          <cell r="O9" t="str">
            <v/>
          </cell>
          <cell r="P9" t="str">
            <v/>
          </cell>
          <cell r="Q9" t="str">
            <v>／</v>
          </cell>
          <cell r="R9" t="str">
            <v>●</v>
          </cell>
          <cell r="S9" t="str">
            <v/>
          </cell>
          <cell r="T9" t="str">
            <v/>
          </cell>
          <cell r="U9" t="str">
            <v/>
          </cell>
          <cell r="V9" t="str">
            <v/>
          </cell>
          <cell r="W9" t="str">
            <v/>
          </cell>
          <cell r="X9" t="str">
            <v>○</v>
          </cell>
          <cell r="Y9" t="str">
            <v>●</v>
          </cell>
          <cell r="Z9" t="str">
            <v/>
          </cell>
          <cell r="AA9" t="str">
            <v/>
          </cell>
          <cell r="AB9" t="str">
            <v/>
          </cell>
          <cell r="AC9" t="str">
            <v/>
          </cell>
          <cell r="AD9" t="str">
            <v/>
          </cell>
          <cell r="AE9" t="str">
            <v>／</v>
          </cell>
          <cell r="AF9" t="str">
            <v>●</v>
          </cell>
          <cell r="AG9" t="str">
            <v/>
          </cell>
          <cell r="AH9" t="str">
            <v/>
          </cell>
        </row>
        <row r="10">
          <cell r="A10">
            <v>8</v>
          </cell>
          <cell r="B10" t="str">
            <v>33485</v>
          </cell>
          <cell r="C10" t="str">
            <v>平田 真奈美</v>
          </cell>
          <cell r="D10" t="str">
            <v>●</v>
          </cell>
          <cell r="E10" t="str">
            <v/>
          </cell>
          <cell r="F10" t="str">
            <v/>
          </cell>
          <cell r="G10" t="str">
            <v/>
          </cell>
          <cell r="H10" t="str">
            <v/>
          </cell>
          <cell r="I10" t="str">
            <v/>
          </cell>
          <cell r="J10" t="str">
            <v>／</v>
          </cell>
          <cell r="K10" t="str">
            <v>●</v>
          </cell>
          <cell r="L10" t="str">
            <v/>
          </cell>
          <cell r="M10" t="str">
            <v/>
          </cell>
          <cell r="N10" t="str">
            <v/>
          </cell>
          <cell r="O10" t="str">
            <v/>
          </cell>
          <cell r="P10" t="str">
            <v/>
          </cell>
          <cell r="Q10" t="str">
            <v>○</v>
          </cell>
          <cell r="R10" t="str">
            <v>●</v>
          </cell>
          <cell r="S10" t="str">
            <v/>
          </cell>
          <cell r="T10" t="str">
            <v/>
          </cell>
          <cell r="U10" t="str">
            <v/>
          </cell>
          <cell r="V10" t="str">
            <v/>
          </cell>
          <cell r="W10" t="str">
            <v/>
          </cell>
          <cell r="X10" t="str">
            <v>／</v>
          </cell>
          <cell r="Y10" t="str">
            <v>●</v>
          </cell>
          <cell r="Z10" t="str">
            <v/>
          </cell>
          <cell r="AA10" t="str">
            <v/>
          </cell>
          <cell r="AB10" t="str">
            <v/>
          </cell>
          <cell r="AC10" t="str">
            <v/>
          </cell>
          <cell r="AD10" t="str">
            <v/>
          </cell>
          <cell r="AE10" t="str">
            <v>○</v>
          </cell>
          <cell r="AF10" t="str">
            <v>●</v>
          </cell>
          <cell r="AG10" t="str">
            <v/>
          </cell>
          <cell r="AH10" t="str">
            <v/>
          </cell>
        </row>
        <row r="11">
          <cell r="A11">
            <v>9</v>
          </cell>
          <cell r="B11" t="str">
            <v>37584</v>
          </cell>
          <cell r="C11" t="str">
            <v>大橋 効</v>
          </cell>
          <cell r="D11" t="str">
            <v>●</v>
          </cell>
          <cell r="E11" t="str">
            <v/>
          </cell>
          <cell r="F11" t="str">
            <v/>
          </cell>
          <cell r="G11" t="str">
            <v/>
          </cell>
          <cell r="H11" t="str">
            <v/>
          </cell>
          <cell r="I11" t="str">
            <v/>
          </cell>
          <cell r="J11" t="str">
            <v>○</v>
          </cell>
          <cell r="K11" t="str">
            <v>●</v>
          </cell>
          <cell r="L11" t="str">
            <v>当</v>
          </cell>
          <cell r="M11" t="str">
            <v>明</v>
          </cell>
          <cell r="N11" t="str">
            <v/>
          </cell>
          <cell r="O11" t="str">
            <v/>
          </cell>
          <cell r="P11" t="str">
            <v>当</v>
          </cell>
          <cell r="Q11" t="str">
            <v>明</v>
          </cell>
          <cell r="R11" t="str">
            <v>●</v>
          </cell>
          <cell r="S11" t="str">
            <v/>
          </cell>
          <cell r="T11" t="str">
            <v/>
          </cell>
          <cell r="U11" t="str">
            <v/>
          </cell>
          <cell r="V11" t="str">
            <v/>
          </cell>
          <cell r="W11" t="str">
            <v/>
          </cell>
          <cell r="X11" t="str">
            <v>○</v>
          </cell>
          <cell r="Y11" t="str">
            <v>当</v>
          </cell>
          <cell r="Z11" t="str">
            <v>明</v>
          </cell>
          <cell r="AA11" t="str">
            <v>●</v>
          </cell>
          <cell r="AB11" t="str">
            <v/>
          </cell>
          <cell r="AC11" t="str">
            <v/>
          </cell>
          <cell r="AD11" t="str">
            <v/>
          </cell>
          <cell r="AE11" t="str">
            <v>当</v>
          </cell>
          <cell r="AF11" t="str">
            <v>明</v>
          </cell>
          <cell r="AG11" t="str">
            <v>●</v>
          </cell>
          <cell r="AH11" t="str">
            <v/>
          </cell>
        </row>
        <row r="12">
          <cell r="A12">
            <v>10</v>
          </cell>
          <cell r="B12" t="str">
            <v>37601</v>
          </cell>
          <cell r="C12" t="str">
            <v>山本 浩之</v>
          </cell>
          <cell r="D12" t="str">
            <v>●</v>
          </cell>
          <cell r="E12" t="str">
            <v/>
          </cell>
          <cell r="F12" t="str">
            <v/>
          </cell>
          <cell r="G12" t="str">
            <v/>
          </cell>
          <cell r="H12" t="str">
            <v/>
          </cell>
          <cell r="I12" t="str">
            <v>当</v>
          </cell>
          <cell r="J12" t="str">
            <v>明</v>
          </cell>
          <cell r="K12" t="str">
            <v>●</v>
          </cell>
          <cell r="L12" t="str">
            <v/>
          </cell>
          <cell r="M12" t="str">
            <v/>
          </cell>
          <cell r="N12" t="str">
            <v/>
          </cell>
          <cell r="O12" t="str">
            <v/>
          </cell>
          <cell r="P12" t="str">
            <v/>
          </cell>
          <cell r="Q12" t="str">
            <v>○</v>
          </cell>
          <cell r="R12" t="str">
            <v>●</v>
          </cell>
          <cell r="S12" t="str">
            <v/>
          </cell>
          <cell r="T12" t="str">
            <v/>
          </cell>
          <cell r="U12" t="str">
            <v/>
          </cell>
          <cell r="V12" t="str">
            <v/>
          </cell>
          <cell r="W12" t="str">
            <v/>
          </cell>
          <cell r="X12" t="str">
            <v>当</v>
          </cell>
          <cell r="Y12" t="str">
            <v>明</v>
          </cell>
          <cell r="Z12" t="str">
            <v>●</v>
          </cell>
          <cell r="AA12" t="str">
            <v/>
          </cell>
          <cell r="AB12" t="str">
            <v/>
          </cell>
          <cell r="AC12" t="str">
            <v/>
          </cell>
          <cell r="AD12" t="str">
            <v/>
          </cell>
          <cell r="AE12" t="str">
            <v>○</v>
          </cell>
          <cell r="AF12" t="str">
            <v/>
          </cell>
          <cell r="AG12" t="str">
            <v/>
          </cell>
          <cell r="AH12" t="str">
            <v/>
          </cell>
        </row>
        <row r="13">
          <cell r="A13">
            <v>11</v>
          </cell>
          <cell r="B13" t="str">
            <v>39805</v>
          </cell>
          <cell r="C13" t="str">
            <v>南 博之</v>
          </cell>
          <cell r="D13" t="str">
            <v>●</v>
          </cell>
          <cell r="E13" t="str">
            <v/>
          </cell>
          <cell r="F13" t="str">
            <v/>
          </cell>
          <cell r="G13" t="str">
            <v/>
          </cell>
          <cell r="H13" t="str">
            <v/>
          </cell>
          <cell r="I13" t="str">
            <v/>
          </cell>
          <cell r="J13" t="str">
            <v>当</v>
          </cell>
          <cell r="K13" t="str">
            <v>明</v>
          </cell>
          <cell r="L13" t="str">
            <v>●</v>
          </cell>
          <cell r="M13" t="str">
            <v/>
          </cell>
          <cell r="N13" t="str">
            <v/>
          </cell>
          <cell r="O13" t="str">
            <v/>
          </cell>
          <cell r="P13" t="str">
            <v/>
          </cell>
          <cell r="Q13" t="str">
            <v>○</v>
          </cell>
          <cell r="R13" t="str">
            <v/>
          </cell>
          <cell r="S13" t="str">
            <v/>
          </cell>
          <cell r="T13" t="str">
            <v/>
          </cell>
          <cell r="U13" t="str">
            <v/>
          </cell>
          <cell r="V13" t="str">
            <v/>
          </cell>
          <cell r="W13" t="str">
            <v/>
          </cell>
          <cell r="X13" t="str">
            <v>／</v>
          </cell>
          <cell r="Y13" t="str">
            <v>●</v>
          </cell>
          <cell r="Z13" t="str">
            <v/>
          </cell>
          <cell r="AA13" t="str">
            <v/>
          </cell>
          <cell r="AB13" t="str">
            <v>当</v>
          </cell>
          <cell r="AC13" t="str">
            <v>明</v>
          </cell>
          <cell r="AD13" t="str">
            <v/>
          </cell>
          <cell r="AE13" t="str">
            <v>○</v>
          </cell>
          <cell r="AF13" t="str">
            <v>●</v>
          </cell>
          <cell r="AG13" t="str">
            <v>当</v>
          </cell>
          <cell r="AH13" t="str">
            <v>明</v>
          </cell>
        </row>
        <row r="14">
          <cell r="A14">
            <v>12</v>
          </cell>
          <cell r="B14" t="str">
            <v>42503</v>
          </cell>
          <cell r="C14" t="str">
            <v>澤野 正樹</v>
          </cell>
          <cell r="D14" t="str">
            <v/>
          </cell>
          <cell r="E14" t="str">
            <v/>
          </cell>
          <cell r="F14" t="str">
            <v/>
          </cell>
          <cell r="G14" t="str">
            <v>当</v>
          </cell>
          <cell r="H14" t="str">
            <v>明</v>
          </cell>
          <cell r="I14" t="str">
            <v/>
          </cell>
          <cell r="J14" t="str">
            <v>／</v>
          </cell>
          <cell r="K14" t="str">
            <v>●</v>
          </cell>
          <cell r="L14" t="str">
            <v/>
          </cell>
          <cell r="M14" t="str">
            <v/>
          </cell>
          <cell r="N14" t="str">
            <v/>
          </cell>
          <cell r="O14" t="str">
            <v/>
          </cell>
          <cell r="P14" t="str">
            <v/>
          </cell>
          <cell r="Q14" t="str">
            <v>○</v>
          </cell>
          <cell r="R14" t="str">
            <v>●</v>
          </cell>
          <cell r="S14" t="str">
            <v/>
          </cell>
          <cell r="T14" t="str">
            <v/>
          </cell>
          <cell r="U14" t="str">
            <v/>
          </cell>
          <cell r="V14" t="str">
            <v>当</v>
          </cell>
          <cell r="W14" t="str">
            <v>明</v>
          </cell>
          <cell r="X14" t="str">
            <v>／</v>
          </cell>
          <cell r="Y14" t="str">
            <v>●</v>
          </cell>
          <cell r="Z14" t="str">
            <v/>
          </cell>
          <cell r="AA14" t="str">
            <v/>
          </cell>
          <cell r="AB14" t="str">
            <v/>
          </cell>
          <cell r="AC14" t="str">
            <v/>
          </cell>
          <cell r="AD14" t="str">
            <v/>
          </cell>
          <cell r="AE14" t="str">
            <v>○</v>
          </cell>
          <cell r="AF14" t="str">
            <v>●</v>
          </cell>
          <cell r="AG14" t="str">
            <v/>
          </cell>
          <cell r="AH14" t="str">
            <v/>
          </cell>
        </row>
        <row r="15">
          <cell r="A15">
            <v>13</v>
          </cell>
          <cell r="B15" t="str">
            <v>46963</v>
          </cell>
          <cell r="C15" t="str">
            <v>清水 和弥</v>
          </cell>
          <cell r="D15" t="str">
            <v>●</v>
          </cell>
          <cell r="E15" t="str">
            <v/>
          </cell>
          <cell r="F15" t="str">
            <v/>
          </cell>
          <cell r="G15" t="str">
            <v/>
          </cell>
          <cell r="H15" t="str">
            <v/>
          </cell>
          <cell r="I15" t="str">
            <v/>
          </cell>
          <cell r="J15" t="str">
            <v>○</v>
          </cell>
          <cell r="K15" t="str">
            <v>●</v>
          </cell>
          <cell r="L15" t="str">
            <v/>
          </cell>
          <cell r="M15" t="str">
            <v/>
          </cell>
          <cell r="N15" t="str">
            <v/>
          </cell>
          <cell r="O15" t="str">
            <v/>
          </cell>
          <cell r="P15" t="str">
            <v/>
          </cell>
          <cell r="Q15" t="str">
            <v>／</v>
          </cell>
          <cell r="R15" t="str">
            <v>●</v>
          </cell>
          <cell r="S15" t="str">
            <v/>
          </cell>
          <cell r="T15" t="str">
            <v/>
          </cell>
          <cell r="U15" t="str">
            <v/>
          </cell>
          <cell r="V15" t="str">
            <v/>
          </cell>
          <cell r="W15" t="str">
            <v/>
          </cell>
          <cell r="X15" t="str">
            <v>○</v>
          </cell>
          <cell r="Y15" t="str">
            <v>●</v>
          </cell>
          <cell r="Z15" t="str">
            <v/>
          </cell>
          <cell r="AA15" t="str">
            <v/>
          </cell>
          <cell r="AB15" t="str">
            <v/>
          </cell>
          <cell r="AC15" t="str">
            <v/>
          </cell>
          <cell r="AD15" t="str">
            <v/>
          </cell>
          <cell r="AE15" t="str">
            <v>／</v>
          </cell>
          <cell r="AF15" t="str">
            <v>●</v>
          </cell>
          <cell r="AG15" t="str">
            <v/>
          </cell>
          <cell r="AH15" t="str">
            <v/>
          </cell>
        </row>
        <row r="16">
          <cell r="A16">
            <v>14</v>
          </cell>
          <cell r="B16" t="str">
            <v>52687</v>
          </cell>
          <cell r="C16" t="str">
            <v>坪野 寿恵</v>
          </cell>
          <cell r="D16" t="str">
            <v>●</v>
          </cell>
          <cell r="E16" t="str">
            <v/>
          </cell>
          <cell r="F16" t="str">
            <v/>
          </cell>
          <cell r="G16" t="str">
            <v/>
          </cell>
          <cell r="H16" t="str">
            <v/>
          </cell>
          <cell r="I16" t="str">
            <v/>
          </cell>
          <cell r="J16" t="str">
            <v>／</v>
          </cell>
          <cell r="K16" t="str">
            <v>●</v>
          </cell>
          <cell r="L16" t="str">
            <v/>
          </cell>
          <cell r="M16" t="str">
            <v/>
          </cell>
          <cell r="N16" t="str">
            <v/>
          </cell>
          <cell r="O16" t="str">
            <v/>
          </cell>
          <cell r="P16" t="str">
            <v/>
          </cell>
          <cell r="Q16" t="str">
            <v>○</v>
          </cell>
          <cell r="R16" t="str">
            <v>●</v>
          </cell>
          <cell r="S16" t="str">
            <v/>
          </cell>
          <cell r="T16" t="str">
            <v/>
          </cell>
          <cell r="U16" t="str">
            <v/>
          </cell>
          <cell r="V16" t="str">
            <v/>
          </cell>
          <cell r="W16" t="str">
            <v/>
          </cell>
          <cell r="X16" t="str">
            <v>／</v>
          </cell>
          <cell r="Y16" t="str">
            <v>●</v>
          </cell>
          <cell r="Z16" t="str">
            <v/>
          </cell>
          <cell r="AA16" t="str">
            <v/>
          </cell>
          <cell r="AB16" t="str">
            <v/>
          </cell>
          <cell r="AC16" t="str">
            <v/>
          </cell>
          <cell r="AD16" t="str">
            <v/>
          </cell>
          <cell r="AE16" t="str">
            <v>○</v>
          </cell>
          <cell r="AF16" t="str">
            <v>●</v>
          </cell>
          <cell r="AG16" t="str">
            <v/>
          </cell>
          <cell r="AH16" t="str">
            <v/>
          </cell>
        </row>
        <row r="17">
          <cell r="A17">
            <v>15</v>
          </cell>
          <cell r="B17" t="str">
            <v>56712</v>
          </cell>
          <cell r="C17" t="str">
            <v>山田 正則</v>
          </cell>
          <cell r="D17" t="str">
            <v>●</v>
          </cell>
          <cell r="E17" t="str">
            <v/>
          </cell>
          <cell r="F17" t="str">
            <v/>
          </cell>
          <cell r="G17" t="str">
            <v/>
          </cell>
          <cell r="H17" t="str">
            <v/>
          </cell>
          <cell r="I17" t="str">
            <v/>
          </cell>
          <cell r="J17" t="str">
            <v>／</v>
          </cell>
          <cell r="K17" t="str">
            <v>●</v>
          </cell>
          <cell r="L17" t="str">
            <v/>
          </cell>
          <cell r="M17" t="str">
            <v>当</v>
          </cell>
          <cell r="N17" t="str">
            <v>明</v>
          </cell>
          <cell r="O17" t="str">
            <v/>
          </cell>
          <cell r="P17" t="str">
            <v/>
          </cell>
          <cell r="Q17" t="str">
            <v>○</v>
          </cell>
          <cell r="R17" t="str">
            <v>●</v>
          </cell>
          <cell r="S17" t="str">
            <v/>
          </cell>
          <cell r="T17" t="str">
            <v/>
          </cell>
          <cell r="U17" t="str">
            <v/>
          </cell>
          <cell r="V17" t="str">
            <v/>
          </cell>
          <cell r="W17" t="str">
            <v>当</v>
          </cell>
          <cell r="X17" t="str">
            <v>明</v>
          </cell>
          <cell r="Y17" t="str">
            <v>●</v>
          </cell>
          <cell r="Z17" t="str">
            <v/>
          </cell>
          <cell r="AA17" t="str">
            <v/>
          </cell>
          <cell r="AB17" t="str">
            <v/>
          </cell>
          <cell r="AC17" t="str">
            <v/>
          </cell>
          <cell r="AD17" t="str">
            <v/>
          </cell>
          <cell r="AE17" t="str">
            <v>○</v>
          </cell>
          <cell r="AF17" t="str">
            <v>●</v>
          </cell>
          <cell r="AG17" t="str">
            <v/>
          </cell>
          <cell r="AH17" t="str">
            <v/>
          </cell>
        </row>
        <row r="18">
          <cell r="A18">
            <v>16</v>
          </cell>
          <cell r="B18" t="str">
            <v>97962</v>
          </cell>
          <cell r="C18" t="str">
            <v>林 亮子</v>
          </cell>
          <cell r="D18" t="str">
            <v>●</v>
          </cell>
          <cell r="E18" t="str">
            <v/>
          </cell>
          <cell r="F18" t="str">
            <v/>
          </cell>
          <cell r="G18" t="str">
            <v/>
          </cell>
          <cell r="H18" t="str">
            <v/>
          </cell>
          <cell r="I18" t="str">
            <v/>
          </cell>
          <cell r="J18" t="str">
            <v>○</v>
          </cell>
          <cell r="K18" t="str">
            <v>当</v>
          </cell>
          <cell r="L18" t="str">
            <v>明</v>
          </cell>
          <cell r="M18" t="str">
            <v>●</v>
          </cell>
          <cell r="N18" t="str">
            <v/>
          </cell>
          <cell r="O18" t="str">
            <v/>
          </cell>
          <cell r="P18" t="str">
            <v/>
          </cell>
          <cell r="Q18" t="str">
            <v>／</v>
          </cell>
          <cell r="R18" t="str">
            <v>●</v>
          </cell>
          <cell r="S18" t="str">
            <v/>
          </cell>
          <cell r="T18" t="str">
            <v/>
          </cell>
          <cell r="U18" t="str">
            <v/>
          </cell>
          <cell r="V18" t="str">
            <v/>
          </cell>
          <cell r="W18" t="str">
            <v/>
          </cell>
          <cell r="X18" t="str">
            <v>○</v>
          </cell>
          <cell r="Y18" t="str">
            <v>●</v>
          </cell>
          <cell r="Z18" t="str">
            <v/>
          </cell>
          <cell r="AA18" t="str">
            <v/>
          </cell>
          <cell r="AB18" t="str">
            <v/>
          </cell>
          <cell r="AC18" t="str">
            <v/>
          </cell>
          <cell r="AD18" t="str">
            <v/>
          </cell>
          <cell r="AE18" t="str">
            <v>当</v>
          </cell>
          <cell r="AF18" t="str">
            <v>明</v>
          </cell>
          <cell r="AG18" t="str">
            <v>●</v>
          </cell>
          <cell r="AH18" t="str">
            <v/>
          </cell>
        </row>
        <row r="19">
          <cell r="A19">
            <v>17</v>
          </cell>
          <cell r="B19" t="str">
            <v>103814</v>
          </cell>
          <cell r="C19" t="str">
            <v>田村 能之</v>
          </cell>
          <cell r="D19" t="str">
            <v>当</v>
          </cell>
          <cell r="E19" t="str">
            <v>明</v>
          </cell>
          <cell r="F19" t="str">
            <v>●</v>
          </cell>
          <cell r="G19" t="str">
            <v/>
          </cell>
          <cell r="H19" t="str">
            <v/>
          </cell>
          <cell r="I19" t="str">
            <v/>
          </cell>
          <cell r="J19" t="str">
            <v>／</v>
          </cell>
          <cell r="K19" t="str">
            <v>●</v>
          </cell>
          <cell r="L19" t="str">
            <v/>
          </cell>
          <cell r="M19" t="str">
            <v/>
          </cell>
          <cell r="N19" t="str">
            <v/>
          </cell>
          <cell r="O19" t="str">
            <v/>
          </cell>
          <cell r="P19" t="str">
            <v/>
          </cell>
          <cell r="Q19" t="str">
            <v>○</v>
          </cell>
          <cell r="R19" t="str">
            <v>当</v>
          </cell>
          <cell r="S19" t="str">
            <v>明</v>
          </cell>
          <cell r="T19" t="str">
            <v>●</v>
          </cell>
          <cell r="U19" t="str">
            <v/>
          </cell>
          <cell r="V19" t="str">
            <v/>
          </cell>
          <cell r="W19" t="str">
            <v>当</v>
          </cell>
          <cell r="X19" t="str">
            <v>明</v>
          </cell>
          <cell r="Y19" t="str">
            <v>●</v>
          </cell>
          <cell r="Z19" t="str">
            <v/>
          </cell>
          <cell r="AA19" t="str">
            <v/>
          </cell>
          <cell r="AB19" t="str">
            <v/>
          </cell>
          <cell r="AC19" t="str">
            <v/>
          </cell>
          <cell r="AD19" t="str">
            <v/>
          </cell>
          <cell r="AE19" t="str">
            <v>○</v>
          </cell>
          <cell r="AF19" t="str">
            <v>●</v>
          </cell>
          <cell r="AG19" t="str">
            <v/>
          </cell>
          <cell r="AH19" t="str">
            <v>当</v>
          </cell>
        </row>
        <row r="20">
          <cell r="A20">
            <v>18</v>
          </cell>
          <cell r="B20" t="str">
            <v>109997</v>
          </cell>
          <cell r="C20" t="str">
            <v>庵 緋沙子</v>
          </cell>
          <cell r="D20" t="str">
            <v>●</v>
          </cell>
          <cell r="E20" t="str">
            <v/>
          </cell>
          <cell r="F20" t="str">
            <v/>
          </cell>
          <cell r="G20" t="str">
            <v/>
          </cell>
          <cell r="H20" t="str">
            <v/>
          </cell>
          <cell r="I20" t="str">
            <v/>
          </cell>
          <cell r="J20" t="str">
            <v>○</v>
          </cell>
          <cell r="K20" t="str">
            <v>当</v>
          </cell>
          <cell r="L20" t="str">
            <v>明</v>
          </cell>
          <cell r="M20" t="str">
            <v>●</v>
          </cell>
          <cell r="N20" t="str">
            <v/>
          </cell>
          <cell r="O20" t="str">
            <v/>
          </cell>
          <cell r="P20" t="str">
            <v/>
          </cell>
          <cell r="Q20" t="str">
            <v>／</v>
          </cell>
          <cell r="R20" t="str">
            <v>●</v>
          </cell>
          <cell r="S20" t="str">
            <v/>
          </cell>
          <cell r="T20" t="str">
            <v>当</v>
          </cell>
          <cell r="U20" t="str">
            <v>明</v>
          </cell>
          <cell r="V20" t="str">
            <v/>
          </cell>
          <cell r="W20" t="str">
            <v/>
          </cell>
          <cell r="X20" t="str">
            <v>○</v>
          </cell>
          <cell r="Y20" t="str">
            <v>●</v>
          </cell>
          <cell r="Z20" t="str">
            <v>当</v>
          </cell>
          <cell r="AA20" t="str">
            <v>明</v>
          </cell>
          <cell r="AB20" t="str">
            <v/>
          </cell>
          <cell r="AC20" t="str">
            <v/>
          </cell>
          <cell r="AD20" t="str">
            <v>当</v>
          </cell>
          <cell r="AE20" t="str">
            <v>明</v>
          </cell>
          <cell r="AF20" t="str">
            <v>●</v>
          </cell>
          <cell r="AG20" t="str">
            <v/>
          </cell>
          <cell r="AH20" t="str">
            <v/>
          </cell>
        </row>
        <row r="21">
          <cell r="A21">
            <v>19</v>
          </cell>
          <cell r="B21" t="str">
            <v>79269</v>
          </cell>
          <cell r="C21" t="str">
            <v>冨田 紗詠子</v>
          </cell>
          <cell r="D21" t="str">
            <v>●</v>
          </cell>
          <cell r="E21" t="str">
            <v/>
          </cell>
          <cell r="F21" t="str">
            <v/>
          </cell>
          <cell r="G21" t="str">
            <v/>
          </cell>
          <cell r="H21" t="str">
            <v/>
          </cell>
          <cell r="I21" t="str">
            <v/>
          </cell>
          <cell r="J21" t="str">
            <v>○</v>
          </cell>
          <cell r="K21" t="str">
            <v>●</v>
          </cell>
          <cell r="L21" t="str">
            <v/>
          </cell>
          <cell r="M21" t="str">
            <v/>
          </cell>
          <cell r="N21" t="str">
            <v/>
          </cell>
          <cell r="O21" t="str">
            <v/>
          </cell>
          <cell r="P21" t="str">
            <v/>
          </cell>
          <cell r="Q21" t="str">
            <v>○</v>
          </cell>
          <cell r="R21" t="str">
            <v>●</v>
          </cell>
          <cell r="S21" t="str">
            <v/>
          </cell>
          <cell r="T21" t="str">
            <v/>
          </cell>
          <cell r="U21" t="str">
            <v/>
          </cell>
          <cell r="V21" t="str">
            <v/>
          </cell>
          <cell r="W21" t="str">
            <v/>
          </cell>
          <cell r="X21" t="str">
            <v>○</v>
          </cell>
          <cell r="Y21" t="str">
            <v>●</v>
          </cell>
          <cell r="Z21" t="str">
            <v/>
          </cell>
          <cell r="AA21" t="str">
            <v/>
          </cell>
          <cell r="AB21" t="str">
            <v/>
          </cell>
          <cell r="AC21" t="str">
            <v/>
          </cell>
          <cell r="AD21" t="str">
            <v/>
          </cell>
          <cell r="AE21" t="str">
            <v>○</v>
          </cell>
          <cell r="AF21" t="str">
            <v>●</v>
          </cell>
          <cell r="AG21" t="str">
            <v/>
          </cell>
          <cell r="AH21" t="str">
            <v/>
          </cell>
        </row>
        <row r="22">
          <cell r="A22">
            <v>20</v>
          </cell>
          <cell r="B22" t="str">
            <v>88777</v>
          </cell>
          <cell r="C22" t="str">
            <v>黒田 奈菜子</v>
          </cell>
          <cell r="D22" t="str">
            <v>●</v>
          </cell>
          <cell r="E22" t="str">
            <v/>
          </cell>
          <cell r="F22" t="str">
            <v/>
          </cell>
          <cell r="G22" t="str">
            <v/>
          </cell>
          <cell r="H22" t="str">
            <v/>
          </cell>
          <cell r="I22" t="str">
            <v/>
          </cell>
          <cell r="J22" t="str">
            <v>○</v>
          </cell>
          <cell r="K22" t="str">
            <v>●</v>
          </cell>
          <cell r="L22" t="str">
            <v/>
          </cell>
          <cell r="M22" t="str">
            <v/>
          </cell>
          <cell r="N22" t="str">
            <v/>
          </cell>
          <cell r="O22" t="str">
            <v/>
          </cell>
          <cell r="P22" t="str">
            <v/>
          </cell>
          <cell r="Q22" t="str">
            <v>○</v>
          </cell>
          <cell r="R22" t="str">
            <v>●</v>
          </cell>
          <cell r="S22" t="str">
            <v/>
          </cell>
          <cell r="T22" t="str">
            <v/>
          </cell>
          <cell r="U22" t="str">
            <v/>
          </cell>
          <cell r="V22" t="str">
            <v/>
          </cell>
          <cell r="W22" t="str">
            <v/>
          </cell>
          <cell r="X22" t="str">
            <v>○</v>
          </cell>
          <cell r="Y22" t="str">
            <v>●</v>
          </cell>
          <cell r="Z22" t="str">
            <v/>
          </cell>
          <cell r="AA22" t="str">
            <v/>
          </cell>
          <cell r="AB22" t="str">
            <v/>
          </cell>
          <cell r="AC22" t="str">
            <v/>
          </cell>
          <cell r="AD22" t="str">
            <v/>
          </cell>
          <cell r="AE22" t="str">
            <v>○</v>
          </cell>
          <cell r="AF22" t="str">
            <v>●</v>
          </cell>
          <cell r="AG22" t="str">
            <v/>
          </cell>
          <cell r="AH22" t="str">
            <v/>
          </cell>
        </row>
        <row r="23">
          <cell r="A23">
            <v>21</v>
          </cell>
          <cell r="B23" t="str">
            <v>94908</v>
          </cell>
          <cell r="C23" t="str">
            <v>長迫 千寛</v>
          </cell>
          <cell r="D23" t="str">
            <v>●</v>
          </cell>
          <cell r="E23" t="str">
            <v/>
          </cell>
          <cell r="F23" t="str">
            <v/>
          </cell>
          <cell r="G23" t="str">
            <v/>
          </cell>
          <cell r="H23" t="str">
            <v/>
          </cell>
          <cell r="I23" t="str">
            <v/>
          </cell>
          <cell r="J23" t="str">
            <v>○</v>
          </cell>
          <cell r="K23" t="str">
            <v>●</v>
          </cell>
          <cell r="L23" t="str">
            <v/>
          </cell>
          <cell r="M23" t="str">
            <v/>
          </cell>
          <cell r="N23" t="str">
            <v/>
          </cell>
          <cell r="O23" t="str">
            <v/>
          </cell>
          <cell r="P23" t="str">
            <v/>
          </cell>
          <cell r="Q23" t="str">
            <v>○</v>
          </cell>
          <cell r="R23" t="str">
            <v>●</v>
          </cell>
          <cell r="S23" t="str">
            <v/>
          </cell>
          <cell r="T23" t="str">
            <v/>
          </cell>
          <cell r="U23" t="str">
            <v/>
          </cell>
          <cell r="V23" t="str">
            <v/>
          </cell>
          <cell r="W23" t="str">
            <v/>
          </cell>
          <cell r="X23" t="str">
            <v>○</v>
          </cell>
          <cell r="Y23" t="str">
            <v>●</v>
          </cell>
          <cell r="Z23" t="str">
            <v/>
          </cell>
          <cell r="AA23" t="str">
            <v/>
          </cell>
          <cell r="AB23" t="str">
            <v/>
          </cell>
          <cell r="AC23" t="str">
            <v/>
          </cell>
          <cell r="AD23" t="str">
            <v/>
          </cell>
          <cell r="AE23" t="str">
            <v>○</v>
          </cell>
          <cell r="AF23" t="str">
            <v>●</v>
          </cell>
          <cell r="AG23" t="str">
            <v/>
          </cell>
          <cell r="AH23" t="str">
            <v/>
          </cell>
        </row>
        <row r="24">
          <cell r="A24">
            <v>22</v>
          </cell>
          <cell r="B24" t="str">
            <v>97974</v>
          </cell>
          <cell r="D24" t="str">
            <v>●</v>
          </cell>
          <cell r="E24" t="str">
            <v/>
          </cell>
          <cell r="F24" t="str">
            <v/>
          </cell>
          <cell r="G24" t="str">
            <v/>
          </cell>
          <cell r="H24" t="str">
            <v/>
          </cell>
          <cell r="I24" t="str">
            <v/>
          </cell>
          <cell r="J24" t="str">
            <v>○</v>
          </cell>
          <cell r="K24" t="str">
            <v>●</v>
          </cell>
          <cell r="L24" t="str">
            <v/>
          </cell>
          <cell r="M24" t="str">
            <v/>
          </cell>
          <cell r="N24" t="str">
            <v/>
          </cell>
          <cell r="O24" t="str">
            <v/>
          </cell>
          <cell r="P24" t="str">
            <v/>
          </cell>
          <cell r="Q24" t="str">
            <v>○</v>
          </cell>
          <cell r="R24" t="str">
            <v>●</v>
          </cell>
          <cell r="S24" t="str">
            <v/>
          </cell>
          <cell r="T24" t="str">
            <v/>
          </cell>
          <cell r="U24" t="str">
            <v/>
          </cell>
          <cell r="V24" t="str">
            <v/>
          </cell>
          <cell r="W24" t="str">
            <v/>
          </cell>
          <cell r="X24" t="str">
            <v>○</v>
          </cell>
          <cell r="Y24" t="str">
            <v>●</v>
          </cell>
          <cell r="Z24" t="str">
            <v/>
          </cell>
          <cell r="AA24" t="str">
            <v/>
          </cell>
          <cell r="AB24" t="str">
            <v/>
          </cell>
          <cell r="AC24" t="str">
            <v/>
          </cell>
          <cell r="AD24" t="str">
            <v/>
          </cell>
          <cell r="AE24" t="str">
            <v>○</v>
          </cell>
          <cell r="AF24" t="str">
            <v>●</v>
          </cell>
          <cell r="AG24" t="str">
            <v/>
          </cell>
          <cell r="AH24" t="str">
            <v/>
          </cell>
        </row>
        <row r="25">
          <cell r="A25">
            <v>23</v>
          </cell>
          <cell r="B25" t="str">
            <v>109272</v>
          </cell>
          <cell r="C25" t="str">
            <v>齊藤 久紘</v>
          </cell>
          <cell r="D25" t="str">
            <v>●</v>
          </cell>
          <cell r="E25" t="str">
            <v/>
          </cell>
          <cell r="F25" t="str">
            <v/>
          </cell>
          <cell r="G25" t="str">
            <v/>
          </cell>
          <cell r="H25" t="str">
            <v/>
          </cell>
          <cell r="I25" t="str">
            <v/>
          </cell>
          <cell r="J25" t="str">
            <v>○</v>
          </cell>
          <cell r="K25" t="str">
            <v>●</v>
          </cell>
          <cell r="L25" t="str">
            <v/>
          </cell>
          <cell r="M25" t="str">
            <v/>
          </cell>
          <cell r="N25" t="str">
            <v/>
          </cell>
          <cell r="O25" t="str">
            <v/>
          </cell>
          <cell r="P25" t="str">
            <v/>
          </cell>
          <cell r="Q25" t="str">
            <v>／</v>
          </cell>
          <cell r="R25" t="str">
            <v>●</v>
          </cell>
          <cell r="S25" t="str">
            <v/>
          </cell>
          <cell r="T25" t="str">
            <v/>
          </cell>
          <cell r="U25" t="str">
            <v/>
          </cell>
          <cell r="V25" t="str">
            <v/>
          </cell>
          <cell r="W25" t="str">
            <v/>
          </cell>
          <cell r="X25" t="str">
            <v>○</v>
          </cell>
          <cell r="Y25" t="str">
            <v>●</v>
          </cell>
          <cell r="Z25" t="str">
            <v/>
          </cell>
          <cell r="AA25" t="str">
            <v/>
          </cell>
          <cell r="AB25" t="str">
            <v/>
          </cell>
          <cell r="AC25" t="str">
            <v/>
          </cell>
          <cell r="AD25" t="str">
            <v/>
          </cell>
          <cell r="AE25" t="str">
            <v>／</v>
          </cell>
          <cell r="AF25" t="str">
            <v>●</v>
          </cell>
          <cell r="AG25" t="str">
            <v/>
          </cell>
          <cell r="AH25" t="str">
            <v/>
          </cell>
        </row>
        <row r="26">
          <cell r="A26">
            <v>24</v>
          </cell>
          <cell r="B26" t="str">
            <v>112499</v>
          </cell>
          <cell r="C26" t="str">
            <v>佐藤 恵梨子</v>
          </cell>
          <cell r="D26" t="str">
            <v>●</v>
          </cell>
          <cell r="E26" t="str">
            <v>当</v>
          </cell>
          <cell r="F26" t="str">
            <v>明</v>
          </cell>
          <cell r="G26" t="str">
            <v/>
          </cell>
          <cell r="H26" t="str">
            <v/>
          </cell>
          <cell r="I26" t="str">
            <v/>
          </cell>
          <cell r="J26" t="str">
            <v>／</v>
          </cell>
          <cell r="K26" t="str">
            <v>●</v>
          </cell>
          <cell r="L26" t="str">
            <v/>
          </cell>
          <cell r="M26" t="str">
            <v/>
          </cell>
          <cell r="N26" t="str">
            <v>当</v>
          </cell>
          <cell r="O26" t="str">
            <v>明</v>
          </cell>
          <cell r="P26" t="str">
            <v/>
          </cell>
          <cell r="Q26" t="str">
            <v>○</v>
          </cell>
          <cell r="R26" t="str">
            <v>●</v>
          </cell>
          <cell r="S26" t="str">
            <v/>
          </cell>
          <cell r="T26" t="str">
            <v/>
          </cell>
          <cell r="U26" t="str">
            <v/>
          </cell>
          <cell r="V26" t="str">
            <v/>
          </cell>
          <cell r="W26" t="str">
            <v/>
          </cell>
          <cell r="X26" t="str">
            <v>／</v>
          </cell>
          <cell r="Y26" t="str">
            <v>●</v>
          </cell>
          <cell r="Z26" t="str">
            <v/>
          </cell>
          <cell r="AA26" t="str">
            <v>当</v>
          </cell>
          <cell r="AB26" t="str">
            <v>明</v>
          </cell>
          <cell r="AC26" t="str">
            <v/>
          </cell>
          <cell r="AD26" t="str">
            <v/>
          </cell>
          <cell r="AE26" t="str">
            <v>○</v>
          </cell>
          <cell r="AF26" t="str">
            <v>●</v>
          </cell>
          <cell r="AG26" t="str">
            <v/>
          </cell>
          <cell r="AH26" t="str">
            <v/>
          </cell>
        </row>
        <row r="27">
          <cell r="A27">
            <v>25</v>
          </cell>
          <cell r="B27" t="str">
            <v>114863</v>
          </cell>
          <cell r="C27" t="str">
            <v>加藤 靖博</v>
          </cell>
          <cell r="D27" t="str">
            <v>●</v>
          </cell>
          <cell r="E27" t="str">
            <v/>
          </cell>
          <cell r="F27" t="str">
            <v/>
          </cell>
          <cell r="G27" t="str">
            <v/>
          </cell>
          <cell r="H27" t="str">
            <v>当</v>
          </cell>
          <cell r="I27" t="str">
            <v>明</v>
          </cell>
          <cell r="J27" t="str">
            <v>○</v>
          </cell>
          <cell r="K27" t="str">
            <v>●</v>
          </cell>
          <cell r="L27" t="str">
            <v/>
          </cell>
          <cell r="M27" t="str">
            <v/>
          </cell>
          <cell r="N27" t="str">
            <v/>
          </cell>
          <cell r="O27" t="str">
            <v/>
          </cell>
          <cell r="P27" t="str">
            <v/>
          </cell>
          <cell r="Q27" t="str">
            <v>当</v>
          </cell>
          <cell r="R27" t="str">
            <v>明</v>
          </cell>
          <cell r="S27" t="str">
            <v>●</v>
          </cell>
          <cell r="T27" t="str">
            <v/>
          </cell>
          <cell r="U27" t="str">
            <v/>
          </cell>
          <cell r="V27" t="str">
            <v>当</v>
          </cell>
          <cell r="W27" t="str">
            <v>明</v>
          </cell>
          <cell r="X27" t="str">
            <v>○</v>
          </cell>
          <cell r="Y27" t="str">
            <v>●</v>
          </cell>
          <cell r="Z27" t="str">
            <v/>
          </cell>
          <cell r="AA27" t="str">
            <v/>
          </cell>
          <cell r="AB27" t="str">
            <v/>
          </cell>
          <cell r="AC27" t="str">
            <v/>
          </cell>
          <cell r="AD27" t="str">
            <v/>
          </cell>
          <cell r="AE27" t="str">
            <v>／</v>
          </cell>
          <cell r="AF27" t="str">
            <v>●</v>
          </cell>
          <cell r="AG27" t="str">
            <v/>
          </cell>
          <cell r="AH27" t="str">
            <v/>
          </cell>
        </row>
        <row r="28">
          <cell r="A28">
            <v>26</v>
          </cell>
          <cell r="B28" t="str">
            <v>118857</v>
          </cell>
          <cell r="C28" t="str">
            <v>小川 穂波</v>
          </cell>
          <cell r="D28" t="str">
            <v>●</v>
          </cell>
          <cell r="E28" t="str">
            <v/>
          </cell>
          <cell r="F28" t="str">
            <v>当</v>
          </cell>
          <cell r="G28" t="str">
            <v>明</v>
          </cell>
          <cell r="H28" t="str">
            <v/>
          </cell>
          <cell r="I28" t="str">
            <v/>
          </cell>
          <cell r="J28" t="str">
            <v>／</v>
          </cell>
          <cell r="K28" t="str">
            <v>●</v>
          </cell>
          <cell r="L28" t="str">
            <v/>
          </cell>
          <cell r="M28" t="str">
            <v/>
          </cell>
          <cell r="N28" t="str">
            <v/>
          </cell>
          <cell r="O28" t="str">
            <v/>
          </cell>
          <cell r="P28" t="str">
            <v/>
          </cell>
          <cell r="Q28" t="str">
            <v>○</v>
          </cell>
          <cell r="R28" t="str">
            <v>●</v>
          </cell>
          <cell r="S28" t="str">
            <v/>
          </cell>
          <cell r="T28" t="str">
            <v/>
          </cell>
          <cell r="U28" t="str">
            <v>当</v>
          </cell>
          <cell r="V28" t="str">
            <v>明</v>
          </cell>
          <cell r="W28" t="str">
            <v/>
          </cell>
          <cell r="X28" t="str">
            <v>／</v>
          </cell>
          <cell r="Y28" t="str">
            <v>●</v>
          </cell>
          <cell r="Z28" t="str">
            <v/>
          </cell>
          <cell r="AA28" t="str">
            <v/>
          </cell>
          <cell r="AB28" t="str">
            <v/>
          </cell>
          <cell r="AC28" t="str">
            <v/>
          </cell>
          <cell r="AD28" t="str">
            <v/>
          </cell>
          <cell r="AE28" t="str">
            <v>○</v>
          </cell>
          <cell r="AF28" t="str">
            <v>当</v>
          </cell>
          <cell r="AG28" t="str">
            <v>明</v>
          </cell>
          <cell r="AH28" t="str">
            <v>●</v>
          </cell>
        </row>
        <row r="29">
          <cell r="A29">
            <v>27</v>
          </cell>
          <cell r="B29" t="str">
            <v>118869</v>
          </cell>
          <cell r="C29" t="str">
            <v>薬司 康平</v>
          </cell>
          <cell r="D29" t="str">
            <v>●</v>
          </cell>
          <cell r="E29" t="str">
            <v/>
          </cell>
          <cell r="F29" t="str">
            <v/>
          </cell>
          <cell r="G29" t="str">
            <v/>
          </cell>
          <cell r="H29" t="str">
            <v/>
          </cell>
          <cell r="I29" t="str">
            <v/>
          </cell>
          <cell r="J29" t="str">
            <v>○</v>
          </cell>
          <cell r="K29" t="str">
            <v>●</v>
          </cell>
          <cell r="L29" t="str">
            <v>当</v>
          </cell>
          <cell r="M29" t="str">
            <v>明</v>
          </cell>
          <cell r="N29" t="str">
            <v/>
          </cell>
          <cell r="O29" t="str">
            <v/>
          </cell>
          <cell r="P29" t="str">
            <v/>
          </cell>
          <cell r="Q29" t="str">
            <v>／</v>
          </cell>
          <cell r="R29" t="str">
            <v>●</v>
          </cell>
          <cell r="S29" t="str">
            <v/>
          </cell>
          <cell r="T29" t="str">
            <v/>
          </cell>
          <cell r="U29" t="str">
            <v/>
          </cell>
          <cell r="V29" t="str">
            <v/>
          </cell>
          <cell r="W29" t="str">
            <v/>
          </cell>
          <cell r="X29" t="str">
            <v>○</v>
          </cell>
          <cell r="Y29" t="str">
            <v>●</v>
          </cell>
          <cell r="Z29" t="str">
            <v/>
          </cell>
          <cell r="AA29" t="str">
            <v>当</v>
          </cell>
          <cell r="AB29" t="str">
            <v>明</v>
          </cell>
          <cell r="AC29" t="str">
            <v/>
          </cell>
          <cell r="AD29" t="str">
            <v/>
          </cell>
          <cell r="AE29" t="str">
            <v>／</v>
          </cell>
          <cell r="AF29" t="str">
            <v>●</v>
          </cell>
          <cell r="AG29" t="str">
            <v/>
          </cell>
          <cell r="AH29" t="str">
            <v/>
          </cell>
        </row>
        <row r="30">
          <cell r="A30">
            <v>28</v>
          </cell>
          <cell r="B30" t="str">
            <v>122339</v>
          </cell>
          <cell r="C30" t="str">
            <v>西郡 健太</v>
          </cell>
          <cell r="D30" t="str">
            <v>●</v>
          </cell>
          <cell r="E30" t="str">
            <v/>
          </cell>
          <cell r="F30" t="str">
            <v/>
          </cell>
          <cell r="G30" t="str">
            <v/>
          </cell>
          <cell r="H30" t="str">
            <v/>
          </cell>
          <cell r="I30" t="str">
            <v>当</v>
          </cell>
          <cell r="J30" t="str">
            <v>明</v>
          </cell>
          <cell r="K30" t="str">
            <v>●</v>
          </cell>
          <cell r="L30" t="str">
            <v/>
          </cell>
          <cell r="M30" t="str">
            <v>当</v>
          </cell>
          <cell r="N30" t="str">
            <v>明</v>
          </cell>
          <cell r="O30" t="str">
            <v/>
          </cell>
          <cell r="P30" t="str">
            <v/>
          </cell>
          <cell r="Q30" t="str">
            <v>○</v>
          </cell>
          <cell r="R30" t="str">
            <v>●</v>
          </cell>
          <cell r="S30" t="str">
            <v/>
          </cell>
          <cell r="T30" t="str">
            <v/>
          </cell>
          <cell r="U30" t="str">
            <v/>
          </cell>
          <cell r="V30" t="str">
            <v/>
          </cell>
          <cell r="W30" t="str">
            <v/>
          </cell>
          <cell r="X30" t="str">
            <v>当</v>
          </cell>
          <cell r="Y30" t="str">
            <v>明</v>
          </cell>
          <cell r="Z30" t="str">
            <v>●</v>
          </cell>
          <cell r="AA30" t="str">
            <v/>
          </cell>
          <cell r="AB30" t="str">
            <v/>
          </cell>
          <cell r="AC30" t="str">
            <v/>
          </cell>
          <cell r="AD30" t="str">
            <v/>
          </cell>
          <cell r="AE30" t="str">
            <v>○</v>
          </cell>
          <cell r="AF30" t="str">
            <v>●</v>
          </cell>
          <cell r="AG30" t="str">
            <v/>
          </cell>
          <cell r="AH30" t="str">
            <v/>
          </cell>
        </row>
        <row r="31">
          <cell r="A31">
            <v>29</v>
          </cell>
          <cell r="B31" t="str">
            <v>125642</v>
          </cell>
          <cell r="C31" t="str">
            <v>諸田 悠也</v>
          </cell>
          <cell r="D31" t="str">
            <v>●</v>
          </cell>
          <cell r="E31" t="str">
            <v/>
          </cell>
          <cell r="F31" t="str">
            <v/>
          </cell>
          <cell r="G31" t="str">
            <v/>
          </cell>
          <cell r="H31" t="str">
            <v>当</v>
          </cell>
          <cell r="I31" t="str">
            <v>明</v>
          </cell>
          <cell r="J31" t="str">
            <v>○</v>
          </cell>
          <cell r="K31" t="str">
            <v>●</v>
          </cell>
          <cell r="L31" t="str">
            <v/>
          </cell>
          <cell r="M31" t="str">
            <v/>
          </cell>
          <cell r="N31" t="str">
            <v/>
          </cell>
          <cell r="O31" t="str">
            <v/>
          </cell>
          <cell r="P31" t="str">
            <v/>
          </cell>
          <cell r="Q31" t="str">
            <v>／</v>
          </cell>
          <cell r="R31" t="str">
            <v>●</v>
          </cell>
          <cell r="S31" t="str">
            <v/>
          </cell>
          <cell r="T31" t="str">
            <v>当</v>
          </cell>
          <cell r="U31" t="str">
            <v>明</v>
          </cell>
          <cell r="V31" t="str">
            <v/>
          </cell>
          <cell r="W31" t="str">
            <v/>
          </cell>
          <cell r="X31" t="str">
            <v>○</v>
          </cell>
          <cell r="Y31" t="str">
            <v>●</v>
          </cell>
          <cell r="Z31" t="str">
            <v/>
          </cell>
          <cell r="AA31" t="str">
            <v/>
          </cell>
          <cell r="AB31" t="str">
            <v/>
          </cell>
          <cell r="AC31" t="str">
            <v/>
          </cell>
          <cell r="AD31" t="str">
            <v/>
          </cell>
          <cell r="AE31" t="str">
            <v>／</v>
          </cell>
          <cell r="AF31" t="str">
            <v>●</v>
          </cell>
          <cell r="AG31" t="str">
            <v/>
          </cell>
          <cell r="AH31" t="str">
            <v/>
          </cell>
        </row>
        <row r="32">
          <cell r="A32">
            <v>30</v>
          </cell>
          <cell r="B32" t="str">
            <v>130415</v>
          </cell>
          <cell r="C32" t="str">
            <v>樫田 尚</v>
          </cell>
          <cell r="D32" t="str">
            <v>●</v>
          </cell>
          <cell r="E32" t="str">
            <v/>
          </cell>
          <cell r="F32" t="str">
            <v/>
          </cell>
          <cell r="G32" t="str">
            <v/>
          </cell>
          <cell r="H32" t="str">
            <v/>
          </cell>
          <cell r="I32" t="str">
            <v/>
          </cell>
          <cell r="J32" t="str">
            <v>○</v>
          </cell>
          <cell r="K32" t="str">
            <v/>
          </cell>
          <cell r="L32" t="str">
            <v/>
          </cell>
          <cell r="M32" t="str">
            <v/>
          </cell>
          <cell r="N32" t="str">
            <v/>
          </cell>
          <cell r="O32" t="str">
            <v>当</v>
          </cell>
          <cell r="P32" t="str">
            <v>明</v>
          </cell>
          <cell r="Q32" t="str">
            <v>／</v>
          </cell>
          <cell r="R32" t="str">
            <v>●</v>
          </cell>
          <cell r="S32" t="str">
            <v/>
          </cell>
          <cell r="T32" t="str">
            <v/>
          </cell>
          <cell r="U32" t="str">
            <v/>
          </cell>
          <cell r="V32" t="str">
            <v/>
          </cell>
          <cell r="W32" t="str">
            <v/>
          </cell>
          <cell r="X32" t="str">
            <v>○</v>
          </cell>
          <cell r="Y32" t="str">
            <v>●</v>
          </cell>
          <cell r="Z32" t="str">
            <v>当</v>
          </cell>
          <cell r="AA32" t="str">
            <v>明</v>
          </cell>
          <cell r="AB32" t="str">
            <v/>
          </cell>
          <cell r="AC32" t="str">
            <v/>
          </cell>
          <cell r="AD32" t="str">
            <v/>
          </cell>
          <cell r="AE32" t="str">
            <v>／</v>
          </cell>
          <cell r="AF32" t="str">
            <v>●</v>
          </cell>
          <cell r="AG32" t="str">
            <v/>
          </cell>
          <cell r="AH32" t="str">
            <v>当</v>
          </cell>
        </row>
        <row r="33">
          <cell r="A33">
            <v>31</v>
          </cell>
          <cell r="B33" t="str">
            <v>130439</v>
          </cell>
          <cell r="C33" t="str">
            <v>福知 千佳</v>
          </cell>
          <cell r="D33" t="str">
            <v>●</v>
          </cell>
          <cell r="E33" t="str">
            <v/>
          </cell>
          <cell r="F33" t="str">
            <v/>
          </cell>
          <cell r="G33" t="str">
            <v/>
          </cell>
          <cell r="H33" t="str">
            <v/>
          </cell>
          <cell r="I33" t="str">
            <v/>
          </cell>
          <cell r="J33" t="str">
            <v>○</v>
          </cell>
          <cell r="K33" t="str">
            <v>●</v>
          </cell>
          <cell r="L33" t="str">
            <v/>
          </cell>
          <cell r="M33" t="str">
            <v/>
          </cell>
          <cell r="N33" t="str">
            <v/>
          </cell>
          <cell r="O33" t="str">
            <v/>
          </cell>
          <cell r="P33" t="str">
            <v/>
          </cell>
          <cell r="Q33" t="str">
            <v>当</v>
          </cell>
          <cell r="R33" t="str">
            <v>明</v>
          </cell>
          <cell r="S33" t="str">
            <v>●</v>
          </cell>
          <cell r="T33" t="str">
            <v/>
          </cell>
          <cell r="U33" t="str">
            <v/>
          </cell>
          <cell r="V33" t="str">
            <v/>
          </cell>
          <cell r="W33" t="str">
            <v/>
          </cell>
          <cell r="X33" t="str">
            <v>○</v>
          </cell>
          <cell r="Y33" t="str">
            <v>当</v>
          </cell>
          <cell r="Z33" t="str">
            <v>明</v>
          </cell>
          <cell r="AA33" t="str">
            <v>●</v>
          </cell>
          <cell r="AB33" t="str">
            <v/>
          </cell>
          <cell r="AC33" t="str">
            <v/>
          </cell>
          <cell r="AD33" t="str">
            <v/>
          </cell>
          <cell r="AE33" t="str">
            <v>／</v>
          </cell>
          <cell r="AF33" t="str">
            <v>●</v>
          </cell>
          <cell r="AG33" t="str">
            <v/>
          </cell>
          <cell r="AH33" t="str">
            <v/>
          </cell>
        </row>
        <row r="34">
          <cell r="A34">
            <v>32</v>
          </cell>
          <cell r="B34" t="str">
            <v>130441</v>
          </cell>
          <cell r="C34" t="str">
            <v>袋 隼哉</v>
          </cell>
          <cell r="D34" t="str">
            <v>●</v>
          </cell>
          <cell r="E34" t="str">
            <v/>
          </cell>
          <cell r="F34" t="str">
            <v/>
          </cell>
          <cell r="G34" t="str">
            <v>当</v>
          </cell>
          <cell r="H34" t="str">
            <v>明</v>
          </cell>
          <cell r="I34" t="str">
            <v/>
          </cell>
          <cell r="J34" t="str">
            <v>／</v>
          </cell>
          <cell r="K34" t="str">
            <v>●</v>
          </cell>
          <cell r="L34" t="str">
            <v/>
          </cell>
          <cell r="M34" t="str">
            <v/>
          </cell>
          <cell r="N34" t="str">
            <v/>
          </cell>
          <cell r="O34" t="str">
            <v/>
          </cell>
          <cell r="P34" t="str">
            <v/>
          </cell>
          <cell r="Q34" t="str">
            <v>○</v>
          </cell>
          <cell r="R34" t="str">
            <v>●</v>
          </cell>
          <cell r="S34" t="str">
            <v>当</v>
          </cell>
          <cell r="T34" t="str">
            <v>明</v>
          </cell>
          <cell r="U34" t="str">
            <v/>
          </cell>
          <cell r="V34" t="str">
            <v/>
          </cell>
          <cell r="W34" t="str">
            <v/>
          </cell>
          <cell r="X34" t="str">
            <v>／</v>
          </cell>
          <cell r="Y34" t="str">
            <v>●</v>
          </cell>
          <cell r="Z34" t="str">
            <v/>
          </cell>
          <cell r="AA34" t="str">
            <v/>
          </cell>
          <cell r="AB34" t="str">
            <v/>
          </cell>
          <cell r="AC34" t="str">
            <v/>
          </cell>
          <cell r="AD34" t="str">
            <v/>
          </cell>
          <cell r="AE34" t="str">
            <v>○</v>
          </cell>
          <cell r="AF34" t="str">
            <v>当</v>
          </cell>
          <cell r="AG34" t="str">
            <v>明</v>
          </cell>
          <cell r="AH34" t="str">
            <v>●</v>
          </cell>
        </row>
        <row r="35">
          <cell r="A35">
            <v>33</v>
          </cell>
          <cell r="B35" t="str">
            <v>130831</v>
          </cell>
          <cell r="C35" t="str">
            <v>雨池 凌也</v>
          </cell>
          <cell r="D35" t="str">
            <v>●</v>
          </cell>
          <cell r="E35" t="str">
            <v/>
          </cell>
          <cell r="F35" t="str">
            <v>当</v>
          </cell>
          <cell r="G35" t="str">
            <v>明</v>
          </cell>
          <cell r="H35" t="str">
            <v/>
          </cell>
          <cell r="I35" t="str">
            <v/>
          </cell>
          <cell r="J35" t="str">
            <v>○</v>
          </cell>
          <cell r="K35" t="str">
            <v>●</v>
          </cell>
          <cell r="L35" t="str">
            <v/>
          </cell>
          <cell r="M35" t="str">
            <v/>
          </cell>
          <cell r="N35" t="str">
            <v/>
          </cell>
          <cell r="O35" t="str">
            <v>当</v>
          </cell>
          <cell r="P35" t="str">
            <v>明</v>
          </cell>
          <cell r="Q35" t="str">
            <v>／</v>
          </cell>
          <cell r="R35" t="str">
            <v>●</v>
          </cell>
          <cell r="S35" t="str">
            <v/>
          </cell>
          <cell r="T35" t="str">
            <v/>
          </cell>
          <cell r="U35" t="str">
            <v/>
          </cell>
          <cell r="V35" t="str">
            <v/>
          </cell>
          <cell r="W35" t="str">
            <v/>
          </cell>
          <cell r="X35" t="str">
            <v>○</v>
          </cell>
          <cell r="Y35" t="str">
            <v>●</v>
          </cell>
          <cell r="Z35" t="str">
            <v/>
          </cell>
          <cell r="AA35" t="str">
            <v/>
          </cell>
          <cell r="AB35" t="str">
            <v/>
          </cell>
          <cell r="AC35" t="str">
            <v>当</v>
          </cell>
          <cell r="AD35" t="str">
            <v>明</v>
          </cell>
          <cell r="AE35" t="str">
            <v>／</v>
          </cell>
          <cell r="AF35" t="str">
            <v>●</v>
          </cell>
          <cell r="AG35" t="str">
            <v/>
          </cell>
          <cell r="AH35" t="str">
            <v/>
          </cell>
        </row>
        <row r="36">
          <cell r="A36">
            <v>34</v>
          </cell>
          <cell r="B36" t="str">
            <v>131603</v>
          </cell>
          <cell r="C36" t="str">
            <v>中川 大誠</v>
          </cell>
          <cell r="D36" t="str">
            <v>●</v>
          </cell>
          <cell r="E36" t="str">
            <v/>
          </cell>
          <cell r="F36" t="str">
            <v/>
          </cell>
          <cell r="G36" t="str">
            <v/>
          </cell>
          <cell r="H36" t="str">
            <v/>
          </cell>
          <cell r="I36" t="str">
            <v/>
          </cell>
          <cell r="J36" t="str">
            <v>○</v>
          </cell>
          <cell r="K36" t="str">
            <v>●</v>
          </cell>
          <cell r="L36" t="str">
            <v/>
          </cell>
          <cell r="M36" t="str">
            <v/>
          </cell>
          <cell r="N36" t="str">
            <v/>
          </cell>
          <cell r="O36" t="str">
            <v/>
          </cell>
          <cell r="P36" t="str">
            <v/>
          </cell>
          <cell r="Q36" t="str">
            <v>○</v>
          </cell>
          <cell r="R36" t="str">
            <v>●</v>
          </cell>
          <cell r="S36" t="str">
            <v/>
          </cell>
          <cell r="T36" t="str">
            <v/>
          </cell>
          <cell r="U36" t="str">
            <v/>
          </cell>
          <cell r="V36" t="str">
            <v/>
          </cell>
          <cell r="W36" t="str">
            <v/>
          </cell>
          <cell r="X36" t="str">
            <v>○</v>
          </cell>
          <cell r="Y36" t="str">
            <v>●</v>
          </cell>
          <cell r="Z36" t="str">
            <v/>
          </cell>
          <cell r="AA36" t="str">
            <v/>
          </cell>
          <cell r="AB36" t="str">
            <v/>
          </cell>
          <cell r="AC36" t="str">
            <v/>
          </cell>
          <cell r="AD36" t="str">
            <v/>
          </cell>
          <cell r="AE36" t="str">
            <v>○</v>
          </cell>
          <cell r="AF36" t="str">
            <v>●</v>
          </cell>
          <cell r="AG36" t="str">
            <v/>
          </cell>
          <cell r="AH36" t="str">
            <v/>
          </cell>
        </row>
        <row r="37">
          <cell r="A37">
            <v>35</v>
          </cell>
          <cell r="B37" t="str">
            <v>138041</v>
          </cell>
          <cell r="C37" t="str">
            <v>清水 正生</v>
          </cell>
          <cell r="D37" t="str">
            <v>当</v>
          </cell>
          <cell r="E37" t="str">
            <v>明</v>
          </cell>
          <cell r="F37" t="str">
            <v>●</v>
          </cell>
          <cell r="G37" t="str">
            <v/>
          </cell>
          <cell r="H37" t="str">
            <v/>
          </cell>
          <cell r="I37" t="str">
            <v/>
          </cell>
          <cell r="J37" t="str">
            <v>／</v>
          </cell>
          <cell r="K37" t="str">
            <v>●</v>
          </cell>
          <cell r="L37" t="str">
            <v/>
          </cell>
          <cell r="M37" t="str">
            <v/>
          </cell>
          <cell r="N37" t="str">
            <v/>
          </cell>
          <cell r="O37" t="str">
            <v/>
          </cell>
          <cell r="P37" t="str">
            <v/>
          </cell>
          <cell r="Q37" t="str">
            <v>○</v>
          </cell>
          <cell r="R37" t="str">
            <v>当</v>
          </cell>
          <cell r="S37" t="str">
            <v>明</v>
          </cell>
          <cell r="T37" t="str">
            <v>●</v>
          </cell>
          <cell r="U37" t="str">
            <v/>
          </cell>
          <cell r="V37" t="str">
            <v/>
          </cell>
          <cell r="W37" t="str">
            <v/>
          </cell>
          <cell r="X37" t="str">
            <v>／</v>
          </cell>
          <cell r="Y37" t="str">
            <v>●</v>
          </cell>
          <cell r="Z37" t="str">
            <v/>
          </cell>
          <cell r="AA37" t="str">
            <v/>
          </cell>
          <cell r="AB37" t="str">
            <v/>
          </cell>
          <cell r="AC37" t="str">
            <v/>
          </cell>
          <cell r="AD37" t="str">
            <v/>
          </cell>
          <cell r="AE37" t="str">
            <v>○</v>
          </cell>
          <cell r="AF37" t="str">
            <v>●</v>
          </cell>
          <cell r="AG37" t="str">
            <v/>
          </cell>
          <cell r="AH37" t="str">
            <v/>
          </cell>
        </row>
        <row r="38">
          <cell r="A38">
            <v>36</v>
          </cell>
          <cell r="B38" t="str">
            <v>138053</v>
          </cell>
          <cell r="C38" t="str">
            <v>菅野 祐萌</v>
          </cell>
          <cell r="D38" t="str">
            <v>●</v>
          </cell>
          <cell r="E38" t="str">
            <v/>
          </cell>
          <cell r="F38" t="str">
            <v/>
          </cell>
          <cell r="G38" t="str">
            <v/>
          </cell>
          <cell r="H38" t="str">
            <v/>
          </cell>
          <cell r="I38" t="str">
            <v/>
          </cell>
          <cell r="J38" t="str">
            <v>○</v>
          </cell>
          <cell r="K38" t="str">
            <v>●</v>
          </cell>
          <cell r="L38" t="str">
            <v/>
          </cell>
          <cell r="M38" t="str">
            <v/>
          </cell>
          <cell r="N38" t="str">
            <v/>
          </cell>
          <cell r="O38" t="str">
            <v/>
          </cell>
          <cell r="P38" t="str">
            <v>当</v>
          </cell>
          <cell r="Q38" t="str">
            <v>明</v>
          </cell>
          <cell r="R38" t="str">
            <v>●</v>
          </cell>
          <cell r="S38" t="str">
            <v/>
          </cell>
          <cell r="T38" t="str">
            <v/>
          </cell>
          <cell r="U38" t="str">
            <v/>
          </cell>
          <cell r="V38" t="str">
            <v/>
          </cell>
          <cell r="W38" t="str">
            <v/>
          </cell>
          <cell r="X38" t="str">
            <v>○</v>
          </cell>
          <cell r="Y38" t="str">
            <v/>
          </cell>
          <cell r="Z38" t="str">
            <v/>
          </cell>
          <cell r="AA38" t="str">
            <v/>
          </cell>
          <cell r="AB38" t="str">
            <v/>
          </cell>
          <cell r="AC38" t="str">
            <v/>
          </cell>
          <cell r="AD38" t="str">
            <v>当</v>
          </cell>
          <cell r="AE38" t="str">
            <v>明</v>
          </cell>
          <cell r="AF38" t="str">
            <v>●</v>
          </cell>
          <cell r="AG38" t="str">
            <v/>
          </cell>
          <cell r="AH38" t="str">
            <v/>
          </cell>
        </row>
        <row r="39">
          <cell r="A39">
            <v>37</v>
          </cell>
          <cell r="B39" t="str">
            <v>142042</v>
          </cell>
          <cell r="C39" t="str">
            <v>別所 貴仁</v>
          </cell>
          <cell r="D39" t="str">
            <v>●</v>
          </cell>
          <cell r="E39" t="str">
            <v/>
          </cell>
          <cell r="F39" t="str">
            <v/>
          </cell>
          <cell r="G39" t="str">
            <v/>
          </cell>
          <cell r="H39" t="str">
            <v/>
          </cell>
          <cell r="I39" t="str">
            <v/>
          </cell>
          <cell r="J39" t="str">
            <v>当</v>
          </cell>
          <cell r="K39" t="str">
            <v>明</v>
          </cell>
          <cell r="L39" t="str">
            <v>●</v>
          </cell>
          <cell r="M39" t="str">
            <v/>
          </cell>
          <cell r="N39" t="str">
            <v/>
          </cell>
          <cell r="O39" t="str">
            <v/>
          </cell>
          <cell r="P39" t="str">
            <v/>
          </cell>
          <cell r="Q39" t="str">
            <v>○</v>
          </cell>
          <cell r="R39" t="str">
            <v>●</v>
          </cell>
          <cell r="S39" t="str">
            <v/>
          </cell>
          <cell r="T39" t="str">
            <v/>
          </cell>
          <cell r="U39" t="str">
            <v>当</v>
          </cell>
          <cell r="V39" t="str">
            <v>明</v>
          </cell>
          <cell r="W39" t="str">
            <v/>
          </cell>
          <cell r="X39" t="str">
            <v>／</v>
          </cell>
          <cell r="Y39" t="str">
            <v>●</v>
          </cell>
          <cell r="Z39" t="str">
            <v/>
          </cell>
          <cell r="AA39" t="str">
            <v/>
          </cell>
          <cell r="AB39" t="str">
            <v>当</v>
          </cell>
          <cell r="AC39" t="str">
            <v>明</v>
          </cell>
          <cell r="AD39" t="str">
            <v/>
          </cell>
          <cell r="AE39" t="str">
            <v>○</v>
          </cell>
          <cell r="AF39" t="str">
            <v>●</v>
          </cell>
          <cell r="AG39" t="str">
            <v>当</v>
          </cell>
          <cell r="AH39" t="str">
            <v>明</v>
          </cell>
        </row>
        <row r="40">
          <cell r="A40">
            <v>38</v>
          </cell>
          <cell r="B40" t="str">
            <v>145410</v>
          </cell>
          <cell r="C40" t="str">
            <v>坂下 大知</v>
          </cell>
          <cell r="D40" t="str">
            <v>●</v>
          </cell>
          <cell r="E40" t="str">
            <v/>
          </cell>
          <cell r="F40" t="str">
            <v/>
          </cell>
          <cell r="G40" t="str">
            <v/>
          </cell>
          <cell r="H40" t="str">
            <v/>
          </cell>
          <cell r="I40" t="str">
            <v/>
          </cell>
          <cell r="J40" t="str">
            <v>／</v>
          </cell>
          <cell r="K40" t="str">
            <v>●</v>
          </cell>
          <cell r="L40" t="str">
            <v/>
          </cell>
          <cell r="M40" t="str">
            <v/>
          </cell>
          <cell r="N40" t="str">
            <v/>
          </cell>
          <cell r="O40" t="str">
            <v/>
          </cell>
          <cell r="P40" t="str">
            <v/>
          </cell>
          <cell r="Q40" t="str">
            <v>○</v>
          </cell>
          <cell r="R40" t="str">
            <v>●</v>
          </cell>
          <cell r="S40" t="str">
            <v/>
          </cell>
          <cell r="T40" t="str">
            <v/>
          </cell>
          <cell r="U40" t="str">
            <v/>
          </cell>
          <cell r="V40" t="str">
            <v/>
          </cell>
          <cell r="W40" t="str">
            <v/>
          </cell>
          <cell r="X40" t="str">
            <v>／</v>
          </cell>
          <cell r="Y40" t="str">
            <v>●</v>
          </cell>
          <cell r="Z40" t="str">
            <v/>
          </cell>
          <cell r="AA40" t="str">
            <v/>
          </cell>
          <cell r="AB40" t="str">
            <v/>
          </cell>
          <cell r="AC40" t="str">
            <v/>
          </cell>
          <cell r="AD40" t="str">
            <v/>
          </cell>
          <cell r="AE40" t="str">
            <v>○</v>
          </cell>
          <cell r="AF40" t="str">
            <v>●</v>
          </cell>
          <cell r="AG40" t="str">
            <v/>
          </cell>
          <cell r="AH40" t="str">
            <v/>
          </cell>
        </row>
        <row r="41">
          <cell r="A41" t="str">
            <v/>
          </cell>
          <cell r="B41">
            <v>0</v>
          </cell>
          <cell r="C41">
            <v>0</v>
          </cell>
          <cell r="D41" t="str">
            <v/>
          </cell>
          <cell r="E41" t="str">
            <v/>
          </cell>
          <cell r="F41" t="str">
            <v/>
          </cell>
          <cell r="G41" t="str">
            <v/>
          </cell>
          <cell r="H41" t="str">
            <v/>
          </cell>
          <cell r="I41" t="str">
            <v/>
          </cell>
          <cell r="J41" t="str">
            <v/>
          </cell>
          <cell r="K41" t="str">
            <v/>
          </cell>
          <cell r="L41" t="str">
            <v/>
          </cell>
          <cell r="M41" t="str">
            <v/>
          </cell>
          <cell r="N41" t="str">
            <v/>
          </cell>
          <cell r="O41" t="str">
            <v/>
          </cell>
          <cell r="P41" t="str">
            <v/>
          </cell>
          <cell r="Q41" t="str">
            <v/>
          </cell>
          <cell r="R41" t="str">
            <v/>
          </cell>
          <cell r="S41" t="str">
            <v/>
          </cell>
          <cell r="T41" t="str">
            <v/>
          </cell>
          <cell r="U41" t="str">
            <v/>
          </cell>
          <cell r="V41" t="str">
            <v/>
          </cell>
          <cell r="W41" t="str">
            <v/>
          </cell>
          <cell r="X41" t="str">
            <v/>
          </cell>
          <cell r="Y41" t="str">
            <v/>
          </cell>
          <cell r="Z41" t="str">
            <v/>
          </cell>
          <cell r="AA41" t="str">
            <v/>
          </cell>
          <cell r="AB41" t="str">
            <v/>
          </cell>
          <cell r="AC41" t="str">
            <v/>
          </cell>
          <cell r="AD41" t="str">
            <v/>
          </cell>
          <cell r="AE41" t="str">
            <v/>
          </cell>
          <cell r="AF41" t="str">
            <v/>
          </cell>
          <cell r="AG41" t="str">
            <v/>
          </cell>
          <cell r="AH41" t="str">
            <v/>
          </cell>
        </row>
        <row r="42">
          <cell r="A42" t="str">
            <v/>
          </cell>
          <cell r="B42">
            <v>0</v>
          </cell>
          <cell r="C42">
            <v>0</v>
          </cell>
          <cell r="D42" t="str">
            <v/>
          </cell>
          <cell r="E42" t="str">
            <v/>
          </cell>
          <cell r="F42" t="str">
            <v/>
          </cell>
          <cell r="G42" t="str">
            <v/>
          </cell>
          <cell r="H42" t="str">
            <v/>
          </cell>
          <cell r="I42" t="str">
            <v/>
          </cell>
          <cell r="J42" t="str">
            <v/>
          </cell>
          <cell r="K42" t="str">
            <v/>
          </cell>
          <cell r="L42" t="str">
            <v/>
          </cell>
          <cell r="M42" t="str">
            <v/>
          </cell>
          <cell r="N42"/>
          <cell r="O42" t="str">
            <v/>
          </cell>
          <cell r="P42" t="str">
            <v/>
          </cell>
          <cell r="Q42" t="str">
            <v/>
          </cell>
          <cell r="R42" t="str">
            <v/>
          </cell>
          <cell r="S42" t="str">
            <v/>
          </cell>
          <cell r="T42" t="str">
            <v/>
          </cell>
          <cell r="U42" t="str">
            <v/>
          </cell>
          <cell r="V42" t="str">
            <v/>
          </cell>
          <cell r="W42" t="str">
            <v/>
          </cell>
          <cell r="X42" t="str">
            <v/>
          </cell>
          <cell r="Y42" t="str">
            <v/>
          </cell>
          <cell r="Z42" t="str">
            <v/>
          </cell>
          <cell r="AA42" t="str">
            <v/>
          </cell>
          <cell r="AB42" t="str">
            <v/>
          </cell>
          <cell r="AC42" t="str">
            <v/>
          </cell>
          <cell r="AD42" t="str">
            <v/>
          </cell>
          <cell r="AE42" t="str">
            <v/>
          </cell>
          <cell r="AF42" t="str">
            <v/>
          </cell>
          <cell r="AG42" t="str">
            <v/>
          </cell>
          <cell r="AH42" t="str">
            <v/>
          </cell>
        </row>
        <row r="43">
          <cell r="A43" t="str">
            <v/>
          </cell>
          <cell r="B43">
            <v>0</v>
          </cell>
          <cell r="C43">
            <v>0</v>
          </cell>
          <cell r="D43" t="str">
            <v/>
          </cell>
          <cell r="E43" t="str">
            <v/>
          </cell>
          <cell r="F43" t="str">
            <v/>
          </cell>
          <cell r="G43" t="str">
            <v/>
          </cell>
          <cell r="H43" t="str">
            <v/>
          </cell>
          <cell r="I43" t="str">
            <v/>
          </cell>
          <cell r="J43" t="str">
            <v/>
          </cell>
          <cell r="K43" t="str">
            <v/>
          </cell>
          <cell r="L43" t="str">
            <v/>
          </cell>
          <cell r="M43" t="str">
            <v/>
          </cell>
          <cell r="N43"/>
          <cell r="O43" t="str">
            <v/>
          </cell>
          <cell r="P43" t="str">
            <v/>
          </cell>
          <cell r="Q43" t="str">
            <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
          </cell>
          <cell r="AE43" t="str">
            <v/>
          </cell>
          <cell r="AF43" t="str">
            <v/>
          </cell>
          <cell r="AG43" t="str">
            <v/>
          </cell>
          <cell r="AH43" t="str">
            <v/>
          </cell>
        </row>
        <row r="44">
          <cell r="A44" t="str">
            <v/>
          </cell>
          <cell r="B44">
            <v>0</v>
          </cell>
          <cell r="C44">
            <v>0</v>
          </cell>
          <cell r="D44" t="str">
            <v/>
          </cell>
          <cell r="E44" t="str">
            <v/>
          </cell>
          <cell r="F44" t="str">
            <v/>
          </cell>
          <cell r="G44" t="str">
            <v/>
          </cell>
          <cell r="H44" t="str">
            <v/>
          </cell>
          <cell r="I44" t="str">
            <v/>
          </cell>
          <cell r="J44" t="str">
            <v/>
          </cell>
          <cell r="K44" t="str">
            <v/>
          </cell>
          <cell r="L44" t="str">
            <v/>
          </cell>
          <cell r="M44" t="str">
            <v/>
          </cell>
          <cell r="N44"/>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A45" t="str">
            <v/>
          </cell>
          <cell r="B45">
            <v>0</v>
          </cell>
          <cell r="C45">
            <v>0</v>
          </cell>
          <cell r="D45" t="str">
            <v/>
          </cell>
          <cell r="E45" t="str">
            <v/>
          </cell>
          <cell r="F45" t="str">
            <v/>
          </cell>
          <cell r="G45" t="str">
            <v/>
          </cell>
          <cell r="H45" t="str">
            <v/>
          </cell>
          <cell r="I45" t="str">
            <v/>
          </cell>
          <cell r="J45" t="str">
            <v/>
          </cell>
          <cell r="K45" t="str">
            <v/>
          </cell>
          <cell r="L45" t="str">
            <v/>
          </cell>
          <cell r="M45" t="str">
            <v/>
          </cell>
          <cell r="N45"/>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zoomScaleNormal="100" workbookViewId="0">
      <pane xSplit="43" ySplit="3" topLeftCell="AR4" activePane="bottomRight" state="frozen"/>
      <selection pane="topRight" activeCell="AP1" sqref="AP1"/>
      <selection pane="bottomLeft" activeCell="A4" sqref="A4"/>
      <selection pane="bottomRight" activeCell="D5" sqref="D5"/>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f>'勤務表（参照用）'!C2</f>
        <v>3</v>
      </c>
      <c r="D2" s="1">
        <f>'勤務表（参照用）'!D2</f>
        <v>46082</v>
      </c>
      <c r="E2" s="2">
        <f>'勤務表（参照用）'!E2</f>
        <v>46083</v>
      </c>
      <c r="F2" s="2">
        <f>'勤務表（参照用）'!F2</f>
        <v>46084</v>
      </c>
      <c r="G2" s="2">
        <f>'勤務表（参照用）'!G2</f>
        <v>46085</v>
      </c>
      <c r="H2" s="2">
        <f>'勤務表（参照用）'!H2</f>
        <v>46086</v>
      </c>
      <c r="I2" s="2">
        <f>'勤務表（参照用）'!I2</f>
        <v>46087</v>
      </c>
      <c r="J2" s="2">
        <f>'勤務表（参照用）'!J2</f>
        <v>46088</v>
      </c>
      <c r="K2" s="2">
        <f>'勤務表（参照用）'!K2</f>
        <v>46089</v>
      </c>
      <c r="L2" s="2">
        <f>'勤務表（参照用）'!L2</f>
        <v>46090</v>
      </c>
      <c r="M2" s="2">
        <f>'勤務表（参照用）'!M2</f>
        <v>46091</v>
      </c>
      <c r="N2" s="2">
        <f>'勤務表（参照用）'!N2</f>
        <v>46092</v>
      </c>
      <c r="O2" s="2">
        <f>'勤務表（参照用）'!O2</f>
        <v>46093</v>
      </c>
      <c r="P2" s="2">
        <f>'勤務表（参照用）'!P2</f>
        <v>46094</v>
      </c>
      <c r="Q2" s="2">
        <f>'勤務表（参照用）'!Q2</f>
        <v>46095</v>
      </c>
      <c r="R2" s="2">
        <f>'勤務表（参照用）'!R2</f>
        <v>46096</v>
      </c>
      <c r="S2" s="2">
        <f>'勤務表（参照用）'!S2</f>
        <v>46097</v>
      </c>
      <c r="T2" s="2">
        <f>'勤務表（参照用）'!T2</f>
        <v>46098</v>
      </c>
      <c r="U2" s="2">
        <f>'勤務表（参照用）'!U2</f>
        <v>46099</v>
      </c>
      <c r="V2" s="2">
        <f>'勤務表（参照用）'!V2</f>
        <v>46100</v>
      </c>
      <c r="W2" s="2">
        <f>'勤務表（参照用）'!W2</f>
        <v>46101</v>
      </c>
      <c r="X2" s="2">
        <f>'勤務表（参照用）'!X2</f>
        <v>46102</v>
      </c>
      <c r="Y2" s="2">
        <f>'勤務表（参照用）'!Y2</f>
        <v>46103</v>
      </c>
      <c r="Z2" s="2">
        <f>'勤務表（参照用）'!Z2</f>
        <v>46104</v>
      </c>
      <c r="AA2" s="2">
        <f>'勤務表（参照用）'!AA2</f>
        <v>46105</v>
      </c>
      <c r="AB2" s="2">
        <f>'勤務表（参照用）'!AB2</f>
        <v>46106</v>
      </c>
      <c r="AC2" s="2">
        <f>'勤務表（参照用）'!AC2</f>
        <v>46107</v>
      </c>
      <c r="AD2" s="2">
        <f>'勤務表（参照用）'!AD2</f>
        <v>46108</v>
      </c>
      <c r="AE2" s="2">
        <f>'勤務表（参照用）'!AE2</f>
        <v>46109</v>
      </c>
      <c r="AF2" s="2">
        <f>'勤務表（参照用）'!AF2</f>
        <v>46110</v>
      </c>
      <c r="AG2" s="2">
        <f>'勤務表（参照用）'!AG2</f>
        <v>46111</v>
      </c>
      <c r="AH2" s="3">
        <f>'勤務表（参照用）'!AH2</f>
        <v>46112</v>
      </c>
      <c r="AI2" s="87"/>
    </row>
    <row r="3" spans="3:41" x14ac:dyDescent="0.2">
      <c r="C3" s="86">
        <f>'勤務表（参照用）'!C3</f>
        <v>0</v>
      </c>
      <c r="D3" s="5">
        <f>D2</f>
        <v>46082</v>
      </c>
      <c r="E3" s="6">
        <f t="shared" ref="E3:AH3" si="0">E2</f>
        <v>46083</v>
      </c>
      <c r="F3" s="6">
        <f t="shared" si="0"/>
        <v>46084</v>
      </c>
      <c r="G3" s="6">
        <f t="shared" si="0"/>
        <v>46085</v>
      </c>
      <c r="H3" s="6">
        <f t="shared" si="0"/>
        <v>46086</v>
      </c>
      <c r="I3" s="6">
        <f t="shared" si="0"/>
        <v>46087</v>
      </c>
      <c r="J3" s="6">
        <f t="shared" si="0"/>
        <v>46088</v>
      </c>
      <c r="K3" s="6">
        <f t="shared" si="0"/>
        <v>46089</v>
      </c>
      <c r="L3" s="6">
        <f t="shared" si="0"/>
        <v>46090</v>
      </c>
      <c r="M3" s="6">
        <f t="shared" si="0"/>
        <v>46091</v>
      </c>
      <c r="N3" s="6">
        <f t="shared" si="0"/>
        <v>46092</v>
      </c>
      <c r="O3" s="6">
        <f t="shared" si="0"/>
        <v>46093</v>
      </c>
      <c r="P3" s="6">
        <f t="shared" si="0"/>
        <v>46094</v>
      </c>
      <c r="Q3" s="6">
        <f t="shared" si="0"/>
        <v>46095</v>
      </c>
      <c r="R3" s="6">
        <f t="shared" si="0"/>
        <v>46096</v>
      </c>
      <c r="S3" s="6">
        <f t="shared" si="0"/>
        <v>46097</v>
      </c>
      <c r="T3" s="6">
        <f t="shared" si="0"/>
        <v>46098</v>
      </c>
      <c r="U3" s="6">
        <f t="shared" si="0"/>
        <v>46099</v>
      </c>
      <c r="V3" s="6">
        <f t="shared" si="0"/>
        <v>46100</v>
      </c>
      <c r="W3" s="6">
        <f t="shared" si="0"/>
        <v>46101</v>
      </c>
      <c r="X3" s="6">
        <f t="shared" si="0"/>
        <v>46102</v>
      </c>
      <c r="Y3" s="6">
        <f t="shared" si="0"/>
        <v>46103</v>
      </c>
      <c r="Z3" s="6">
        <f t="shared" si="0"/>
        <v>46104</v>
      </c>
      <c r="AA3" s="6">
        <f t="shared" si="0"/>
        <v>46105</v>
      </c>
      <c r="AB3" s="6">
        <f t="shared" si="0"/>
        <v>46106</v>
      </c>
      <c r="AC3" s="6">
        <f t="shared" si="0"/>
        <v>46107</v>
      </c>
      <c r="AD3" s="6">
        <f t="shared" si="0"/>
        <v>46108</v>
      </c>
      <c r="AE3" s="6">
        <f t="shared" si="0"/>
        <v>46109</v>
      </c>
      <c r="AF3" s="6">
        <f t="shared" si="0"/>
        <v>46110</v>
      </c>
      <c r="AG3" s="6">
        <f t="shared" si="0"/>
        <v>46111</v>
      </c>
      <c r="AH3" s="7">
        <f t="shared" si="0"/>
        <v>46112</v>
      </c>
      <c r="AI3" s="88"/>
    </row>
    <row r="4" spans="3:41" x14ac:dyDescent="0.2">
      <c r="C4" s="68" t="str">
        <f>'勤務表（参照用）'!C4</f>
        <v>山村 博</v>
      </c>
      <c r="D4" s="29" t="s">
        <v>47</v>
      </c>
      <c r="E4" s="29" t="str">
        <f>'勤務表（参照用）'!E4</f>
        <v/>
      </c>
      <c r="F4" s="29" t="str">
        <f>'勤務表（参照用）'!F4</f>
        <v/>
      </c>
      <c r="G4" s="29" t="str">
        <f>'勤務表（参照用）'!G4</f>
        <v/>
      </c>
      <c r="H4" s="29" t="str">
        <f>'勤務表（参照用）'!H4</f>
        <v/>
      </c>
      <c r="I4" s="29" t="str">
        <f>'勤務表（参照用）'!I4</f>
        <v/>
      </c>
      <c r="J4" s="29" t="str">
        <f>'勤務表（参照用）'!J4</f>
        <v>／</v>
      </c>
      <c r="K4" s="29" t="str">
        <f>'勤務表（参照用）'!K4</f>
        <v>●</v>
      </c>
      <c r="L4" s="29" t="str">
        <f>'勤務表（参照用）'!L4</f>
        <v/>
      </c>
      <c r="M4" s="29" t="str">
        <f>'勤務表（参照用）'!M4</f>
        <v/>
      </c>
      <c r="N4" s="29" t="str">
        <f>'勤務表（参照用）'!N4</f>
        <v/>
      </c>
      <c r="O4" s="29" t="str">
        <f>'勤務表（参照用）'!O4</f>
        <v/>
      </c>
      <c r="P4" s="29" t="str">
        <f>'勤務表（参照用）'!P4</f>
        <v/>
      </c>
      <c r="Q4" s="29" t="str">
        <f>'勤務表（参照用）'!Q4</f>
        <v>／</v>
      </c>
      <c r="R4" s="29" t="str">
        <f>'勤務表（参照用）'!R4</f>
        <v>●</v>
      </c>
      <c r="S4" s="29" t="str">
        <f>'勤務表（参照用）'!S4</f>
        <v/>
      </c>
      <c r="T4" s="29" t="str">
        <f>'勤務表（参照用）'!T4</f>
        <v/>
      </c>
      <c r="U4" s="29" t="str">
        <f>'勤務表（参照用）'!U4</f>
        <v/>
      </c>
      <c r="V4" s="29" t="str">
        <f>'勤務表（参照用）'!V4</f>
        <v/>
      </c>
      <c r="W4" s="29" t="str">
        <f>'勤務表（参照用）'!W4</f>
        <v/>
      </c>
      <c r="X4" s="29" t="str">
        <f>'勤務表（参照用）'!X4</f>
        <v>／</v>
      </c>
      <c r="Y4" s="29" t="str">
        <f>'勤務表（参照用）'!Y4</f>
        <v>●</v>
      </c>
      <c r="Z4" s="29" t="str">
        <f>'勤務表（参照用）'!Z4</f>
        <v/>
      </c>
      <c r="AA4" s="29" t="str">
        <f>'勤務表（参照用）'!AA4</f>
        <v/>
      </c>
      <c r="AB4" s="29" t="str">
        <f>'勤務表（参照用）'!AB4</f>
        <v/>
      </c>
      <c r="AC4" s="29" t="str">
        <f>'勤務表（参照用）'!AC4</f>
        <v/>
      </c>
      <c r="AD4" s="29" t="str">
        <f>'勤務表（参照用）'!AD4</f>
        <v/>
      </c>
      <c r="AE4" s="29" t="str">
        <f>'勤務表（参照用）'!AE4</f>
        <v>／</v>
      </c>
      <c r="AF4" s="29" t="str">
        <f>'勤務表（参照用）'!AF4</f>
        <v>●</v>
      </c>
      <c r="AG4" s="29" t="str">
        <f>'勤務表（参照用）'!AG4</f>
        <v/>
      </c>
      <c r="AH4" s="29" t="str">
        <f>'勤務表（参照用）'!AH4</f>
        <v/>
      </c>
      <c r="AI4" s="29">
        <f>'勤務表（参照用）'!AI4</f>
        <v>0</v>
      </c>
      <c r="AJ4" s="30"/>
    </row>
    <row r="5" spans="3:41" x14ac:dyDescent="0.2">
      <c r="C5" s="69" t="str">
        <f>'勤務表（参照用）'!C5</f>
        <v>山下 修</v>
      </c>
      <c r="D5" s="29" t="s">
        <v>48</v>
      </c>
      <c r="E5" s="29" t="str">
        <f>'勤務表（参照用）'!E5</f>
        <v/>
      </c>
      <c r="F5" s="29" t="str">
        <f>'勤務表（参照用）'!F5</f>
        <v/>
      </c>
      <c r="G5" s="29" t="str">
        <f>'勤務表（参照用）'!G5</f>
        <v/>
      </c>
      <c r="H5" s="29" t="str">
        <f>'勤務表（参照用）'!H5</f>
        <v/>
      </c>
      <c r="I5" s="29" t="str">
        <f>'勤務表（参照用）'!I5</f>
        <v/>
      </c>
      <c r="J5" s="29" t="str">
        <f>'勤務表（参照用）'!J5</f>
        <v>／</v>
      </c>
      <c r="K5" s="29" t="str">
        <f>'勤務表（参照用）'!K5</f>
        <v>●</v>
      </c>
      <c r="L5" s="29" t="str">
        <f>'勤務表（参照用）'!L5</f>
        <v/>
      </c>
      <c r="M5" s="29" t="str">
        <f>'勤務表（参照用）'!M5</f>
        <v/>
      </c>
      <c r="N5" s="29" t="str">
        <f>'勤務表（参照用）'!N5</f>
        <v/>
      </c>
      <c r="O5" s="29" t="str">
        <f>'勤務表（参照用）'!O5</f>
        <v/>
      </c>
      <c r="P5" s="29" t="str">
        <f>'勤務表（参照用）'!P5</f>
        <v/>
      </c>
      <c r="Q5" s="29" t="str">
        <f>'勤務表（参照用）'!Q5</f>
        <v>○</v>
      </c>
      <c r="R5" s="29" t="str">
        <f>'勤務表（参照用）'!R5</f>
        <v>●</v>
      </c>
      <c r="S5" s="29" t="str">
        <f>'勤務表（参照用）'!S5</f>
        <v/>
      </c>
      <c r="T5" s="29" t="str">
        <f>'勤務表（参照用）'!T5</f>
        <v/>
      </c>
      <c r="U5" s="29" t="str">
        <f>'勤務表（参照用）'!U5</f>
        <v/>
      </c>
      <c r="V5" s="29" t="str">
        <f>'勤務表（参照用）'!V5</f>
        <v/>
      </c>
      <c r="W5" s="29" t="str">
        <f>'勤務表（参照用）'!W5</f>
        <v/>
      </c>
      <c r="X5" s="29" t="str">
        <f>'勤務表（参照用）'!X5</f>
        <v>／</v>
      </c>
      <c r="Y5" s="29" t="str">
        <f>'勤務表（参照用）'!Y5</f>
        <v>●</v>
      </c>
      <c r="Z5" s="29" t="str">
        <f>'勤務表（参照用）'!Z5</f>
        <v/>
      </c>
      <c r="AA5" s="29" t="str">
        <f>'勤務表（参照用）'!AA5</f>
        <v/>
      </c>
      <c r="AB5" s="29" t="str">
        <f>'勤務表（参照用）'!AB5</f>
        <v/>
      </c>
      <c r="AC5" s="29" t="str">
        <f>'勤務表（参照用）'!AC5</f>
        <v/>
      </c>
      <c r="AD5" s="29" t="str">
        <f>'勤務表（参照用）'!AD5</f>
        <v/>
      </c>
      <c r="AE5" s="29" t="str">
        <f>'勤務表（参照用）'!AE5</f>
        <v>○</v>
      </c>
      <c r="AF5" s="29" t="str">
        <f>'勤務表（参照用）'!AF5</f>
        <v>●</v>
      </c>
      <c r="AG5" s="29" t="str">
        <f>'勤務表（参照用）'!AG5</f>
        <v/>
      </c>
      <c r="AH5" s="29" t="str">
        <f>'勤務表（参照用）'!AH5</f>
        <v/>
      </c>
      <c r="AJ5" s="28"/>
      <c r="AK5" s="30"/>
      <c r="AO5" s="64">
        <f ca="1">NOW()</f>
        <v>45723.501369212965</v>
      </c>
    </row>
    <row r="6" spans="3:41" x14ac:dyDescent="0.2">
      <c r="C6" s="69" t="str">
        <f>'勤務表（参照用）'!C6</f>
        <v>平田 恵哉</v>
      </c>
      <c r="D6" s="29" t="str">
        <f>'勤務表（参照用）'!D6</f>
        <v>●</v>
      </c>
      <c r="E6" s="29" t="str">
        <f>'勤務表（参照用）'!E6</f>
        <v>当</v>
      </c>
      <c r="F6" s="29" t="str">
        <f>'勤務表（参照用）'!F6</f>
        <v>明</v>
      </c>
      <c r="G6" s="29" t="str">
        <f>'勤務表（参照用）'!G6</f>
        <v/>
      </c>
      <c r="H6" s="29" t="str">
        <f>'勤務表（参照用）'!H6</f>
        <v/>
      </c>
      <c r="I6" s="29" t="str">
        <f>'勤務表（参照用）'!I6</f>
        <v/>
      </c>
      <c r="J6" s="29" t="str">
        <f>'勤務表（参照用）'!J6</f>
        <v>／</v>
      </c>
      <c r="K6" s="29" t="str">
        <f>'勤務表（参照用）'!K6</f>
        <v>●</v>
      </c>
      <c r="L6" s="29" t="str">
        <f>'勤務表（参照用）'!L6</f>
        <v/>
      </c>
      <c r="M6" s="29" t="str">
        <f>'勤務表（参照用）'!M6</f>
        <v/>
      </c>
      <c r="N6" s="29" t="str">
        <f>'勤務表（参照用）'!N6</f>
        <v/>
      </c>
      <c r="O6" s="29" t="str">
        <f>'勤務表（参照用）'!O6</f>
        <v/>
      </c>
      <c r="P6" s="29" t="str">
        <f>'勤務表（参照用）'!P6</f>
        <v/>
      </c>
      <c r="Q6" s="29" t="str">
        <f>'勤務表（参照用）'!Q6</f>
        <v>／</v>
      </c>
      <c r="R6" s="29" t="str">
        <f>'勤務表（参照用）'!R6</f>
        <v>●</v>
      </c>
      <c r="S6" s="29" t="str">
        <f>'勤務表（参照用）'!S6</f>
        <v>当</v>
      </c>
      <c r="T6" s="29" t="str">
        <f>'勤務表（参照用）'!T6</f>
        <v>明</v>
      </c>
      <c r="U6" s="29" t="str">
        <f>'勤務表（参照用）'!U6</f>
        <v/>
      </c>
      <c r="V6" s="29" t="str">
        <f>'勤務表（参照用）'!V6</f>
        <v/>
      </c>
      <c r="W6" s="29" t="str">
        <f>'勤務表（参照用）'!W6</f>
        <v/>
      </c>
      <c r="X6" s="29" t="str">
        <f>'勤務表（参照用）'!X6</f>
        <v>／</v>
      </c>
      <c r="Y6" s="29" t="str">
        <f>'勤務表（参照用）'!Y6</f>
        <v>●</v>
      </c>
      <c r="Z6" s="29" t="str">
        <f>'勤務表（参照用）'!Z6</f>
        <v/>
      </c>
      <c r="AA6" s="29" t="str">
        <f>'勤務表（参照用）'!AA6</f>
        <v/>
      </c>
      <c r="AB6" s="29" t="str">
        <f>'勤務表（参照用）'!AB6</f>
        <v/>
      </c>
      <c r="AC6" s="29" t="str">
        <f>'勤務表（参照用）'!AC6</f>
        <v/>
      </c>
      <c r="AD6" s="29" t="str">
        <f>'勤務表（参照用）'!AD6</f>
        <v/>
      </c>
      <c r="AE6" s="29" t="str">
        <f>'勤務表（参照用）'!AE6</f>
        <v>／</v>
      </c>
      <c r="AF6" s="29" t="str">
        <f>'勤務表（参照用）'!AF6</f>
        <v>●</v>
      </c>
      <c r="AG6" s="29" t="str">
        <f>'勤務表（参照用）'!AG6</f>
        <v/>
      </c>
      <c r="AH6" s="29" t="str">
        <f>'勤務表（参照用）'!AH6</f>
        <v/>
      </c>
      <c r="AJ6" s="30"/>
    </row>
    <row r="7" spans="3:41" x14ac:dyDescent="0.2">
      <c r="C7" s="69" t="str">
        <f>'勤務表（参照用）'!C7</f>
        <v>長田 弘二</v>
      </c>
      <c r="D7" s="29" t="str">
        <f>'勤務表（参照用）'!D7</f>
        <v>●</v>
      </c>
      <c r="E7" s="29" t="str">
        <f>'勤務表（参照用）'!E7</f>
        <v/>
      </c>
      <c r="F7" s="29" t="str">
        <f>'勤務表（参照用）'!F7</f>
        <v/>
      </c>
      <c r="G7" s="29" t="str">
        <f>'勤務表（参照用）'!G7</f>
        <v/>
      </c>
      <c r="H7" s="29" t="str">
        <f>'勤務表（参照用）'!H7</f>
        <v/>
      </c>
      <c r="I7" s="29" t="str">
        <f>'勤務表（参照用）'!I7</f>
        <v/>
      </c>
      <c r="J7" s="29" t="str">
        <f>'勤務表（参照用）'!J7</f>
        <v>○</v>
      </c>
      <c r="K7" s="29" t="str">
        <f>'勤務表（参照用）'!K7</f>
        <v>●</v>
      </c>
      <c r="L7" s="29" t="str">
        <f>'勤務表（参照用）'!L7</f>
        <v/>
      </c>
      <c r="M7" s="29" t="str">
        <f>'勤務表（参照用）'!M7</f>
        <v/>
      </c>
      <c r="N7" s="29" t="str">
        <f>'勤務表（参照用）'!N7</f>
        <v>当</v>
      </c>
      <c r="O7" s="29" t="str">
        <f>'勤務表（参照用）'!O7</f>
        <v>明</v>
      </c>
      <c r="P7" s="29" t="str">
        <f>'勤務表（参照用）'!P7</f>
        <v/>
      </c>
      <c r="Q7" s="29" t="str">
        <f>'勤務表（参照用）'!Q7</f>
        <v>／</v>
      </c>
      <c r="R7" s="29" t="str">
        <f>'勤務表（参照用）'!R7</f>
        <v>●</v>
      </c>
      <c r="S7" s="29" t="str">
        <f>'勤務表（参照用）'!S7</f>
        <v/>
      </c>
      <c r="T7" s="29" t="str">
        <f>'勤務表（参照用）'!T7</f>
        <v/>
      </c>
      <c r="U7" s="29" t="str">
        <f>'勤務表（参照用）'!U7</f>
        <v/>
      </c>
      <c r="V7" s="29" t="str">
        <f>'勤務表（参照用）'!V7</f>
        <v/>
      </c>
      <c r="W7" s="29" t="str">
        <f>'勤務表（参照用）'!W7</f>
        <v/>
      </c>
      <c r="X7" s="29" t="str">
        <f>'勤務表（参照用）'!X7</f>
        <v>○</v>
      </c>
      <c r="Y7" s="29" t="str">
        <f>'勤務表（参照用）'!Y7</f>
        <v>●</v>
      </c>
      <c r="Z7" s="29" t="str">
        <f>'勤務表（参照用）'!Z7</f>
        <v/>
      </c>
      <c r="AA7" s="29" t="str">
        <f>'勤務表（参照用）'!AA7</f>
        <v/>
      </c>
      <c r="AB7" s="29" t="str">
        <f>'勤務表（参照用）'!AB7</f>
        <v/>
      </c>
      <c r="AC7" s="29" t="str">
        <f>'勤務表（参照用）'!AC7</f>
        <v>当</v>
      </c>
      <c r="AD7" s="29" t="str">
        <f>'勤務表（参照用）'!AD7</f>
        <v>明</v>
      </c>
      <c r="AE7" s="29" t="str">
        <f>'勤務表（参照用）'!AE7</f>
        <v>／</v>
      </c>
      <c r="AF7" s="29" t="str">
        <f>'勤務表（参照用）'!AF7</f>
        <v>●</v>
      </c>
      <c r="AG7" s="29" t="str">
        <f>'勤務表（参照用）'!AG7</f>
        <v/>
      </c>
      <c r="AH7" s="29" t="str">
        <f>'勤務表（参照用）'!AH7</f>
        <v/>
      </c>
      <c r="AJ7" s="28"/>
      <c r="AK7" s="30"/>
    </row>
    <row r="8" spans="3:41" x14ac:dyDescent="0.2">
      <c r="C8" s="69" t="str">
        <f>'勤務表（参照用）'!C8</f>
        <v>中井 士郎</v>
      </c>
      <c r="D8" s="29" t="s">
        <v>46</v>
      </c>
      <c r="E8" s="29" t="str">
        <f>'勤務表（参照用）'!E8</f>
        <v/>
      </c>
      <c r="F8" s="29" t="str">
        <f>'勤務表（参照用）'!F8</f>
        <v/>
      </c>
      <c r="G8" s="29" t="str">
        <f>'勤務表（参照用）'!G8</f>
        <v/>
      </c>
      <c r="H8" s="29" t="str">
        <f>'勤務表（参照用）'!H8</f>
        <v/>
      </c>
      <c r="I8" s="29" t="str">
        <f>'勤務表（参照用）'!I8</f>
        <v/>
      </c>
      <c r="J8" s="29" t="str">
        <f>'勤務表（参照用）'!J8</f>
        <v>○</v>
      </c>
      <c r="K8" s="29" t="str">
        <f>'勤務表（参照用）'!K8</f>
        <v>●</v>
      </c>
      <c r="L8" s="29" t="str">
        <f>'勤務表（参照用）'!L8</f>
        <v/>
      </c>
      <c r="M8" s="29" t="str">
        <f>'勤務表（参照用）'!M8</f>
        <v/>
      </c>
      <c r="N8" s="29" t="str">
        <f>'勤務表（参照用）'!N8</f>
        <v/>
      </c>
      <c r="O8" s="29" t="str">
        <f>'勤務表（参照用）'!O8</f>
        <v/>
      </c>
      <c r="P8" s="29" t="str">
        <f>'勤務表（参照用）'!P8</f>
        <v/>
      </c>
      <c r="Q8" s="29" t="str">
        <f>'勤務表（参照用）'!Q8</f>
        <v>／</v>
      </c>
      <c r="R8" s="29" t="str">
        <f>'勤務表（参照用）'!R8</f>
        <v>●</v>
      </c>
      <c r="S8" s="29" t="str">
        <f>'勤務表（参照用）'!S8</f>
        <v/>
      </c>
      <c r="T8" s="29" t="str">
        <f>'勤務表（参照用）'!T8</f>
        <v/>
      </c>
      <c r="U8" s="29" t="str">
        <f>'勤務表（参照用）'!U8</f>
        <v/>
      </c>
      <c r="V8" s="29" t="str">
        <f>'勤務表（参照用）'!V8</f>
        <v/>
      </c>
      <c r="W8" s="29" t="str">
        <f>'勤務表（参照用）'!W8</f>
        <v/>
      </c>
      <c r="X8" s="29" t="str">
        <f>'勤務表（参照用）'!X8</f>
        <v>○</v>
      </c>
      <c r="Y8" s="29" t="str">
        <f>'勤務表（参照用）'!Y8</f>
        <v>●</v>
      </c>
      <c r="Z8" s="29" t="str">
        <f>'勤務表（参照用）'!Z8</f>
        <v/>
      </c>
      <c r="AA8" s="29" t="str">
        <f>'勤務表（参照用）'!AA8</f>
        <v/>
      </c>
      <c r="AB8" s="29" t="str">
        <f>'勤務表（参照用）'!AB8</f>
        <v/>
      </c>
      <c r="AC8" s="29" t="str">
        <f>'勤務表（参照用）'!AC8</f>
        <v/>
      </c>
      <c r="AD8" s="29" t="str">
        <f>'勤務表（参照用）'!AD8</f>
        <v/>
      </c>
      <c r="AE8" s="29" t="str">
        <f>'勤務表（参照用）'!AE8</f>
        <v>／</v>
      </c>
      <c r="AF8" s="29" t="str">
        <f>'勤務表（参照用）'!AF8</f>
        <v>●</v>
      </c>
      <c r="AG8" s="29" t="str">
        <f>'勤務表（参照用）'!AG8</f>
        <v/>
      </c>
      <c r="AH8" s="29" t="str">
        <f>'勤務表（参照用）'!AH8</f>
        <v/>
      </c>
      <c r="AJ8" s="30"/>
    </row>
    <row r="9" spans="3:41" x14ac:dyDescent="0.2">
      <c r="C9" s="69" t="str">
        <f>'勤務表（参照用）'!C9</f>
        <v>北 洋一</v>
      </c>
      <c r="D9" s="29" t="str">
        <f>'勤務表（参照用）'!D9</f>
        <v>●</v>
      </c>
      <c r="E9" s="29" t="str">
        <f>'勤務表（参照用）'!E9</f>
        <v/>
      </c>
      <c r="F9" s="29" t="str">
        <f>'勤務表（参照用）'!F9</f>
        <v/>
      </c>
      <c r="G9" s="29" t="str">
        <f>'勤務表（参照用）'!G9</f>
        <v/>
      </c>
      <c r="H9" s="29" t="str">
        <f>'勤務表（参照用）'!H9</f>
        <v/>
      </c>
      <c r="I9" s="29" t="str">
        <f>'勤務表（参照用）'!I9</f>
        <v/>
      </c>
      <c r="J9" s="29" t="str">
        <f>'勤務表（参照用）'!J9</f>
        <v>○</v>
      </c>
      <c r="K9" s="29" t="str">
        <f>'勤務表（参照用）'!K9</f>
        <v>●</v>
      </c>
      <c r="L9" s="29" t="str">
        <f>'勤務表（参照用）'!L9</f>
        <v/>
      </c>
      <c r="M9" s="29" t="str">
        <f>'勤務表（参照用）'!M9</f>
        <v/>
      </c>
      <c r="N9" s="29" t="str">
        <f>'勤務表（参照用）'!N9</f>
        <v/>
      </c>
      <c r="O9" s="29" t="str">
        <f>'勤務表（参照用）'!O9</f>
        <v/>
      </c>
      <c r="P9" s="29" t="str">
        <f>'勤務表（参照用）'!P9</f>
        <v/>
      </c>
      <c r="Q9" s="29" t="str">
        <f>'勤務表（参照用）'!Q9</f>
        <v>／</v>
      </c>
      <c r="R9" s="29" t="str">
        <f>'勤務表（参照用）'!R9</f>
        <v>●</v>
      </c>
      <c r="S9" s="29" t="str">
        <f>'勤務表（参照用）'!S9</f>
        <v/>
      </c>
      <c r="T9" s="29" t="str">
        <f>'勤務表（参照用）'!T9</f>
        <v/>
      </c>
      <c r="U9" s="29" t="str">
        <f>'勤務表（参照用）'!U9</f>
        <v/>
      </c>
      <c r="V9" s="29" t="str">
        <f>'勤務表（参照用）'!V9</f>
        <v/>
      </c>
      <c r="W9" s="29" t="str">
        <f>'勤務表（参照用）'!W9</f>
        <v/>
      </c>
      <c r="X9" s="29" t="str">
        <f>'勤務表（参照用）'!X9</f>
        <v>○</v>
      </c>
      <c r="Y9" s="29" t="str">
        <f>'勤務表（参照用）'!Y9</f>
        <v>●</v>
      </c>
      <c r="Z9" s="29" t="str">
        <f>'勤務表（参照用）'!Z9</f>
        <v/>
      </c>
      <c r="AA9" s="29" t="str">
        <f>'勤務表（参照用）'!AA9</f>
        <v/>
      </c>
      <c r="AB9" s="29" t="str">
        <f>'勤務表（参照用）'!AB9</f>
        <v/>
      </c>
      <c r="AC9" s="29" t="str">
        <f>'勤務表（参照用）'!AC9</f>
        <v/>
      </c>
      <c r="AD9" s="29" t="str">
        <f>'勤務表（参照用）'!AD9</f>
        <v/>
      </c>
      <c r="AE9" s="29" t="str">
        <f>'勤務表（参照用）'!AE9</f>
        <v>／</v>
      </c>
      <c r="AF9" s="29" t="str">
        <f>'勤務表（参照用）'!AF9</f>
        <v>●</v>
      </c>
      <c r="AG9" s="29" t="str">
        <f>'勤務表（参照用）'!AG9</f>
        <v/>
      </c>
      <c r="AH9" s="29" t="str">
        <f>'勤務表（参照用）'!AH9</f>
        <v/>
      </c>
      <c r="AJ9" s="28"/>
      <c r="AK9" s="30"/>
    </row>
    <row r="10" spans="3:41" x14ac:dyDescent="0.2">
      <c r="C10" s="69" t="str">
        <f>'勤務表（参照用）'!C10</f>
        <v>中村 映水</v>
      </c>
      <c r="D10" s="29" t="str">
        <f>'勤務表（参照用）'!D10</f>
        <v>●</v>
      </c>
      <c r="E10" s="29" t="str">
        <f>'勤務表（参照用）'!E10</f>
        <v/>
      </c>
      <c r="F10" s="29" t="str">
        <f>'勤務表（参照用）'!F10</f>
        <v/>
      </c>
      <c r="G10" s="29" t="str">
        <f>'勤務表（参照用）'!G10</f>
        <v/>
      </c>
      <c r="H10" s="29" t="str">
        <f>'勤務表（参照用）'!H10</f>
        <v/>
      </c>
      <c r="I10" s="29" t="str">
        <f>'勤務表（参照用）'!I10</f>
        <v/>
      </c>
      <c r="J10" s="29" t="str">
        <f>'勤務表（参照用）'!J10</f>
        <v>○</v>
      </c>
      <c r="K10" s="29" t="str">
        <f>'勤務表（参照用）'!K10</f>
        <v>●</v>
      </c>
      <c r="L10" s="29" t="str">
        <f>'勤務表（参照用）'!L10</f>
        <v/>
      </c>
      <c r="M10" s="29" t="str">
        <f>'勤務表（参照用）'!M10</f>
        <v/>
      </c>
      <c r="N10" s="29" t="str">
        <f>'勤務表（参照用）'!N10</f>
        <v/>
      </c>
      <c r="O10" s="29" t="str">
        <f>'勤務表（参照用）'!O10</f>
        <v/>
      </c>
      <c r="P10" s="29" t="str">
        <f>'勤務表（参照用）'!P10</f>
        <v/>
      </c>
      <c r="Q10" s="29" t="str">
        <f>'勤務表（参照用）'!Q10</f>
        <v>／</v>
      </c>
      <c r="R10" s="29" t="str">
        <f>'勤務表（参照用）'!R10</f>
        <v>●</v>
      </c>
      <c r="S10" s="29" t="str">
        <f>'勤務表（参照用）'!S10</f>
        <v/>
      </c>
      <c r="T10" s="29" t="str">
        <f>'勤務表（参照用）'!T10</f>
        <v/>
      </c>
      <c r="U10" s="29" t="str">
        <f>'勤務表（参照用）'!U10</f>
        <v/>
      </c>
      <c r="V10" s="29" t="str">
        <f>'勤務表（参照用）'!V10</f>
        <v/>
      </c>
      <c r="W10" s="29" t="str">
        <f>'勤務表（参照用）'!W10</f>
        <v/>
      </c>
      <c r="X10" s="29" t="str">
        <f>'勤務表（参照用）'!X10</f>
        <v>○</v>
      </c>
      <c r="Y10" s="29" t="str">
        <f>'勤務表（参照用）'!Y10</f>
        <v>●</v>
      </c>
      <c r="Z10" s="29" t="str">
        <f>'勤務表（参照用）'!Z10</f>
        <v/>
      </c>
      <c r="AA10" s="29" t="str">
        <f>'勤務表（参照用）'!AA10</f>
        <v/>
      </c>
      <c r="AB10" s="29" t="str">
        <f>'勤務表（参照用）'!AB10</f>
        <v/>
      </c>
      <c r="AC10" s="29" t="str">
        <f>'勤務表（参照用）'!AC10</f>
        <v/>
      </c>
      <c r="AD10" s="29" t="str">
        <f>'勤務表（参照用）'!AD10</f>
        <v/>
      </c>
      <c r="AE10" s="29" t="str">
        <f>'勤務表（参照用）'!AE10</f>
        <v>／</v>
      </c>
      <c r="AF10" s="29" t="str">
        <f>'勤務表（参照用）'!AF10</f>
        <v>●</v>
      </c>
      <c r="AG10" s="29" t="str">
        <f>'勤務表（参照用）'!AG10</f>
        <v/>
      </c>
      <c r="AH10" s="29" t="str">
        <f>'勤務表（参照用）'!AH10</f>
        <v/>
      </c>
      <c r="AJ10" s="30"/>
    </row>
    <row r="11" spans="3:41" x14ac:dyDescent="0.2">
      <c r="C11" s="69" t="str">
        <f>'勤務表（参照用）'!C11</f>
        <v>平田 真奈美</v>
      </c>
      <c r="D11" s="29" t="str">
        <f>'勤務表（参照用）'!D11</f>
        <v>●</v>
      </c>
      <c r="E11" s="29" t="str">
        <f>'勤務表（参照用）'!E11</f>
        <v/>
      </c>
      <c r="F11" s="29" t="str">
        <f>'勤務表（参照用）'!F11</f>
        <v/>
      </c>
      <c r="G11" s="29" t="str">
        <f>'勤務表（参照用）'!G11</f>
        <v/>
      </c>
      <c r="H11" s="29" t="str">
        <f>'勤務表（参照用）'!H11</f>
        <v/>
      </c>
      <c r="I11" s="29" t="str">
        <f>'勤務表（参照用）'!I11</f>
        <v/>
      </c>
      <c r="J11" s="29" t="str">
        <f>'勤務表（参照用）'!J11</f>
        <v>／</v>
      </c>
      <c r="K11" s="29" t="str">
        <f>'勤務表（参照用）'!K11</f>
        <v>●</v>
      </c>
      <c r="L11" s="29" t="str">
        <f>'勤務表（参照用）'!L11</f>
        <v/>
      </c>
      <c r="M11" s="29" t="str">
        <f>'勤務表（参照用）'!M11</f>
        <v/>
      </c>
      <c r="N11" s="29" t="str">
        <f>'勤務表（参照用）'!N11</f>
        <v/>
      </c>
      <c r="O11" s="29" t="str">
        <f>'勤務表（参照用）'!O11</f>
        <v/>
      </c>
      <c r="P11" s="29" t="str">
        <f>'勤務表（参照用）'!P11</f>
        <v/>
      </c>
      <c r="Q11" s="29" t="str">
        <f>'勤務表（参照用）'!Q11</f>
        <v>○</v>
      </c>
      <c r="R11" s="29" t="str">
        <f>'勤務表（参照用）'!R11</f>
        <v>●</v>
      </c>
      <c r="S11" s="29" t="str">
        <f>'勤務表（参照用）'!S11</f>
        <v/>
      </c>
      <c r="T11" s="29" t="str">
        <f>'勤務表（参照用）'!T11</f>
        <v/>
      </c>
      <c r="U11" s="29" t="str">
        <f>'勤務表（参照用）'!U11</f>
        <v/>
      </c>
      <c r="V11" s="29" t="str">
        <f>'勤務表（参照用）'!V11</f>
        <v/>
      </c>
      <c r="W11" s="29" t="str">
        <f>'勤務表（参照用）'!W11</f>
        <v/>
      </c>
      <c r="X11" s="29" t="str">
        <f>'勤務表（参照用）'!X11</f>
        <v>／</v>
      </c>
      <c r="Y11" s="29" t="str">
        <f>'勤務表（参照用）'!Y11</f>
        <v>●</v>
      </c>
      <c r="Z11" s="29" t="str">
        <f>'勤務表（参照用）'!Z11</f>
        <v/>
      </c>
      <c r="AA11" s="29" t="str">
        <f>'勤務表（参照用）'!AA11</f>
        <v/>
      </c>
      <c r="AB11" s="29" t="str">
        <f>'勤務表（参照用）'!AB11</f>
        <v/>
      </c>
      <c r="AC11" s="29" t="str">
        <f>'勤務表（参照用）'!AC11</f>
        <v/>
      </c>
      <c r="AD11" s="29" t="str">
        <f>'勤務表（参照用）'!AD11</f>
        <v/>
      </c>
      <c r="AE11" s="29" t="str">
        <f>'勤務表（参照用）'!AE11</f>
        <v>○</v>
      </c>
      <c r="AF11" s="29" t="str">
        <f>'勤務表（参照用）'!AF11</f>
        <v>●</v>
      </c>
      <c r="AG11" s="29" t="str">
        <f>'勤務表（参照用）'!AG11</f>
        <v/>
      </c>
      <c r="AH11" s="29" t="str">
        <f>'勤務表（参照用）'!AH11</f>
        <v/>
      </c>
      <c r="AJ11" s="28"/>
      <c r="AK11" s="30"/>
    </row>
    <row r="12" spans="3:41" x14ac:dyDescent="0.2">
      <c r="C12" s="69" t="str">
        <f>'勤務表（参照用）'!C12</f>
        <v>大橋 効</v>
      </c>
      <c r="D12" s="29" t="str">
        <f>'勤務表（参照用）'!D12</f>
        <v>●</v>
      </c>
      <c r="E12" s="29" t="str">
        <f>'勤務表（参照用）'!E12</f>
        <v/>
      </c>
      <c r="F12" s="29" t="str">
        <f>'勤務表（参照用）'!F12</f>
        <v/>
      </c>
      <c r="G12" s="29" t="str">
        <f>'勤務表（参照用）'!G12</f>
        <v/>
      </c>
      <c r="H12" s="29" t="str">
        <f>'勤務表（参照用）'!H12</f>
        <v/>
      </c>
      <c r="I12" s="29" t="str">
        <f>'勤務表（参照用）'!I12</f>
        <v/>
      </c>
      <c r="J12" s="29" t="str">
        <f>'勤務表（参照用）'!J12</f>
        <v>○</v>
      </c>
      <c r="K12" s="29" t="str">
        <f>'勤務表（参照用）'!K12</f>
        <v>●</v>
      </c>
      <c r="L12" s="29" t="str">
        <f>'勤務表（参照用）'!L12</f>
        <v>当</v>
      </c>
      <c r="M12" s="29" t="str">
        <f>'勤務表（参照用）'!M12</f>
        <v>明</v>
      </c>
      <c r="N12" s="29" t="str">
        <f>'勤務表（参照用）'!N12</f>
        <v/>
      </c>
      <c r="O12" s="29" t="str">
        <f>'勤務表（参照用）'!O12</f>
        <v/>
      </c>
      <c r="P12" s="29" t="str">
        <f>'勤務表（参照用）'!P12</f>
        <v>当</v>
      </c>
      <c r="Q12" s="29" t="str">
        <f>'勤務表（参照用）'!Q12</f>
        <v>明</v>
      </c>
      <c r="R12" s="29" t="str">
        <f>'勤務表（参照用）'!R12</f>
        <v>●</v>
      </c>
      <c r="S12" s="29" t="str">
        <f>'勤務表（参照用）'!S12</f>
        <v/>
      </c>
      <c r="T12" s="29" t="str">
        <f>'勤務表（参照用）'!T12</f>
        <v/>
      </c>
      <c r="U12" s="29" t="str">
        <f>'勤務表（参照用）'!U12</f>
        <v/>
      </c>
      <c r="V12" s="29" t="str">
        <f>'勤務表（参照用）'!V12</f>
        <v/>
      </c>
      <c r="W12" s="29" t="str">
        <f>'勤務表（参照用）'!W12</f>
        <v/>
      </c>
      <c r="X12" s="29" t="str">
        <f>'勤務表（参照用）'!X12</f>
        <v>○</v>
      </c>
      <c r="Y12" s="29" t="str">
        <f>'勤務表（参照用）'!Y12</f>
        <v>当</v>
      </c>
      <c r="Z12" s="29" t="str">
        <f>'勤務表（参照用）'!Z12</f>
        <v>明</v>
      </c>
      <c r="AA12" s="29" t="str">
        <f>'勤務表（参照用）'!AA12</f>
        <v>●</v>
      </c>
      <c r="AB12" s="29" t="str">
        <f>'勤務表（参照用）'!AB12</f>
        <v/>
      </c>
      <c r="AC12" s="29" t="str">
        <f>'勤務表（参照用）'!AC12</f>
        <v/>
      </c>
      <c r="AD12" s="29" t="str">
        <f>'勤務表（参照用）'!AD12</f>
        <v/>
      </c>
      <c r="AE12" s="29" t="str">
        <f>'勤務表（参照用）'!AE12</f>
        <v>当</v>
      </c>
      <c r="AF12" s="29" t="str">
        <f>'勤務表（参照用）'!AF12</f>
        <v>明</v>
      </c>
      <c r="AG12" s="29" t="str">
        <f>'勤務表（参照用）'!AG12</f>
        <v>●</v>
      </c>
      <c r="AH12" s="29" t="str">
        <f>'勤務表（参照用）'!AH12</f>
        <v/>
      </c>
      <c r="AJ12" s="30"/>
    </row>
    <row r="13" spans="3:41" x14ac:dyDescent="0.2">
      <c r="C13" s="69" t="str">
        <f>'勤務表（参照用）'!C13</f>
        <v>山本 浩之</v>
      </c>
      <c r="D13" s="29" t="str">
        <f>'勤務表（参照用）'!D13</f>
        <v>●</v>
      </c>
      <c r="E13" s="29" t="str">
        <f>'勤務表（参照用）'!E13</f>
        <v/>
      </c>
      <c r="F13" s="29" t="str">
        <f>'勤務表（参照用）'!F13</f>
        <v/>
      </c>
      <c r="G13" s="29" t="str">
        <f>'勤務表（参照用）'!G13</f>
        <v/>
      </c>
      <c r="H13" s="29" t="str">
        <f>'勤務表（参照用）'!H13</f>
        <v/>
      </c>
      <c r="I13" s="29" t="str">
        <f>'勤務表（参照用）'!I13</f>
        <v>当</v>
      </c>
      <c r="J13" s="29" t="str">
        <f>'勤務表（参照用）'!J13</f>
        <v>明</v>
      </c>
      <c r="K13" s="29" t="str">
        <f>'勤務表（参照用）'!K13</f>
        <v>●</v>
      </c>
      <c r="L13" s="29" t="str">
        <f>'勤務表（参照用）'!L13</f>
        <v/>
      </c>
      <c r="M13" s="29" t="str">
        <f>'勤務表（参照用）'!M13</f>
        <v/>
      </c>
      <c r="N13" s="29" t="str">
        <f>'勤務表（参照用）'!N13</f>
        <v/>
      </c>
      <c r="O13" s="29" t="str">
        <f>'勤務表（参照用）'!O13</f>
        <v/>
      </c>
      <c r="P13" s="29" t="str">
        <f>'勤務表（参照用）'!P13</f>
        <v/>
      </c>
      <c r="Q13" s="29" t="str">
        <f>'勤務表（参照用）'!Q13</f>
        <v>○</v>
      </c>
      <c r="R13" s="29" t="str">
        <f>'勤務表（参照用）'!R13</f>
        <v>●</v>
      </c>
      <c r="S13" s="29" t="str">
        <f>'勤務表（参照用）'!S13</f>
        <v/>
      </c>
      <c r="T13" s="29" t="str">
        <f>'勤務表（参照用）'!T13</f>
        <v/>
      </c>
      <c r="U13" s="29" t="str">
        <f>'勤務表（参照用）'!U13</f>
        <v/>
      </c>
      <c r="V13" s="29" t="str">
        <f>'勤務表（参照用）'!V13</f>
        <v/>
      </c>
      <c r="W13" s="29" t="str">
        <f>'勤務表（参照用）'!W13</f>
        <v/>
      </c>
      <c r="X13" s="29" t="str">
        <f>'勤務表（参照用）'!X13</f>
        <v>当</v>
      </c>
      <c r="Y13" s="29" t="str">
        <f>'勤務表（参照用）'!Y13</f>
        <v>明</v>
      </c>
      <c r="Z13" s="29" t="str">
        <f>'勤務表（参照用）'!Z13</f>
        <v>●</v>
      </c>
      <c r="AA13" s="29" t="str">
        <f>'勤務表（参照用）'!AA13</f>
        <v/>
      </c>
      <c r="AB13" s="29" t="str">
        <f>'勤務表（参照用）'!AB13</f>
        <v/>
      </c>
      <c r="AC13" s="29" t="str">
        <f>'勤務表（参照用）'!AC13</f>
        <v/>
      </c>
      <c r="AD13" s="29" t="str">
        <f>'勤務表（参照用）'!AD13</f>
        <v/>
      </c>
      <c r="AE13" s="29" t="str">
        <f>'勤務表（参照用）'!AE13</f>
        <v>○</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v>
      </c>
      <c r="E14" s="29" t="str">
        <f>'勤務表（参照用）'!E14</f>
        <v/>
      </c>
      <c r="F14" s="29" t="str">
        <f>'勤務表（参照用）'!F14</f>
        <v/>
      </c>
      <c r="G14" s="29" t="str">
        <f>'勤務表（参照用）'!G14</f>
        <v/>
      </c>
      <c r="H14" s="29" t="str">
        <f>'勤務表（参照用）'!H14</f>
        <v/>
      </c>
      <c r="I14" s="29" t="str">
        <f>'勤務表（参照用）'!I14</f>
        <v/>
      </c>
      <c r="J14" s="29" t="str">
        <f>'勤務表（参照用）'!J14</f>
        <v>当</v>
      </c>
      <c r="K14" s="29" t="str">
        <f>'勤務表（参照用）'!K14</f>
        <v>明</v>
      </c>
      <c r="L14" s="29" t="str">
        <f>'勤務表（参照用）'!L14</f>
        <v>●</v>
      </c>
      <c r="M14" s="29" t="str">
        <f>'勤務表（参照用）'!M14</f>
        <v/>
      </c>
      <c r="N14" s="29" t="str">
        <f>'勤務表（参照用）'!N14</f>
        <v/>
      </c>
      <c r="O14" s="29" t="str">
        <f>'勤務表（参照用）'!O14</f>
        <v/>
      </c>
      <c r="P14" s="29" t="str">
        <f>'勤務表（参照用）'!P14</f>
        <v/>
      </c>
      <c r="Q14" s="29" t="str">
        <f>'勤務表（参照用）'!Q14</f>
        <v>○</v>
      </c>
      <c r="R14" s="29" t="str">
        <f>'勤務表（参照用）'!R14</f>
        <v/>
      </c>
      <c r="S14" s="29" t="str">
        <f>'勤務表（参照用）'!S14</f>
        <v/>
      </c>
      <c r="T14" s="29" t="str">
        <f>'勤務表（参照用）'!T14</f>
        <v/>
      </c>
      <c r="U14" s="29" t="str">
        <f>'勤務表（参照用）'!U14</f>
        <v/>
      </c>
      <c r="V14" s="29" t="str">
        <f>'勤務表（参照用）'!V14</f>
        <v/>
      </c>
      <c r="W14" s="29" t="str">
        <f>'勤務表（参照用）'!W14</f>
        <v/>
      </c>
      <c r="X14" s="29" t="str">
        <f>'勤務表（参照用）'!X14</f>
        <v>／</v>
      </c>
      <c r="Y14" s="29" t="str">
        <f>'勤務表（参照用）'!Y14</f>
        <v>●</v>
      </c>
      <c r="Z14" s="29" t="str">
        <f>'勤務表（参照用）'!Z14</f>
        <v/>
      </c>
      <c r="AA14" s="29" t="str">
        <f>'勤務表（参照用）'!AA14</f>
        <v/>
      </c>
      <c r="AB14" s="29" t="str">
        <f>'勤務表（参照用）'!AB14</f>
        <v>当</v>
      </c>
      <c r="AC14" s="29" t="str">
        <f>'勤務表（参照用）'!AC14</f>
        <v>明</v>
      </c>
      <c r="AD14" s="29" t="str">
        <f>'勤務表（参照用）'!AD14</f>
        <v/>
      </c>
      <c r="AE14" s="29" t="str">
        <f>'勤務表（参照用）'!AE14</f>
        <v>○</v>
      </c>
      <c r="AF14" s="29" t="str">
        <f>'勤務表（参照用）'!AF14</f>
        <v>●</v>
      </c>
      <c r="AG14" s="29" t="str">
        <f>'勤務表（参照用）'!AG14</f>
        <v>当</v>
      </c>
      <c r="AH14" s="29" t="str">
        <f>'勤務表（参照用）'!AH14</f>
        <v>明</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当</v>
      </c>
      <c r="H15" s="29" t="str">
        <f>'勤務表（参照用）'!H15</f>
        <v>明</v>
      </c>
      <c r="I15" s="29" t="str">
        <f>'勤務表（参照用）'!I15</f>
        <v/>
      </c>
      <c r="J15" s="29" t="str">
        <f>'勤務表（参照用）'!J15</f>
        <v>／</v>
      </c>
      <c r="K15" s="29" t="str">
        <f>'勤務表（参照用）'!K15</f>
        <v>●</v>
      </c>
      <c r="L15" s="29" t="str">
        <f>'勤務表（参照用）'!L15</f>
        <v/>
      </c>
      <c r="M15" s="29" t="str">
        <f>'勤務表（参照用）'!M15</f>
        <v/>
      </c>
      <c r="N15" s="29" t="str">
        <f>'勤務表（参照用）'!N15</f>
        <v/>
      </c>
      <c r="O15" s="29" t="str">
        <f>'勤務表（参照用）'!O15</f>
        <v/>
      </c>
      <c r="P15" s="29" t="str">
        <f>'勤務表（参照用）'!P15</f>
        <v/>
      </c>
      <c r="Q15" s="29" t="str">
        <f>'勤務表（参照用）'!Q15</f>
        <v>○</v>
      </c>
      <c r="R15" s="29" t="str">
        <f>'勤務表（参照用）'!R15</f>
        <v>●</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v>
      </c>
      <c r="Z15" s="29" t="str">
        <f>'勤務表（参照用）'!Z15</f>
        <v/>
      </c>
      <c r="AA15" s="29" t="str">
        <f>'勤務表（参照用）'!AA15</f>
        <v/>
      </c>
      <c r="AB15" s="29" t="str">
        <f>'勤務表（参照用）'!AB15</f>
        <v/>
      </c>
      <c r="AC15" s="29" t="str">
        <f>'勤務表（参照用）'!AC15</f>
        <v/>
      </c>
      <c r="AD15" s="29" t="str">
        <f>'勤務表（参照用）'!AD15</f>
        <v/>
      </c>
      <c r="AE15" s="29" t="str">
        <f>'勤務表（参照用）'!AE15</f>
        <v>○</v>
      </c>
      <c r="AF15" s="29" t="str">
        <f>'勤務表（参照用）'!AF15</f>
        <v>●</v>
      </c>
      <c r="AG15" s="29" t="str">
        <f>'勤務表（参照用）'!AG15</f>
        <v/>
      </c>
      <c r="AH15" s="29" t="str">
        <f>'勤務表（参照用）'!AH15</f>
        <v/>
      </c>
      <c r="AJ15" s="28"/>
      <c r="AK15" s="30"/>
    </row>
    <row r="16" spans="3:41" x14ac:dyDescent="0.2">
      <c r="C16" s="69" t="str">
        <f>'勤務表（参照用）'!C16</f>
        <v>清水 和弥</v>
      </c>
      <c r="D16" s="29" t="str">
        <f>'勤務表（参照用）'!D16</f>
        <v>●</v>
      </c>
      <c r="E16" s="29" t="str">
        <f>'勤務表（参照用）'!E16</f>
        <v/>
      </c>
      <c r="F16" s="29" t="str">
        <f>'勤務表（参照用）'!F16</f>
        <v/>
      </c>
      <c r="G16" s="29" t="str">
        <f>'勤務表（参照用）'!G16</f>
        <v/>
      </c>
      <c r="H16" s="29" t="str">
        <f>'勤務表（参照用）'!H16</f>
        <v/>
      </c>
      <c r="I16" s="29" t="str">
        <f>'勤務表（参照用）'!I16</f>
        <v/>
      </c>
      <c r="J16" s="29" t="str">
        <f>'勤務表（参照用）'!J16</f>
        <v>○</v>
      </c>
      <c r="K16" s="29" t="str">
        <f>'勤務表（参照用）'!K16</f>
        <v>●</v>
      </c>
      <c r="L16" s="29" t="str">
        <f>'勤務表（参照用）'!L16</f>
        <v/>
      </c>
      <c r="M16" s="29" t="str">
        <f>'勤務表（参照用）'!M16</f>
        <v/>
      </c>
      <c r="N16" s="29" t="str">
        <f>'勤務表（参照用）'!N16</f>
        <v/>
      </c>
      <c r="O16" s="29" t="str">
        <f>'勤務表（参照用）'!O16</f>
        <v/>
      </c>
      <c r="P16" s="29" t="str">
        <f>'勤務表（参照用）'!P16</f>
        <v/>
      </c>
      <c r="Q16" s="29" t="str">
        <f>'勤務表（参照用）'!Q16</f>
        <v>／</v>
      </c>
      <c r="R16" s="29" t="str">
        <f>'勤務表（参照用）'!R16</f>
        <v>●</v>
      </c>
      <c r="S16" s="29" t="str">
        <f>'勤務表（参照用）'!S16</f>
        <v/>
      </c>
      <c r="T16" s="29" t="str">
        <f>'勤務表（参照用）'!T16</f>
        <v/>
      </c>
      <c r="U16" s="29" t="str">
        <f>'勤務表（参照用）'!U16</f>
        <v/>
      </c>
      <c r="V16" s="29" t="str">
        <f>'勤務表（参照用）'!V16</f>
        <v/>
      </c>
      <c r="W16" s="29" t="str">
        <f>'勤務表（参照用）'!W16</f>
        <v/>
      </c>
      <c r="X16" s="29" t="str">
        <f>'勤務表（参照用）'!X16</f>
        <v>○</v>
      </c>
      <c r="Y16" s="29" t="str">
        <f>'勤務表（参照用）'!Y16</f>
        <v>●</v>
      </c>
      <c r="Z16" s="29" t="str">
        <f>'勤務表（参照用）'!Z16</f>
        <v/>
      </c>
      <c r="AA16" s="29" t="str">
        <f>'勤務表（参照用）'!AA16</f>
        <v/>
      </c>
      <c r="AB16" s="29" t="str">
        <f>'勤務表（参照用）'!AB16</f>
        <v/>
      </c>
      <c r="AC16" s="29" t="str">
        <f>'勤務表（参照用）'!AC16</f>
        <v/>
      </c>
      <c r="AD16" s="29" t="str">
        <f>'勤務表（参照用）'!AD16</f>
        <v/>
      </c>
      <c r="AE16" s="29" t="str">
        <f>'勤務表（参照用）'!AE16</f>
        <v>／</v>
      </c>
      <c r="AF16" s="29" t="str">
        <f>'勤務表（参照用）'!AF16</f>
        <v>●</v>
      </c>
      <c r="AG16" s="29" t="str">
        <f>'勤務表（参照用）'!AG16</f>
        <v/>
      </c>
      <c r="AH16" s="29" t="str">
        <f>'勤務表（参照用）'!AH16</f>
        <v/>
      </c>
      <c r="AJ16" s="30"/>
    </row>
    <row r="17" spans="3:37" x14ac:dyDescent="0.2">
      <c r="C17" s="69" t="str">
        <f>'勤務表（参照用）'!C17</f>
        <v>坪野 寿恵</v>
      </c>
      <c r="D17" s="29" t="str">
        <f>'勤務表（参照用）'!D17</f>
        <v>●</v>
      </c>
      <c r="E17" s="29" t="str">
        <f>'勤務表（参照用）'!E17</f>
        <v/>
      </c>
      <c r="F17" s="29" t="str">
        <f>'勤務表（参照用）'!F17</f>
        <v/>
      </c>
      <c r="G17" s="29" t="str">
        <f>'勤務表（参照用）'!G17</f>
        <v/>
      </c>
      <c r="H17" s="29" t="str">
        <f>'勤務表（参照用）'!H17</f>
        <v/>
      </c>
      <c r="I17" s="29" t="str">
        <f>'勤務表（参照用）'!I17</f>
        <v/>
      </c>
      <c r="J17" s="29" t="str">
        <f>'勤務表（参照用）'!J17</f>
        <v>／</v>
      </c>
      <c r="K17" s="29" t="str">
        <f>'勤務表（参照用）'!K17</f>
        <v>●</v>
      </c>
      <c r="L17" s="29" t="str">
        <f>'勤務表（参照用）'!L17</f>
        <v/>
      </c>
      <c r="M17" s="29" t="str">
        <f>'勤務表（参照用）'!M17</f>
        <v/>
      </c>
      <c r="N17" s="29" t="str">
        <f>'勤務表（参照用）'!N17</f>
        <v/>
      </c>
      <c r="O17" s="29" t="str">
        <f>'勤務表（参照用）'!O17</f>
        <v/>
      </c>
      <c r="P17" s="29" t="str">
        <f>'勤務表（参照用）'!P17</f>
        <v/>
      </c>
      <c r="Q17" s="29" t="str">
        <f>'勤務表（参照用）'!Q17</f>
        <v>○</v>
      </c>
      <c r="R17" s="29" t="str">
        <f>'勤務表（参照用）'!R17</f>
        <v>●</v>
      </c>
      <c r="S17" s="29" t="str">
        <f>'勤務表（参照用）'!S17</f>
        <v/>
      </c>
      <c r="T17" s="29" t="str">
        <f>'勤務表（参照用）'!T17</f>
        <v/>
      </c>
      <c r="U17" s="29" t="str">
        <f>'勤務表（参照用）'!U17</f>
        <v/>
      </c>
      <c r="V17" s="29" t="str">
        <f>'勤務表（参照用）'!V17</f>
        <v/>
      </c>
      <c r="W17" s="29" t="str">
        <f>'勤務表（参照用）'!W17</f>
        <v/>
      </c>
      <c r="X17" s="29" t="str">
        <f>'勤務表（参照用）'!X17</f>
        <v>／</v>
      </c>
      <c r="Y17" s="29" t="str">
        <f>'勤務表（参照用）'!Y17</f>
        <v>●</v>
      </c>
      <c r="Z17" s="29" t="str">
        <f>'勤務表（参照用）'!Z17</f>
        <v/>
      </c>
      <c r="AA17" s="29" t="str">
        <f>'勤務表（参照用）'!AA17</f>
        <v/>
      </c>
      <c r="AB17" s="29" t="str">
        <f>'勤務表（参照用）'!AB17</f>
        <v/>
      </c>
      <c r="AC17" s="29" t="str">
        <f>'勤務表（参照用）'!AC17</f>
        <v/>
      </c>
      <c r="AD17" s="29" t="str">
        <f>'勤務表（参照用）'!AD17</f>
        <v/>
      </c>
      <c r="AE17" s="29" t="str">
        <f>'勤務表（参照用）'!AE17</f>
        <v>○</v>
      </c>
      <c r="AF17" s="29" t="str">
        <f>'勤務表（参照用）'!AF17</f>
        <v>●</v>
      </c>
      <c r="AG17" s="29" t="str">
        <f>'勤務表（参照用）'!AG17</f>
        <v/>
      </c>
      <c r="AH17" s="29" t="str">
        <f>'勤務表（参照用）'!AH17</f>
        <v/>
      </c>
      <c r="AJ17" s="28"/>
      <c r="AK17" s="30"/>
    </row>
    <row r="18" spans="3:37" x14ac:dyDescent="0.2">
      <c r="C18" s="69" t="str">
        <f>'勤務表（参照用）'!C18</f>
        <v>山田 正則</v>
      </c>
      <c r="D18" s="29" t="str">
        <f>'勤務表（参照用）'!D18</f>
        <v>●</v>
      </c>
      <c r="E18" s="29" t="str">
        <f>'勤務表（参照用）'!E18</f>
        <v/>
      </c>
      <c r="F18" s="29" t="str">
        <f>'勤務表（参照用）'!F18</f>
        <v/>
      </c>
      <c r="G18" s="29" t="str">
        <f>'勤務表（参照用）'!G18</f>
        <v/>
      </c>
      <c r="H18" s="29" t="str">
        <f>'勤務表（参照用）'!H18</f>
        <v/>
      </c>
      <c r="I18" s="29" t="str">
        <f>'勤務表（参照用）'!I18</f>
        <v/>
      </c>
      <c r="J18" s="29" t="str">
        <f>'勤務表（参照用）'!J18</f>
        <v>／</v>
      </c>
      <c r="K18" s="29" t="str">
        <f>'勤務表（参照用）'!K18</f>
        <v>●</v>
      </c>
      <c r="L18" s="29" t="str">
        <f>'勤務表（参照用）'!L18</f>
        <v/>
      </c>
      <c r="M18" s="29" t="str">
        <f>'勤務表（参照用）'!M18</f>
        <v>当</v>
      </c>
      <c r="N18" s="29" t="str">
        <f>'勤務表（参照用）'!N18</f>
        <v>明</v>
      </c>
      <c r="O18" s="29" t="str">
        <f>'勤務表（参照用）'!O18</f>
        <v/>
      </c>
      <c r="P18" s="29" t="str">
        <f>'勤務表（参照用）'!P18</f>
        <v/>
      </c>
      <c r="Q18" s="29" t="str">
        <f>'勤務表（参照用）'!Q18</f>
        <v>○</v>
      </c>
      <c r="R18" s="29" t="str">
        <f>'勤務表（参照用）'!R18</f>
        <v>●</v>
      </c>
      <c r="S18" s="29" t="str">
        <f>'勤務表（参照用）'!S18</f>
        <v/>
      </c>
      <c r="T18" s="29" t="str">
        <f>'勤務表（参照用）'!T18</f>
        <v/>
      </c>
      <c r="U18" s="29" t="str">
        <f>'勤務表（参照用）'!U18</f>
        <v/>
      </c>
      <c r="V18" s="29" t="str">
        <f>'勤務表（参照用）'!V18</f>
        <v/>
      </c>
      <c r="W18" s="29" t="str">
        <f>'勤務表（参照用）'!W18</f>
        <v>当</v>
      </c>
      <c r="X18" s="29" t="str">
        <f>'勤務表（参照用）'!X18</f>
        <v>明</v>
      </c>
      <c r="Y18" s="29" t="str">
        <f>'勤務表（参照用）'!Y18</f>
        <v>●</v>
      </c>
      <c r="Z18" s="29" t="str">
        <f>'勤務表（参照用）'!Z18</f>
        <v/>
      </c>
      <c r="AA18" s="29" t="str">
        <f>'勤務表（参照用）'!AA18</f>
        <v/>
      </c>
      <c r="AB18" s="29" t="str">
        <f>'勤務表（参照用）'!AB18</f>
        <v/>
      </c>
      <c r="AC18" s="29" t="str">
        <f>'勤務表（参照用）'!AC18</f>
        <v/>
      </c>
      <c r="AD18" s="29" t="str">
        <f>'勤務表（参照用）'!AD18</f>
        <v/>
      </c>
      <c r="AE18" s="29" t="str">
        <f>'勤務表（参照用）'!AE18</f>
        <v>○</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v>
      </c>
      <c r="E19" s="29" t="str">
        <f>'勤務表（参照用）'!E19</f>
        <v/>
      </c>
      <c r="F19" s="29" t="str">
        <f>'勤務表（参照用）'!F19</f>
        <v/>
      </c>
      <c r="G19" s="29" t="str">
        <f>'勤務表（参照用）'!G19</f>
        <v/>
      </c>
      <c r="H19" s="29" t="str">
        <f>'勤務表（参照用）'!H19</f>
        <v/>
      </c>
      <c r="I19" s="29" t="str">
        <f>'勤務表（参照用）'!I19</f>
        <v/>
      </c>
      <c r="J19" s="29" t="str">
        <f>'勤務表（参照用）'!J19</f>
        <v>○</v>
      </c>
      <c r="K19" s="29" t="str">
        <f>'勤務表（参照用）'!K19</f>
        <v>当</v>
      </c>
      <c r="L19" s="29" t="str">
        <f>'勤務表（参照用）'!L19</f>
        <v>明</v>
      </c>
      <c r="M19" s="29" t="str">
        <f>'勤務表（参照用）'!M19</f>
        <v>●</v>
      </c>
      <c r="N19" s="29" t="str">
        <f>'勤務表（参照用）'!N19</f>
        <v/>
      </c>
      <c r="O19" s="29" t="str">
        <f>'勤務表（参照用）'!O19</f>
        <v/>
      </c>
      <c r="P19" s="29" t="str">
        <f>'勤務表（参照用）'!P19</f>
        <v/>
      </c>
      <c r="Q19" s="29" t="str">
        <f>'勤務表（参照用）'!Q19</f>
        <v>／</v>
      </c>
      <c r="R19" s="29" t="str">
        <f>'勤務表（参照用）'!R19</f>
        <v>●</v>
      </c>
      <c r="S19" s="29" t="str">
        <f>'勤務表（参照用）'!S19</f>
        <v/>
      </c>
      <c r="T19" s="29" t="str">
        <f>'勤務表（参照用）'!T19</f>
        <v/>
      </c>
      <c r="U19" s="29" t="str">
        <f>'勤務表（参照用）'!U19</f>
        <v/>
      </c>
      <c r="V19" s="29" t="str">
        <f>'勤務表（参照用）'!V19</f>
        <v/>
      </c>
      <c r="W19" s="29" t="str">
        <f>'勤務表（参照用）'!W19</f>
        <v/>
      </c>
      <c r="X19" s="29" t="str">
        <f>'勤務表（参照用）'!X19</f>
        <v>○</v>
      </c>
      <c r="Y19" s="29" t="str">
        <f>'勤務表（参照用）'!Y19</f>
        <v>●</v>
      </c>
      <c r="Z19" s="29" t="str">
        <f>'勤務表（参照用）'!Z19</f>
        <v/>
      </c>
      <c r="AA19" s="29" t="str">
        <f>'勤務表（参照用）'!AA19</f>
        <v/>
      </c>
      <c r="AB19" s="29" t="str">
        <f>'勤務表（参照用）'!AB19</f>
        <v/>
      </c>
      <c r="AC19" s="29" t="str">
        <f>'勤務表（参照用）'!AC19</f>
        <v/>
      </c>
      <c r="AD19" s="29" t="str">
        <f>'勤務表（参照用）'!AD19</f>
        <v/>
      </c>
      <c r="AE19" s="29" t="str">
        <f>'勤務表（参照用）'!AE19</f>
        <v>当</v>
      </c>
      <c r="AF19" s="29" t="str">
        <f>'勤務表（参照用）'!AF19</f>
        <v>明</v>
      </c>
      <c r="AG19" s="29" t="str">
        <f>'勤務表（参照用）'!AG19</f>
        <v>●</v>
      </c>
      <c r="AH19" s="29" t="str">
        <f>'勤務表（参照用）'!AH19</f>
        <v/>
      </c>
      <c r="AJ19" s="28"/>
      <c r="AK19" s="30"/>
    </row>
    <row r="20" spans="3:37" x14ac:dyDescent="0.2">
      <c r="C20" s="69" t="str">
        <f>'勤務表（参照用）'!C20</f>
        <v>田村 能之</v>
      </c>
      <c r="D20" s="29" t="str">
        <f>'勤務表（参照用）'!D20</f>
        <v>当</v>
      </c>
      <c r="E20" s="29" t="str">
        <f>'勤務表（参照用）'!E20</f>
        <v>明</v>
      </c>
      <c r="F20" s="29" t="str">
        <f>'勤務表（参照用）'!F20</f>
        <v>●</v>
      </c>
      <c r="G20" s="29" t="str">
        <f>'勤務表（参照用）'!G20</f>
        <v/>
      </c>
      <c r="H20" s="29" t="str">
        <f>'勤務表（参照用）'!H20</f>
        <v/>
      </c>
      <c r="I20" s="29" t="str">
        <f>'勤務表（参照用）'!I20</f>
        <v/>
      </c>
      <c r="J20" s="29" t="str">
        <f>'勤務表（参照用）'!J20</f>
        <v>／</v>
      </c>
      <c r="K20" s="29" t="str">
        <f>'勤務表（参照用）'!K20</f>
        <v>●</v>
      </c>
      <c r="L20" s="29" t="str">
        <f>'勤務表（参照用）'!L20</f>
        <v/>
      </c>
      <c r="M20" s="29" t="str">
        <f>'勤務表（参照用）'!M20</f>
        <v/>
      </c>
      <c r="N20" s="29" t="str">
        <f>'勤務表（参照用）'!N20</f>
        <v/>
      </c>
      <c r="O20" s="29" t="str">
        <f>'勤務表（参照用）'!O20</f>
        <v/>
      </c>
      <c r="P20" s="29" t="str">
        <f>'勤務表（参照用）'!P20</f>
        <v/>
      </c>
      <c r="Q20" s="29" t="str">
        <f>'勤務表（参照用）'!Q20</f>
        <v>○</v>
      </c>
      <c r="R20" s="29" t="str">
        <f>'勤務表（参照用）'!R20</f>
        <v>当</v>
      </c>
      <c r="S20" s="29" t="str">
        <f>'勤務表（参照用）'!S20</f>
        <v>明</v>
      </c>
      <c r="T20" s="29" t="str">
        <f>'勤務表（参照用）'!T20</f>
        <v>●</v>
      </c>
      <c r="U20" s="29" t="str">
        <f>'勤務表（参照用）'!U20</f>
        <v/>
      </c>
      <c r="V20" s="29" t="str">
        <f>'勤務表（参照用）'!V20</f>
        <v/>
      </c>
      <c r="W20" s="29" t="str">
        <f>'勤務表（参照用）'!W20</f>
        <v>当</v>
      </c>
      <c r="X20" s="29" t="str">
        <f>'勤務表（参照用）'!X20</f>
        <v>明</v>
      </c>
      <c r="Y20" s="29" t="str">
        <f>'勤務表（参照用）'!Y20</f>
        <v>●</v>
      </c>
      <c r="Z20" s="29" t="str">
        <f>'勤務表（参照用）'!Z20</f>
        <v/>
      </c>
      <c r="AA20" s="29" t="str">
        <f>'勤務表（参照用）'!AA20</f>
        <v/>
      </c>
      <c r="AB20" s="29" t="str">
        <f>'勤務表（参照用）'!AB20</f>
        <v/>
      </c>
      <c r="AC20" s="29" t="str">
        <f>'勤務表（参照用）'!AC20</f>
        <v/>
      </c>
      <c r="AD20" s="29" t="str">
        <f>'勤務表（参照用）'!AD20</f>
        <v/>
      </c>
      <c r="AE20" s="29" t="str">
        <f>'勤務表（参照用）'!AE20</f>
        <v>○</v>
      </c>
      <c r="AF20" s="29" t="str">
        <f>'勤務表（参照用）'!AF20</f>
        <v>●</v>
      </c>
      <c r="AG20" s="29" t="str">
        <f>'勤務表（参照用）'!AG20</f>
        <v/>
      </c>
      <c r="AH20" s="29" t="str">
        <f>'勤務表（参照用）'!AH20</f>
        <v>当</v>
      </c>
      <c r="AJ20" s="30"/>
    </row>
    <row r="21" spans="3:37" x14ac:dyDescent="0.2">
      <c r="C21" s="69" t="str">
        <f>'勤務表（参照用）'!C21</f>
        <v>庵 緋沙子</v>
      </c>
      <c r="D21" s="29" t="str">
        <f>'勤務表（参照用）'!D21</f>
        <v>●</v>
      </c>
      <c r="E21" s="29" t="str">
        <f>'勤務表（参照用）'!E21</f>
        <v/>
      </c>
      <c r="F21" s="29" t="str">
        <f>'勤務表（参照用）'!F21</f>
        <v/>
      </c>
      <c r="G21" s="29" t="str">
        <f>'勤務表（参照用）'!G21</f>
        <v/>
      </c>
      <c r="H21" s="29" t="str">
        <f>'勤務表（参照用）'!H21</f>
        <v/>
      </c>
      <c r="I21" s="29" t="str">
        <f>'勤務表（参照用）'!I21</f>
        <v/>
      </c>
      <c r="J21" s="29" t="str">
        <f>'勤務表（参照用）'!J21</f>
        <v>○</v>
      </c>
      <c r="K21" s="29" t="str">
        <f>'勤務表（参照用）'!K21</f>
        <v>当</v>
      </c>
      <c r="L21" s="29" t="str">
        <f>'勤務表（参照用）'!L21</f>
        <v>明</v>
      </c>
      <c r="M21" s="29" t="str">
        <f>'勤務表（参照用）'!M21</f>
        <v>●</v>
      </c>
      <c r="N21" s="29" t="str">
        <f>'勤務表（参照用）'!N21</f>
        <v/>
      </c>
      <c r="O21" s="29" t="str">
        <f>'勤務表（参照用）'!O21</f>
        <v/>
      </c>
      <c r="P21" s="29" t="str">
        <f>'勤務表（参照用）'!P21</f>
        <v/>
      </c>
      <c r="Q21" s="29" t="str">
        <f>'勤務表（参照用）'!Q21</f>
        <v>／</v>
      </c>
      <c r="R21" s="29" t="str">
        <f>'勤務表（参照用）'!R21</f>
        <v>●</v>
      </c>
      <c r="S21" s="29" t="str">
        <f>'勤務表（参照用）'!S21</f>
        <v/>
      </c>
      <c r="T21" s="29" t="str">
        <f>'勤務表（参照用）'!T21</f>
        <v>当</v>
      </c>
      <c r="U21" s="29" t="str">
        <f>'勤務表（参照用）'!U21</f>
        <v>明</v>
      </c>
      <c r="V21" s="29" t="str">
        <f>'勤務表（参照用）'!V21</f>
        <v/>
      </c>
      <c r="W21" s="29" t="str">
        <f>'勤務表（参照用）'!W21</f>
        <v/>
      </c>
      <c r="X21" s="29" t="str">
        <f>'勤務表（参照用）'!X21</f>
        <v>○</v>
      </c>
      <c r="Y21" s="29" t="str">
        <f>'勤務表（参照用）'!Y21</f>
        <v>●</v>
      </c>
      <c r="Z21" s="29" t="str">
        <f>'勤務表（参照用）'!Z21</f>
        <v>当</v>
      </c>
      <c r="AA21" s="29" t="str">
        <f>'勤務表（参照用）'!AA21</f>
        <v>明</v>
      </c>
      <c r="AB21" s="29" t="str">
        <f>'勤務表（参照用）'!AB21</f>
        <v/>
      </c>
      <c r="AC21" s="29" t="str">
        <f>'勤務表（参照用）'!AC21</f>
        <v/>
      </c>
      <c r="AD21" s="29" t="str">
        <f>'勤務表（参照用）'!AD21</f>
        <v>当</v>
      </c>
      <c r="AE21" s="29" t="str">
        <f>'勤務表（参照用）'!AE21</f>
        <v>明</v>
      </c>
      <c r="AF21" s="29" t="str">
        <f>'勤務表（参照用）'!AF21</f>
        <v>●</v>
      </c>
      <c r="AG21" s="29" t="str">
        <f>'勤務表（参照用）'!AG21</f>
        <v/>
      </c>
      <c r="AH21" s="29" t="str">
        <f>'勤務表（参照用）'!AH21</f>
        <v/>
      </c>
      <c r="AJ21" s="28"/>
      <c r="AK21" s="30"/>
    </row>
    <row r="22" spans="3:37" x14ac:dyDescent="0.2">
      <c r="C22" s="69" t="str">
        <f>'勤務表（参照用）'!C22</f>
        <v>冨田 紗詠子</v>
      </c>
      <c r="D22" s="29" t="s">
        <v>46</v>
      </c>
      <c r="E22" s="29" t="str">
        <f>'勤務表（参照用）'!E22</f>
        <v/>
      </c>
      <c r="F22" s="29" t="str">
        <f>'勤務表（参照用）'!F22</f>
        <v/>
      </c>
      <c r="G22" s="29" t="str">
        <f>'勤務表（参照用）'!G22</f>
        <v/>
      </c>
      <c r="H22" s="29" t="str">
        <f>'勤務表（参照用）'!H22</f>
        <v/>
      </c>
      <c r="I22" s="29" t="str">
        <f>'勤務表（参照用）'!I22</f>
        <v/>
      </c>
      <c r="J22" s="29" t="str">
        <f>'勤務表（参照用）'!J22</f>
        <v>○</v>
      </c>
      <c r="K22" s="29" t="str">
        <f>'勤務表（参照用）'!K22</f>
        <v>●</v>
      </c>
      <c r="L22" s="29" t="str">
        <f>'勤務表（参照用）'!L22</f>
        <v/>
      </c>
      <c r="M22" s="29" t="str">
        <f>'勤務表（参照用）'!M22</f>
        <v/>
      </c>
      <c r="N22" s="29" t="str">
        <f>'勤務表（参照用）'!N22</f>
        <v/>
      </c>
      <c r="O22" s="29" t="str">
        <f>'勤務表（参照用）'!O22</f>
        <v/>
      </c>
      <c r="P22" s="29" t="str">
        <f>'勤務表（参照用）'!P22</f>
        <v/>
      </c>
      <c r="Q22" s="29" t="str">
        <f>'勤務表（参照用）'!Q22</f>
        <v>○</v>
      </c>
      <c r="R22" s="29" t="str">
        <f>'勤務表（参照用）'!R22</f>
        <v>●</v>
      </c>
      <c r="S22" s="29" t="str">
        <f>'勤務表（参照用）'!S22</f>
        <v/>
      </c>
      <c r="T22" s="29" t="str">
        <f>'勤務表（参照用）'!T22</f>
        <v/>
      </c>
      <c r="U22" s="29" t="str">
        <f>'勤務表（参照用）'!U22</f>
        <v/>
      </c>
      <c r="V22" s="29" t="str">
        <f>'勤務表（参照用）'!V22</f>
        <v/>
      </c>
      <c r="W22" s="29" t="str">
        <f>'勤務表（参照用）'!W22</f>
        <v/>
      </c>
      <c r="X22" s="29" t="str">
        <f>'勤務表（参照用）'!X22</f>
        <v>○</v>
      </c>
      <c r="Y22" s="29" t="str">
        <f>'勤務表（参照用）'!Y22</f>
        <v>●</v>
      </c>
      <c r="Z22" s="29" t="str">
        <f>'勤務表（参照用）'!Z22</f>
        <v/>
      </c>
      <c r="AA22" s="29" t="str">
        <f>'勤務表（参照用）'!AA22</f>
        <v/>
      </c>
      <c r="AB22" s="29" t="str">
        <f>'勤務表（参照用）'!AB22</f>
        <v/>
      </c>
      <c r="AC22" s="29" t="str">
        <f>'勤務表（参照用）'!AC22</f>
        <v/>
      </c>
      <c r="AD22" s="29" t="str">
        <f>'勤務表（参照用）'!AD22</f>
        <v/>
      </c>
      <c r="AE22" s="29" t="str">
        <f>'勤務表（参照用）'!AE22</f>
        <v>○</v>
      </c>
      <c r="AF22" s="29" t="str">
        <f>'勤務表（参照用）'!AF22</f>
        <v>●</v>
      </c>
      <c r="AG22" s="29" t="str">
        <f>'勤務表（参照用）'!AG22</f>
        <v/>
      </c>
      <c r="AH22" s="29" t="str">
        <f>'勤務表（参照用）'!AH22</f>
        <v/>
      </c>
      <c r="AJ22" s="30"/>
    </row>
    <row r="23" spans="3:37" x14ac:dyDescent="0.2">
      <c r="C23" s="69" t="str">
        <f>'勤務表（参照用）'!C23</f>
        <v>黒田 奈菜子</v>
      </c>
      <c r="D23" s="29" t="str">
        <f>'勤務表（参照用）'!D23</f>
        <v>●</v>
      </c>
      <c r="E23" s="29" t="str">
        <f>'勤務表（参照用）'!E23</f>
        <v/>
      </c>
      <c r="F23" s="29" t="str">
        <f>'勤務表（参照用）'!F23</f>
        <v/>
      </c>
      <c r="G23" s="29" t="str">
        <f>'勤務表（参照用）'!G23</f>
        <v/>
      </c>
      <c r="H23" s="29" t="str">
        <f>'勤務表（参照用）'!H23</f>
        <v/>
      </c>
      <c r="I23" s="29" t="str">
        <f>'勤務表（参照用）'!I23</f>
        <v/>
      </c>
      <c r="J23" s="29" t="str">
        <f>'勤務表（参照用）'!J23</f>
        <v>○</v>
      </c>
      <c r="K23" s="29" t="str">
        <f>'勤務表（参照用）'!K23</f>
        <v>●</v>
      </c>
      <c r="L23" s="29" t="str">
        <f>'勤務表（参照用）'!L23</f>
        <v/>
      </c>
      <c r="M23" s="29" t="str">
        <f>'勤務表（参照用）'!M23</f>
        <v/>
      </c>
      <c r="N23" s="29" t="str">
        <f>'勤務表（参照用）'!N23</f>
        <v/>
      </c>
      <c r="O23" s="29" t="str">
        <f>'勤務表（参照用）'!O23</f>
        <v/>
      </c>
      <c r="P23" s="29" t="str">
        <f>'勤務表（参照用）'!P23</f>
        <v/>
      </c>
      <c r="Q23" s="29" t="str">
        <f>'勤務表（参照用）'!Q23</f>
        <v>○</v>
      </c>
      <c r="R23" s="29" t="str">
        <f>'勤務表（参照用）'!R23</f>
        <v>●</v>
      </c>
      <c r="S23" s="29" t="str">
        <f>'勤務表（参照用）'!S23</f>
        <v/>
      </c>
      <c r="T23" s="29" t="str">
        <f>'勤務表（参照用）'!T23</f>
        <v/>
      </c>
      <c r="U23" s="29" t="str">
        <f>'勤務表（参照用）'!U23</f>
        <v/>
      </c>
      <c r="V23" s="29" t="str">
        <f>'勤務表（参照用）'!V23</f>
        <v/>
      </c>
      <c r="W23" s="29" t="str">
        <f>'勤務表（参照用）'!W23</f>
        <v/>
      </c>
      <c r="X23" s="29" t="str">
        <f>'勤務表（参照用）'!X23</f>
        <v>○</v>
      </c>
      <c r="Y23" s="29" t="str">
        <f>'勤務表（参照用）'!Y23</f>
        <v>●</v>
      </c>
      <c r="Z23" s="29" t="str">
        <f>'勤務表（参照用）'!Z23</f>
        <v/>
      </c>
      <c r="AA23" s="29" t="str">
        <f>'勤務表（参照用）'!AA23</f>
        <v/>
      </c>
      <c r="AB23" s="29" t="str">
        <f>'勤務表（参照用）'!AB23</f>
        <v/>
      </c>
      <c r="AC23" s="29" t="str">
        <f>'勤務表（参照用）'!AC23</f>
        <v/>
      </c>
      <c r="AD23" s="29" t="str">
        <f>'勤務表（参照用）'!AD23</f>
        <v/>
      </c>
      <c r="AE23" s="29" t="str">
        <f>'勤務表（参照用）'!AE23</f>
        <v>○</v>
      </c>
      <c r="AF23" s="29" t="str">
        <f>'勤務表（参照用）'!AF23</f>
        <v>●</v>
      </c>
      <c r="AG23" s="29" t="str">
        <f>'勤務表（参照用）'!AG23</f>
        <v/>
      </c>
      <c r="AH23" s="29" t="str">
        <f>'勤務表（参照用）'!AH23</f>
        <v/>
      </c>
      <c r="AJ23" s="28"/>
      <c r="AK23" s="30"/>
    </row>
    <row r="24" spans="3:37" x14ac:dyDescent="0.2">
      <c r="C24" s="69" t="str">
        <f>'勤務表（参照用）'!C24</f>
        <v>長迫 千寛</v>
      </c>
      <c r="D24" s="29" t="str">
        <f>'勤務表（参照用）'!D24</f>
        <v>●</v>
      </c>
      <c r="E24" s="29" t="str">
        <f>'勤務表（参照用）'!E24</f>
        <v/>
      </c>
      <c r="F24" s="29" t="str">
        <f>'勤務表（参照用）'!F24</f>
        <v/>
      </c>
      <c r="G24" s="29" t="str">
        <f>'勤務表（参照用）'!G24</f>
        <v/>
      </c>
      <c r="H24" s="29" t="str">
        <f>'勤務表（参照用）'!H24</f>
        <v/>
      </c>
      <c r="I24" s="29" t="str">
        <f>'勤務表（参照用）'!I24</f>
        <v/>
      </c>
      <c r="J24" s="29" t="str">
        <f>'勤務表（参照用）'!J24</f>
        <v>○</v>
      </c>
      <c r="K24" s="29" t="str">
        <f>'勤務表（参照用）'!K24</f>
        <v>●</v>
      </c>
      <c r="L24" s="29" t="str">
        <f>'勤務表（参照用）'!L24</f>
        <v/>
      </c>
      <c r="M24" s="29" t="str">
        <f>'勤務表（参照用）'!M24</f>
        <v/>
      </c>
      <c r="N24" s="29" t="str">
        <f>'勤務表（参照用）'!N24</f>
        <v/>
      </c>
      <c r="O24" s="29" t="str">
        <f>'勤務表（参照用）'!O24</f>
        <v/>
      </c>
      <c r="P24" s="29" t="str">
        <f>'勤務表（参照用）'!P24</f>
        <v/>
      </c>
      <c r="Q24" s="29" t="str">
        <f>'勤務表（参照用）'!Q24</f>
        <v>○</v>
      </c>
      <c r="R24" s="29" t="str">
        <f>'勤務表（参照用）'!R24</f>
        <v>●</v>
      </c>
      <c r="S24" s="29" t="str">
        <f>'勤務表（参照用）'!S24</f>
        <v/>
      </c>
      <c r="T24" s="29" t="str">
        <f>'勤務表（参照用）'!T24</f>
        <v/>
      </c>
      <c r="U24" s="29" t="str">
        <f>'勤務表（参照用）'!U24</f>
        <v/>
      </c>
      <c r="V24" s="29" t="str">
        <f>'勤務表（参照用）'!V24</f>
        <v/>
      </c>
      <c r="W24" s="29" t="str">
        <f>'勤務表（参照用）'!W24</f>
        <v/>
      </c>
      <c r="X24" s="29" t="str">
        <f>'勤務表（参照用）'!X24</f>
        <v>○</v>
      </c>
      <c r="Y24" s="29" t="str">
        <f>'勤務表（参照用）'!Y24</f>
        <v>●</v>
      </c>
      <c r="Z24" s="29" t="str">
        <f>'勤務表（参照用）'!Z24</f>
        <v/>
      </c>
      <c r="AA24" s="29" t="str">
        <f>'勤務表（参照用）'!AA24</f>
        <v/>
      </c>
      <c r="AB24" s="29" t="str">
        <f>'勤務表（参照用）'!AB24</f>
        <v/>
      </c>
      <c r="AC24" s="29" t="str">
        <f>'勤務表（参照用）'!AC24</f>
        <v/>
      </c>
      <c r="AD24" s="29" t="str">
        <f>'勤務表（参照用）'!AD24</f>
        <v/>
      </c>
      <c r="AE24" s="29" t="str">
        <f>'勤務表（参照用）'!AE24</f>
        <v>○</v>
      </c>
      <c r="AF24" s="29" t="str">
        <f>'勤務表（参照用）'!AF24</f>
        <v>●</v>
      </c>
      <c r="AG24" s="29" t="str">
        <f>'勤務表（参照用）'!AG24</f>
        <v/>
      </c>
      <c r="AH24" s="29" t="str">
        <f>'勤務表（参照用）'!AH24</f>
        <v/>
      </c>
      <c r="AJ24" s="30"/>
    </row>
    <row r="25" spans="3:37" x14ac:dyDescent="0.2">
      <c r="C25" s="69" t="e">
        <f>'勤務表（参照用）'!C25</f>
        <v>#REF!</v>
      </c>
      <c r="D25" s="29" t="str">
        <f>'勤務表（参照用）'!D25</f>
        <v>●</v>
      </c>
      <c r="E25" s="29" t="str">
        <f>'勤務表（参照用）'!E25</f>
        <v/>
      </c>
      <c r="F25" s="29" t="str">
        <f>'勤務表（参照用）'!F25</f>
        <v/>
      </c>
      <c r="G25" s="29" t="str">
        <f>'勤務表（参照用）'!G25</f>
        <v/>
      </c>
      <c r="H25" s="29" t="str">
        <f>'勤務表（参照用）'!H25</f>
        <v/>
      </c>
      <c r="I25" s="29" t="str">
        <f>'勤務表（参照用）'!I25</f>
        <v/>
      </c>
      <c r="J25" s="29" t="str">
        <f>'勤務表（参照用）'!J25</f>
        <v>○</v>
      </c>
      <c r="K25" s="29" t="str">
        <f>'勤務表（参照用）'!K25</f>
        <v>●</v>
      </c>
      <c r="L25" s="29" t="str">
        <f>'勤務表（参照用）'!L25</f>
        <v/>
      </c>
      <c r="M25" s="29" t="str">
        <f>'勤務表（参照用）'!M25</f>
        <v/>
      </c>
      <c r="N25" s="29" t="str">
        <f>'勤務表（参照用）'!N25</f>
        <v/>
      </c>
      <c r="O25" s="29" t="str">
        <f>'勤務表（参照用）'!O25</f>
        <v/>
      </c>
      <c r="P25" s="29" t="str">
        <f>'勤務表（参照用）'!P25</f>
        <v/>
      </c>
      <c r="Q25" s="29" t="str">
        <f>'勤務表（参照用）'!Q25</f>
        <v>○</v>
      </c>
      <c r="R25" s="29" t="str">
        <f>'勤務表（参照用）'!R25</f>
        <v>●</v>
      </c>
      <c r="S25" s="29" t="str">
        <f>'勤務表（参照用）'!S25</f>
        <v/>
      </c>
      <c r="T25" s="29" t="str">
        <f>'勤務表（参照用）'!T25</f>
        <v/>
      </c>
      <c r="U25" s="29" t="str">
        <f>'勤務表（参照用）'!U25</f>
        <v/>
      </c>
      <c r="V25" s="29" t="str">
        <f>'勤務表（参照用）'!V25</f>
        <v/>
      </c>
      <c r="W25" s="29" t="str">
        <f>'勤務表（参照用）'!W25</f>
        <v/>
      </c>
      <c r="X25" s="29" t="str">
        <f>'勤務表（参照用）'!X25</f>
        <v>○</v>
      </c>
      <c r="Y25" s="29" t="str">
        <f>'勤務表（参照用）'!Y25</f>
        <v>●</v>
      </c>
      <c r="Z25" s="29" t="str">
        <f>'勤務表（参照用）'!Z25</f>
        <v/>
      </c>
      <c r="AA25" s="29" t="str">
        <f>'勤務表（参照用）'!AA25</f>
        <v/>
      </c>
      <c r="AB25" s="29" t="str">
        <f>'勤務表（参照用）'!AB25</f>
        <v/>
      </c>
      <c r="AC25" s="29" t="str">
        <f>'勤務表（参照用）'!AC25</f>
        <v/>
      </c>
      <c r="AD25" s="29" t="str">
        <f>'勤務表（参照用）'!AD25</f>
        <v/>
      </c>
      <c r="AE25" s="29" t="str">
        <f>'勤務表（参照用）'!AE25</f>
        <v>○</v>
      </c>
      <c r="AF25" s="29" t="str">
        <f>'勤務表（参照用）'!AF25</f>
        <v>●</v>
      </c>
      <c r="AG25" s="29" t="str">
        <f>'勤務表（参照用）'!AG25</f>
        <v/>
      </c>
      <c r="AH25" s="29" t="str">
        <f>'勤務表（参照用）'!AH25</f>
        <v/>
      </c>
      <c r="AJ25" s="28"/>
      <c r="AK25" s="30"/>
    </row>
    <row r="26" spans="3:37" x14ac:dyDescent="0.2">
      <c r="C26" s="69" t="str">
        <f>'勤務表（参照用）'!C26</f>
        <v>齊藤 久紘</v>
      </c>
      <c r="D26" s="29" t="str">
        <f>'勤務表（参照用）'!D26</f>
        <v>●</v>
      </c>
      <c r="E26" s="29" t="str">
        <f>'勤務表（参照用）'!E26</f>
        <v/>
      </c>
      <c r="F26" s="29" t="str">
        <f>'勤務表（参照用）'!F26</f>
        <v/>
      </c>
      <c r="G26" s="29" t="str">
        <f>'勤務表（参照用）'!G26</f>
        <v/>
      </c>
      <c r="H26" s="29" t="str">
        <f>'勤務表（参照用）'!H26</f>
        <v/>
      </c>
      <c r="I26" s="29" t="str">
        <f>'勤務表（参照用）'!I26</f>
        <v/>
      </c>
      <c r="J26" s="29" t="str">
        <f>'勤務表（参照用）'!J26</f>
        <v>○</v>
      </c>
      <c r="K26" s="29" t="str">
        <f>'勤務表（参照用）'!K26</f>
        <v>●</v>
      </c>
      <c r="L26" s="29" t="str">
        <f>'勤務表（参照用）'!L26</f>
        <v/>
      </c>
      <c r="M26" s="29" t="str">
        <f>'勤務表（参照用）'!M26</f>
        <v/>
      </c>
      <c r="N26" s="29" t="str">
        <f>'勤務表（参照用）'!N26</f>
        <v/>
      </c>
      <c r="O26" s="29" t="str">
        <f>'勤務表（参照用）'!O26</f>
        <v/>
      </c>
      <c r="P26" s="29" t="str">
        <f>'勤務表（参照用）'!P26</f>
        <v/>
      </c>
      <c r="Q26" s="29" t="str">
        <f>'勤務表（参照用）'!Q26</f>
        <v>／</v>
      </c>
      <c r="R26" s="29" t="str">
        <f>'勤務表（参照用）'!R26</f>
        <v>●</v>
      </c>
      <c r="S26" s="29" t="str">
        <f>'勤務表（参照用）'!S26</f>
        <v/>
      </c>
      <c r="T26" s="29" t="str">
        <f>'勤務表（参照用）'!T26</f>
        <v/>
      </c>
      <c r="U26" s="29" t="str">
        <f>'勤務表（参照用）'!U26</f>
        <v/>
      </c>
      <c r="V26" s="29" t="str">
        <f>'勤務表（参照用）'!V26</f>
        <v/>
      </c>
      <c r="W26" s="29" t="str">
        <f>'勤務表（参照用）'!W26</f>
        <v/>
      </c>
      <c r="X26" s="29" t="str">
        <f>'勤務表（参照用）'!X26</f>
        <v>○</v>
      </c>
      <c r="Y26" s="29" t="str">
        <f>'勤務表（参照用）'!Y26</f>
        <v>●</v>
      </c>
      <c r="Z26" s="29" t="str">
        <f>'勤務表（参照用）'!Z26</f>
        <v/>
      </c>
      <c r="AA26" s="29" t="str">
        <f>'勤務表（参照用）'!AA26</f>
        <v/>
      </c>
      <c r="AB26" s="29" t="str">
        <f>'勤務表（参照用）'!AB26</f>
        <v/>
      </c>
      <c r="AC26" s="29" t="str">
        <f>'勤務表（参照用）'!AC26</f>
        <v/>
      </c>
      <c r="AD26" s="29" t="str">
        <f>'勤務表（参照用）'!AD26</f>
        <v/>
      </c>
      <c r="AE26" s="29" t="str">
        <f>'勤務表（参照用）'!AE26</f>
        <v>／</v>
      </c>
      <c r="AF26" s="29" t="str">
        <f>'勤務表（参照用）'!AF26</f>
        <v>●</v>
      </c>
      <c r="AG26" s="29" t="str">
        <f>'勤務表（参照用）'!AG26</f>
        <v/>
      </c>
      <c r="AH26" s="29" t="str">
        <f>'勤務表（参照用）'!AH26</f>
        <v/>
      </c>
      <c r="AJ26" s="30"/>
    </row>
    <row r="27" spans="3:37" x14ac:dyDescent="0.2">
      <c r="C27" s="69" t="str">
        <f>'勤務表（参照用）'!C27</f>
        <v>佐藤 恵梨子</v>
      </c>
      <c r="D27" s="29" t="str">
        <f>'勤務表（参照用）'!D27</f>
        <v>●</v>
      </c>
      <c r="E27" s="29" t="str">
        <f>'勤務表（参照用）'!E27</f>
        <v>当</v>
      </c>
      <c r="F27" s="29" t="str">
        <f>'勤務表（参照用）'!F27</f>
        <v>明</v>
      </c>
      <c r="G27" s="29" t="str">
        <f>'勤務表（参照用）'!G27</f>
        <v/>
      </c>
      <c r="H27" s="29" t="str">
        <f>'勤務表（参照用）'!H27</f>
        <v/>
      </c>
      <c r="I27" s="29" t="str">
        <f>'勤務表（参照用）'!I27</f>
        <v/>
      </c>
      <c r="J27" s="29" t="str">
        <f>'勤務表（参照用）'!J27</f>
        <v>／</v>
      </c>
      <c r="K27" s="29" t="str">
        <f>'勤務表（参照用）'!K27</f>
        <v>●</v>
      </c>
      <c r="L27" s="29" t="str">
        <f>'勤務表（参照用）'!L27</f>
        <v/>
      </c>
      <c r="M27" s="29" t="str">
        <f>'勤務表（参照用）'!M27</f>
        <v/>
      </c>
      <c r="N27" s="29" t="str">
        <f>'勤務表（参照用）'!N27</f>
        <v>当</v>
      </c>
      <c r="O27" s="29" t="str">
        <f>'勤務表（参照用）'!O27</f>
        <v>明</v>
      </c>
      <c r="P27" s="29" t="str">
        <f>'勤務表（参照用）'!P27</f>
        <v/>
      </c>
      <c r="Q27" s="29" t="str">
        <f>'勤務表（参照用）'!Q27</f>
        <v>○</v>
      </c>
      <c r="R27" s="29" t="str">
        <f>'勤務表（参照用）'!R27</f>
        <v>●</v>
      </c>
      <c r="S27" s="29" t="str">
        <f>'勤務表（参照用）'!S27</f>
        <v/>
      </c>
      <c r="T27" s="29" t="str">
        <f>'勤務表（参照用）'!T27</f>
        <v/>
      </c>
      <c r="U27" s="29" t="str">
        <f>'勤務表（参照用）'!U27</f>
        <v/>
      </c>
      <c r="V27" s="29" t="str">
        <f>'勤務表（参照用）'!V27</f>
        <v/>
      </c>
      <c r="W27" s="29" t="str">
        <f>'勤務表（参照用）'!W27</f>
        <v/>
      </c>
      <c r="X27" s="29" t="str">
        <f>'勤務表（参照用）'!X27</f>
        <v>／</v>
      </c>
      <c r="Y27" s="29" t="str">
        <f>'勤務表（参照用）'!Y27</f>
        <v>●</v>
      </c>
      <c r="Z27" s="29" t="str">
        <f>'勤務表（参照用）'!Z27</f>
        <v/>
      </c>
      <c r="AA27" s="29" t="str">
        <f>'勤務表（参照用）'!AA27</f>
        <v>当</v>
      </c>
      <c r="AB27" s="29" t="str">
        <f>'勤務表（参照用）'!AB27</f>
        <v>明</v>
      </c>
      <c r="AC27" s="29" t="str">
        <f>'勤務表（参照用）'!AC27</f>
        <v/>
      </c>
      <c r="AD27" s="29" t="str">
        <f>'勤務表（参照用）'!AD27</f>
        <v/>
      </c>
      <c r="AE27" s="29" t="str">
        <f>'勤務表（参照用）'!AE27</f>
        <v>○</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v>
      </c>
      <c r="E28" s="29" t="str">
        <f>'勤務表（参照用）'!E28</f>
        <v/>
      </c>
      <c r="F28" s="29" t="str">
        <f>'勤務表（参照用）'!F28</f>
        <v/>
      </c>
      <c r="G28" s="29" t="str">
        <f>'勤務表（参照用）'!G28</f>
        <v/>
      </c>
      <c r="H28" s="29" t="str">
        <f>'勤務表（参照用）'!H28</f>
        <v>当</v>
      </c>
      <c r="I28" s="29" t="str">
        <f>'勤務表（参照用）'!I28</f>
        <v>明</v>
      </c>
      <c r="J28" s="29" t="str">
        <f>'勤務表（参照用）'!J28</f>
        <v>○</v>
      </c>
      <c r="K28" s="29" t="str">
        <f>'勤務表（参照用）'!K28</f>
        <v>●</v>
      </c>
      <c r="L28" s="29" t="str">
        <f>'勤務表（参照用）'!L28</f>
        <v/>
      </c>
      <c r="M28" s="29" t="str">
        <f>'勤務表（参照用）'!M28</f>
        <v/>
      </c>
      <c r="N28" s="29" t="str">
        <f>'勤務表（参照用）'!N28</f>
        <v/>
      </c>
      <c r="O28" s="29" t="str">
        <f>'勤務表（参照用）'!O28</f>
        <v/>
      </c>
      <c r="P28" s="29" t="str">
        <f>'勤務表（参照用）'!P28</f>
        <v/>
      </c>
      <c r="Q28" s="29" t="str">
        <f>'勤務表（参照用）'!Q28</f>
        <v>当</v>
      </c>
      <c r="R28" s="29" t="str">
        <f>'勤務表（参照用）'!R28</f>
        <v>明</v>
      </c>
      <c r="S28" s="29" t="str">
        <f>'勤務表（参照用）'!S28</f>
        <v>●</v>
      </c>
      <c r="T28" s="29" t="str">
        <f>'勤務表（参照用）'!T28</f>
        <v/>
      </c>
      <c r="U28" s="29" t="str">
        <f>'勤務表（参照用）'!U28</f>
        <v/>
      </c>
      <c r="V28" s="29" t="str">
        <f>'勤務表（参照用）'!V28</f>
        <v>当</v>
      </c>
      <c r="W28" s="29" t="str">
        <f>'勤務表（参照用）'!W28</f>
        <v>明</v>
      </c>
      <c r="X28" s="29" t="str">
        <f>'勤務表（参照用）'!X28</f>
        <v>○</v>
      </c>
      <c r="Y28" s="29" t="str">
        <f>'勤務表（参照用）'!Y28</f>
        <v>●</v>
      </c>
      <c r="Z28" s="29" t="str">
        <f>'勤務表（参照用）'!Z28</f>
        <v/>
      </c>
      <c r="AA28" s="29" t="str">
        <f>'勤務表（参照用）'!AA28</f>
        <v/>
      </c>
      <c r="AB28" s="29" t="str">
        <f>'勤務表（参照用）'!AB28</f>
        <v/>
      </c>
      <c r="AC28" s="29" t="str">
        <f>'勤務表（参照用）'!AC28</f>
        <v/>
      </c>
      <c r="AD28" s="29" t="str">
        <f>'勤務表（参照用）'!AD28</f>
        <v/>
      </c>
      <c r="AE28" s="29" t="str">
        <f>'勤務表（参照用）'!AE28</f>
        <v>／</v>
      </c>
      <c r="AF28" s="29" t="str">
        <f>'勤務表（参照用）'!AF28</f>
        <v>●</v>
      </c>
      <c r="AG28" s="29" t="str">
        <f>'勤務表（参照用）'!AG28</f>
        <v/>
      </c>
      <c r="AH28" s="29" t="str">
        <f>'勤務表（参照用）'!AH28</f>
        <v/>
      </c>
      <c r="AJ28" s="30"/>
    </row>
    <row r="29" spans="3:37" x14ac:dyDescent="0.2">
      <c r="C29" s="69" t="str">
        <f>'勤務表（参照用）'!C29</f>
        <v>小川 穂波</v>
      </c>
      <c r="D29" s="29" t="str">
        <f>'勤務表（参照用）'!D29</f>
        <v>●</v>
      </c>
      <c r="E29" s="29" t="str">
        <f>'勤務表（参照用）'!E29</f>
        <v/>
      </c>
      <c r="F29" s="29" t="str">
        <f>'勤務表（参照用）'!F29</f>
        <v>当</v>
      </c>
      <c r="G29" s="29" t="str">
        <f>'勤務表（参照用）'!G29</f>
        <v>明</v>
      </c>
      <c r="H29" s="29" t="str">
        <f>'勤務表（参照用）'!H29</f>
        <v/>
      </c>
      <c r="I29" s="29" t="str">
        <f>'勤務表（参照用）'!I29</f>
        <v/>
      </c>
      <c r="J29" s="29" t="str">
        <f>'勤務表（参照用）'!J29</f>
        <v>／</v>
      </c>
      <c r="K29" s="29" t="str">
        <f>'勤務表（参照用）'!K29</f>
        <v>●</v>
      </c>
      <c r="L29" s="29" t="str">
        <f>'勤務表（参照用）'!L29</f>
        <v/>
      </c>
      <c r="M29" s="29" t="str">
        <f>'勤務表（参照用）'!M29</f>
        <v/>
      </c>
      <c r="N29" s="29" t="str">
        <f>'勤務表（参照用）'!N29</f>
        <v/>
      </c>
      <c r="O29" s="29" t="str">
        <f>'勤務表（参照用）'!O29</f>
        <v/>
      </c>
      <c r="P29" s="29" t="str">
        <f>'勤務表（参照用）'!P29</f>
        <v/>
      </c>
      <c r="Q29" s="29" t="str">
        <f>'勤務表（参照用）'!Q29</f>
        <v>○</v>
      </c>
      <c r="R29" s="29" t="str">
        <f>'勤務表（参照用）'!R29</f>
        <v>●</v>
      </c>
      <c r="S29" s="29" t="str">
        <f>'勤務表（参照用）'!S29</f>
        <v/>
      </c>
      <c r="T29" s="29" t="str">
        <f>'勤務表（参照用）'!T29</f>
        <v/>
      </c>
      <c r="U29" s="29" t="str">
        <f>'勤務表（参照用）'!U29</f>
        <v>当</v>
      </c>
      <c r="V29" s="29" t="str">
        <f>'勤務表（参照用）'!V29</f>
        <v>明</v>
      </c>
      <c r="W29" s="29" t="str">
        <f>'勤務表（参照用）'!W29</f>
        <v/>
      </c>
      <c r="X29" s="29" t="str">
        <f>'勤務表（参照用）'!X29</f>
        <v>／</v>
      </c>
      <c r="Y29" s="29" t="str">
        <f>'勤務表（参照用）'!Y29</f>
        <v>●</v>
      </c>
      <c r="Z29" s="29" t="str">
        <f>'勤務表（参照用）'!Z29</f>
        <v/>
      </c>
      <c r="AA29" s="29" t="str">
        <f>'勤務表（参照用）'!AA29</f>
        <v/>
      </c>
      <c r="AB29" s="29" t="str">
        <f>'勤務表（参照用）'!AB29</f>
        <v/>
      </c>
      <c r="AC29" s="29" t="str">
        <f>'勤務表（参照用）'!AC29</f>
        <v/>
      </c>
      <c r="AD29" s="29" t="str">
        <f>'勤務表（参照用）'!AD29</f>
        <v/>
      </c>
      <c r="AE29" s="29" t="str">
        <f>'勤務表（参照用）'!AE29</f>
        <v>○</v>
      </c>
      <c r="AF29" s="29" t="str">
        <f>'勤務表（参照用）'!AF29</f>
        <v>当</v>
      </c>
      <c r="AG29" s="29" t="str">
        <f>'勤務表（参照用）'!AG29</f>
        <v>明</v>
      </c>
      <c r="AH29" s="29" t="str">
        <f>'勤務表（参照用）'!AH29</f>
        <v>●</v>
      </c>
      <c r="AJ29" s="28"/>
      <c r="AK29" s="30"/>
    </row>
    <row r="30" spans="3:37" x14ac:dyDescent="0.2">
      <c r="C30" s="69" t="str">
        <f>'勤務表（参照用）'!C30</f>
        <v>薬司 康平</v>
      </c>
      <c r="D30" s="29" t="str">
        <f>'勤務表（参照用）'!D30</f>
        <v>●</v>
      </c>
      <c r="E30" s="29" t="str">
        <f>'勤務表（参照用）'!E30</f>
        <v/>
      </c>
      <c r="F30" s="29" t="str">
        <f>'勤務表（参照用）'!F30</f>
        <v/>
      </c>
      <c r="G30" s="29" t="str">
        <f>'勤務表（参照用）'!G30</f>
        <v/>
      </c>
      <c r="H30" s="29" t="str">
        <f>'勤務表（参照用）'!H30</f>
        <v/>
      </c>
      <c r="I30" s="29" t="str">
        <f>'勤務表（参照用）'!I30</f>
        <v/>
      </c>
      <c r="J30" s="29" t="str">
        <f>'勤務表（参照用）'!J30</f>
        <v>○</v>
      </c>
      <c r="K30" s="29" t="str">
        <f>'勤務表（参照用）'!K30</f>
        <v>●</v>
      </c>
      <c r="L30" s="29" t="str">
        <f>'勤務表（参照用）'!L30</f>
        <v>当</v>
      </c>
      <c r="M30" s="29" t="str">
        <f>'勤務表（参照用）'!M30</f>
        <v>明</v>
      </c>
      <c r="N30" s="29" t="str">
        <f>'勤務表（参照用）'!N30</f>
        <v/>
      </c>
      <c r="O30" s="29" t="str">
        <f>'勤務表（参照用）'!O30</f>
        <v/>
      </c>
      <c r="P30" s="29" t="str">
        <f>'勤務表（参照用）'!P30</f>
        <v/>
      </c>
      <c r="Q30" s="29" t="str">
        <f>'勤務表（参照用）'!Q30</f>
        <v>／</v>
      </c>
      <c r="R30" s="29" t="str">
        <f>'勤務表（参照用）'!R30</f>
        <v>●</v>
      </c>
      <c r="S30" s="29" t="str">
        <f>'勤務表（参照用）'!S30</f>
        <v/>
      </c>
      <c r="T30" s="29" t="str">
        <f>'勤務表（参照用）'!T30</f>
        <v/>
      </c>
      <c r="U30" s="29" t="str">
        <f>'勤務表（参照用）'!U30</f>
        <v/>
      </c>
      <c r="V30" s="29" t="str">
        <f>'勤務表（参照用）'!V30</f>
        <v/>
      </c>
      <c r="W30" s="29" t="str">
        <f>'勤務表（参照用）'!W30</f>
        <v/>
      </c>
      <c r="X30" s="29" t="str">
        <f>'勤務表（参照用）'!X30</f>
        <v>○</v>
      </c>
      <c r="Y30" s="29" t="str">
        <f>'勤務表（参照用）'!Y30</f>
        <v>●</v>
      </c>
      <c r="Z30" s="29" t="str">
        <f>'勤務表（参照用）'!Z30</f>
        <v/>
      </c>
      <c r="AA30" s="29" t="str">
        <f>'勤務表（参照用）'!AA30</f>
        <v>当</v>
      </c>
      <c r="AB30" s="29" t="str">
        <f>'勤務表（参照用）'!AB30</f>
        <v>明</v>
      </c>
      <c r="AC30" s="29" t="str">
        <f>'勤務表（参照用）'!AC30</f>
        <v/>
      </c>
      <c r="AD30" s="29" t="str">
        <f>'勤務表（参照用）'!AD30</f>
        <v/>
      </c>
      <c r="AE30" s="29" t="str">
        <f>'勤務表（参照用）'!AE30</f>
        <v>／</v>
      </c>
      <c r="AF30" s="29" t="str">
        <f>'勤務表（参照用）'!AF30</f>
        <v>●</v>
      </c>
      <c r="AG30" s="29" t="str">
        <f>'勤務表（参照用）'!AG30</f>
        <v/>
      </c>
      <c r="AH30" s="29" t="str">
        <f>'勤務表（参照用）'!AH30</f>
        <v/>
      </c>
      <c r="AJ30" s="30"/>
    </row>
    <row r="31" spans="3:37" x14ac:dyDescent="0.2">
      <c r="C31" s="69" t="str">
        <f>'勤務表（参照用）'!C31</f>
        <v>西郡 健太</v>
      </c>
      <c r="D31" s="29" t="str">
        <f>'勤務表（参照用）'!D31</f>
        <v>●</v>
      </c>
      <c r="E31" s="29" t="str">
        <f>'勤務表（参照用）'!E31</f>
        <v/>
      </c>
      <c r="F31" s="29" t="str">
        <f>'勤務表（参照用）'!F31</f>
        <v/>
      </c>
      <c r="G31" s="29" t="str">
        <f>'勤務表（参照用）'!G31</f>
        <v/>
      </c>
      <c r="H31" s="29" t="str">
        <f>'勤務表（参照用）'!H31</f>
        <v/>
      </c>
      <c r="I31" s="29" t="str">
        <f>'勤務表（参照用）'!I31</f>
        <v>当</v>
      </c>
      <c r="J31" s="29" t="str">
        <f>'勤務表（参照用）'!J31</f>
        <v>明</v>
      </c>
      <c r="K31" s="29" t="str">
        <f>'勤務表（参照用）'!K31</f>
        <v>●</v>
      </c>
      <c r="L31" s="29" t="str">
        <f>'勤務表（参照用）'!L31</f>
        <v/>
      </c>
      <c r="M31" s="29" t="str">
        <f>'勤務表（参照用）'!M31</f>
        <v>当</v>
      </c>
      <c r="N31" s="29" t="str">
        <f>'勤務表（参照用）'!N31</f>
        <v>明</v>
      </c>
      <c r="O31" s="29" t="str">
        <f>'勤務表（参照用）'!O31</f>
        <v/>
      </c>
      <c r="P31" s="29" t="str">
        <f>'勤務表（参照用）'!P31</f>
        <v/>
      </c>
      <c r="Q31" s="29" t="str">
        <f>'勤務表（参照用）'!Q31</f>
        <v>○</v>
      </c>
      <c r="R31" s="29" t="str">
        <f>'勤務表（参照用）'!R31</f>
        <v>●</v>
      </c>
      <c r="S31" s="29" t="str">
        <f>'勤務表（参照用）'!S31</f>
        <v/>
      </c>
      <c r="T31" s="29" t="str">
        <f>'勤務表（参照用）'!T31</f>
        <v/>
      </c>
      <c r="U31" s="29" t="str">
        <f>'勤務表（参照用）'!U31</f>
        <v/>
      </c>
      <c r="V31" s="29" t="str">
        <f>'勤務表（参照用）'!V31</f>
        <v/>
      </c>
      <c r="W31" s="29" t="str">
        <f>'勤務表（参照用）'!W31</f>
        <v/>
      </c>
      <c r="X31" s="29" t="str">
        <f>'勤務表（参照用）'!X31</f>
        <v>当</v>
      </c>
      <c r="Y31" s="29" t="str">
        <f>'勤務表（参照用）'!Y31</f>
        <v>明</v>
      </c>
      <c r="Z31" s="29" t="str">
        <f>'勤務表（参照用）'!Z31</f>
        <v>●</v>
      </c>
      <c r="AA31" s="29" t="str">
        <f>'勤務表（参照用）'!AA31</f>
        <v/>
      </c>
      <c r="AB31" s="29" t="str">
        <f>'勤務表（参照用）'!AB31</f>
        <v/>
      </c>
      <c r="AC31" s="29" t="str">
        <f>'勤務表（参照用）'!AC31</f>
        <v/>
      </c>
      <c r="AD31" s="29" t="str">
        <f>'勤務表（参照用）'!AD31</f>
        <v/>
      </c>
      <c r="AE31" s="29" t="str">
        <f>'勤務表（参照用）'!AE31</f>
        <v>○</v>
      </c>
      <c r="AF31" s="29" t="str">
        <f>'勤務表（参照用）'!AF31</f>
        <v>●</v>
      </c>
      <c r="AG31" s="29" t="str">
        <f>'勤務表（参照用）'!AG31</f>
        <v/>
      </c>
      <c r="AH31" s="29" t="str">
        <f>'勤務表（参照用）'!AH31</f>
        <v/>
      </c>
      <c r="AJ31" s="28"/>
      <c r="AK31" s="30"/>
    </row>
    <row r="32" spans="3:37" x14ac:dyDescent="0.2">
      <c r="C32" s="69" t="str">
        <f>'勤務表（参照用）'!C32</f>
        <v>諸田 悠也</v>
      </c>
      <c r="D32" s="29" t="str">
        <f>'勤務表（参照用）'!D32</f>
        <v>●</v>
      </c>
      <c r="E32" s="29" t="str">
        <f>'勤務表（参照用）'!E32</f>
        <v/>
      </c>
      <c r="F32" s="29" t="str">
        <f>'勤務表（参照用）'!F32</f>
        <v/>
      </c>
      <c r="G32" s="29" t="str">
        <f>'勤務表（参照用）'!G32</f>
        <v/>
      </c>
      <c r="H32" s="29" t="str">
        <f>'勤務表（参照用）'!H32</f>
        <v>当</v>
      </c>
      <c r="I32" s="29" t="str">
        <f>'勤務表（参照用）'!I32</f>
        <v>明</v>
      </c>
      <c r="J32" s="29" t="str">
        <f>'勤務表（参照用）'!J32</f>
        <v>○</v>
      </c>
      <c r="K32" s="29" t="str">
        <f>'勤務表（参照用）'!K32</f>
        <v>●</v>
      </c>
      <c r="L32" s="29" t="str">
        <f>'勤務表（参照用）'!L32</f>
        <v/>
      </c>
      <c r="M32" s="29" t="str">
        <f>'勤務表（参照用）'!M32</f>
        <v/>
      </c>
      <c r="N32" s="29" t="str">
        <f>'勤務表（参照用）'!N32</f>
        <v/>
      </c>
      <c r="O32" s="29" t="str">
        <f>'勤務表（参照用）'!O32</f>
        <v/>
      </c>
      <c r="P32" s="29" t="str">
        <f>'勤務表（参照用）'!P32</f>
        <v/>
      </c>
      <c r="Q32" s="29" t="str">
        <f>'勤務表（参照用）'!Q32</f>
        <v>／</v>
      </c>
      <c r="R32" s="29" t="str">
        <f>'勤務表（参照用）'!R32</f>
        <v>●</v>
      </c>
      <c r="S32" s="29" t="str">
        <f>'勤務表（参照用）'!S32</f>
        <v/>
      </c>
      <c r="T32" s="29" t="str">
        <f>'勤務表（参照用）'!T32</f>
        <v>当</v>
      </c>
      <c r="U32" s="29" t="str">
        <f>'勤務表（参照用）'!U32</f>
        <v>明</v>
      </c>
      <c r="V32" s="29" t="str">
        <f>'勤務表（参照用）'!V32</f>
        <v/>
      </c>
      <c r="W32" s="29" t="str">
        <f>'勤務表（参照用）'!W32</f>
        <v/>
      </c>
      <c r="X32" s="29" t="str">
        <f>'勤務表（参照用）'!X32</f>
        <v>○</v>
      </c>
      <c r="Y32" s="29" t="str">
        <f>'勤務表（参照用）'!Y32</f>
        <v>●</v>
      </c>
      <c r="Z32" s="29" t="str">
        <f>'勤務表（参照用）'!Z32</f>
        <v/>
      </c>
      <c r="AA32" s="29" t="str">
        <f>'勤務表（参照用）'!AA32</f>
        <v/>
      </c>
      <c r="AB32" s="29" t="str">
        <f>'勤務表（参照用）'!AB32</f>
        <v/>
      </c>
      <c r="AC32" s="29" t="str">
        <f>'勤務表（参照用）'!AC32</f>
        <v/>
      </c>
      <c r="AD32" s="29" t="str">
        <f>'勤務表（参照用）'!AD32</f>
        <v/>
      </c>
      <c r="AE32" s="29" t="str">
        <f>'勤務表（参照用）'!AE32</f>
        <v>／</v>
      </c>
      <c r="AF32" s="29" t="str">
        <f>'勤務表（参照用）'!AF32</f>
        <v>●</v>
      </c>
      <c r="AG32" s="29" t="str">
        <f>'勤務表（参照用）'!AG32</f>
        <v/>
      </c>
      <c r="AH32" s="29" t="str">
        <f>'勤務表（参照用）'!AH32</f>
        <v/>
      </c>
      <c r="AJ32" s="30"/>
    </row>
    <row r="33" spans="3:37" x14ac:dyDescent="0.2">
      <c r="C33" s="69" t="str">
        <f>'勤務表（参照用）'!C33</f>
        <v>樫田 尚</v>
      </c>
      <c r="D33" s="29" t="str">
        <f>'勤務表（参照用）'!D33</f>
        <v>●</v>
      </c>
      <c r="E33" s="29" t="str">
        <f>'勤務表（参照用）'!E33</f>
        <v/>
      </c>
      <c r="F33" s="29" t="str">
        <f>'勤務表（参照用）'!F33</f>
        <v/>
      </c>
      <c r="G33" s="29" t="str">
        <f>'勤務表（参照用）'!G33</f>
        <v/>
      </c>
      <c r="H33" s="29" t="str">
        <f>'勤務表（参照用）'!H33</f>
        <v/>
      </c>
      <c r="I33" s="29" t="str">
        <f>'勤務表（参照用）'!I33</f>
        <v/>
      </c>
      <c r="J33" s="29" t="str">
        <f>'勤務表（参照用）'!J33</f>
        <v>○</v>
      </c>
      <c r="K33" s="29" t="str">
        <f>'勤務表（参照用）'!K33</f>
        <v/>
      </c>
      <c r="L33" s="29" t="str">
        <f>'勤務表（参照用）'!L33</f>
        <v/>
      </c>
      <c r="M33" s="29" t="str">
        <f>'勤務表（参照用）'!M33</f>
        <v/>
      </c>
      <c r="N33" s="29" t="str">
        <f>'勤務表（参照用）'!N33</f>
        <v/>
      </c>
      <c r="O33" s="29" t="str">
        <f>'勤務表（参照用）'!O33</f>
        <v>当</v>
      </c>
      <c r="P33" s="29" t="str">
        <f>'勤務表（参照用）'!P33</f>
        <v>明</v>
      </c>
      <c r="Q33" s="29" t="str">
        <f>'勤務表（参照用）'!Q33</f>
        <v>／</v>
      </c>
      <c r="R33" s="29" t="str">
        <f>'勤務表（参照用）'!R33</f>
        <v>●</v>
      </c>
      <c r="S33" s="29" t="str">
        <f>'勤務表（参照用）'!S33</f>
        <v/>
      </c>
      <c r="T33" s="29" t="str">
        <f>'勤務表（参照用）'!T33</f>
        <v/>
      </c>
      <c r="U33" s="29" t="str">
        <f>'勤務表（参照用）'!U33</f>
        <v/>
      </c>
      <c r="V33" s="29" t="str">
        <f>'勤務表（参照用）'!V33</f>
        <v/>
      </c>
      <c r="W33" s="29" t="str">
        <f>'勤務表（参照用）'!W33</f>
        <v/>
      </c>
      <c r="X33" s="29" t="str">
        <f>'勤務表（参照用）'!X33</f>
        <v>○</v>
      </c>
      <c r="Y33" s="29" t="str">
        <f>'勤務表（参照用）'!Y33</f>
        <v>●</v>
      </c>
      <c r="Z33" s="29" t="str">
        <f>'勤務表（参照用）'!Z33</f>
        <v>当</v>
      </c>
      <c r="AA33" s="29" t="str">
        <f>'勤務表（参照用）'!AA33</f>
        <v>明</v>
      </c>
      <c r="AB33" s="29" t="str">
        <f>'勤務表（参照用）'!AB33</f>
        <v/>
      </c>
      <c r="AC33" s="29" t="str">
        <f>'勤務表（参照用）'!AC33</f>
        <v/>
      </c>
      <c r="AD33" s="29" t="str">
        <f>'勤務表（参照用）'!AD33</f>
        <v/>
      </c>
      <c r="AE33" s="29" t="str">
        <f>'勤務表（参照用）'!AE33</f>
        <v>／</v>
      </c>
      <c r="AF33" s="29" t="str">
        <f>'勤務表（参照用）'!AF33</f>
        <v>●</v>
      </c>
      <c r="AG33" s="29" t="str">
        <f>'勤務表（参照用）'!AG33</f>
        <v/>
      </c>
      <c r="AH33" s="29" t="str">
        <f>'勤務表（参照用）'!AH33</f>
        <v>当</v>
      </c>
      <c r="AJ33" s="28"/>
      <c r="AK33" s="30"/>
    </row>
    <row r="34" spans="3:37" x14ac:dyDescent="0.2">
      <c r="C34" s="69" t="str">
        <f>'勤務表（参照用）'!C34</f>
        <v>福知 千佳</v>
      </c>
      <c r="D34" s="29" t="str">
        <f>'勤務表（参照用）'!D34</f>
        <v>●</v>
      </c>
      <c r="E34" s="29" t="str">
        <f>'勤務表（参照用）'!E34</f>
        <v/>
      </c>
      <c r="F34" s="29" t="str">
        <f>'勤務表（参照用）'!F34</f>
        <v/>
      </c>
      <c r="G34" s="29" t="str">
        <f>'勤務表（参照用）'!G34</f>
        <v/>
      </c>
      <c r="H34" s="29" t="str">
        <f>'勤務表（参照用）'!H34</f>
        <v/>
      </c>
      <c r="I34" s="29" t="str">
        <f>'勤務表（参照用）'!I34</f>
        <v/>
      </c>
      <c r="J34" s="29" t="str">
        <f>'勤務表（参照用）'!J34</f>
        <v>○</v>
      </c>
      <c r="K34" s="29" t="str">
        <f>'勤務表（参照用）'!K34</f>
        <v>●</v>
      </c>
      <c r="L34" s="29" t="str">
        <f>'勤務表（参照用）'!L34</f>
        <v/>
      </c>
      <c r="M34" s="29" t="str">
        <f>'勤務表（参照用）'!M34</f>
        <v/>
      </c>
      <c r="N34" s="29" t="str">
        <f>'勤務表（参照用）'!N34</f>
        <v/>
      </c>
      <c r="O34" s="29" t="str">
        <f>'勤務表（参照用）'!O34</f>
        <v/>
      </c>
      <c r="P34" s="29" t="str">
        <f>'勤務表（参照用）'!P34</f>
        <v/>
      </c>
      <c r="Q34" s="29" t="str">
        <f>'勤務表（参照用）'!Q34</f>
        <v>当</v>
      </c>
      <c r="R34" s="29" t="str">
        <f>'勤務表（参照用）'!R34</f>
        <v>明</v>
      </c>
      <c r="S34" s="29" t="str">
        <f>'勤務表（参照用）'!S34</f>
        <v>●</v>
      </c>
      <c r="T34" s="29" t="str">
        <f>'勤務表（参照用）'!T34</f>
        <v/>
      </c>
      <c r="U34" s="29" t="str">
        <f>'勤務表（参照用）'!U34</f>
        <v/>
      </c>
      <c r="V34" s="29" t="str">
        <f>'勤務表（参照用）'!V34</f>
        <v/>
      </c>
      <c r="W34" s="29" t="str">
        <f>'勤務表（参照用）'!W34</f>
        <v/>
      </c>
      <c r="X34" s="29" t="str">
        <f>'勤務表（参照用）'!X34</f>
        <v>○</v>
      </c>
      <c r="Y34" s="29" t="str">
        <f>'勤務表（参照用）'!Y34</f>
        <v>当</v>
      </c>
      <c r="Z34" s="29" t="str">
        <f>'勤務表（参照用）'!Z34</f>
        <v>明</v>
      </c>
      <c r="AA34" s="29" t="str">
        <f>'勤務表（参照用）'!AA34</f>
        <v>●</v>
      </c>
      <c r="AB34" s="29" t="str">
        <f>'勤務表（参照用）'!AB34</f>
        <v/>
      </c>
      <c r="AC34" s="29" t="str">
        <f>'勤務表（参照用）'!AC34</f>
        <v/>
      </c>
      <c r="AD34" s="29" t="str">
        <f>'勤務表（参照用）'!AD34</f>
        <v/>
      </c>
      <c r="AE34" s="29" t="str">
        <f>'勤務表（参照用）'!AE34</f>
        <v>／</v>
      </c>
      <c r="AF34" s="29" t="str">
        <f>'勤務表（参照用）'!AF34</f>
        <v>●</v>
      </c>
      <c r="AG34" s="29" t="str">
        <f>'勤務表（参照用）'!AG34</f>
        <v/>
      </c>
      <c r="AH34" s="29" t="str">
        <f>'勤務表（参照用）'!AH34</f>
        <v/>
      </c>
      <c r="AJ34" s="30"/>
    </row>
    <row r="35" spans="3:37" x14ac:dyDescent="0.2">
      <c r="C35" s="69" t="str">
        <f>'勤務表（参照用）'!C35</f>
        <v>袋 隼哉</v>
      </c>
      <c r="D35" s="29" t="str">
        <f>'勤務表（参照用）'!D35</f>
        <v>●</v>
      </c>
      <c r="E35" s="29" t="str">
        <f>'勤務表（参照用）'!E35</f>
        <v/>
      </c>
      <c r="F35" s="29" t="str">
        <f>'勤務表（参照用）'!F35</f>
        <v/>
      </c>
      <c r="G35" s="29" t="str">
        <f>'勤務表（参照用）'!G35</f>
        <v>当</v>
      </c>
      <c r="H35" s="29" t="str">
        <f>'勤務表（参照用）'!H35</f>
        <v>明</v>
      </c>
      <c r="I35" s="29" t="str">
        <f>'勤務表（参照用）'!I35</f>
        <v/>
      </c>
      <c r="J35" s="29" t="str">
        <f>'勤務表（参照用）'!J35</f>
        <v>／</v>
      </c>
      <c r="K35" s="29" t="str">
        <f>'勤務表（参照用）'!K35</f>
        <v>●</v>
      </c>
      <c r="L35" s="29" t="str">
        <f>'勤務表（参照用）'!L35</f>
        <v/>
      </c>
      <c r="M35" s="29" t="str">
        <f>'勤務表（参照用）'!M35</f>
        <v/>
      </c>
      <c r="N35" s="29" t="str">
        <f>'勤務表（参照用）'!N35</f>
        <v/>
      </c>
      <c r="O35" s="29" t="str">
        <f>'勤務表（参照用）'!O35</f>
        <v/>
      </c>
      <c r="P35" s="29" t="str">
        <f>'勤務表（参照用）'!P35</f>
        <v/>
      </c>
      <c r="Q35" s="29" t="str">
        <f>'勤務表（参照用）'!Q35</f>
        <v>○</v>
      </c>
      <c r="R35" s="29" t="str">
        <f>'勤務表（参照用）'!R35</f>
        <v>●</v>
      </c>
      <c r="S35" s="29" t="str">
        <f>'勤務表（参照用）'!S35</f>
        <v>当</v>
      </c>
      <c r="T35" s="29" t="str">
        <f>'勤務表（参照用）'!T35</f>
        <v>明</v>
      </c>
      <c r="U35" s="29" t="str">
        <f>'勤務表（参照用）'!U35</f>
        <v/>
      </c>
      <c r="V35" s="29" t="str">
        <f>'勤務表（参照用）'!V35</f>
        <v/>
      </c>
      <c r="W35" s="29" t="str">
        <f>'勤務表（参照用）'!W35</f>
        <v/>
      </c>
      <c r="X35" s="29" t="str">
        <f>'勤務表（参照用）'!X35</f>
        <v>／</v>
      </c>
      <c r="Y35" s="29" t="str">
        <f>'勤務表（参照用）'!Y35</f>
        <v>●</v>
      </c>
      <c r="Z35" s="29" t="str">
        <f>'勤務表（参照用）'!Z35</f>
        <v/>
      </c>
      <c r="AA35" s="29" t="str">
        <f>'勤務表（参照用）'!AA35</f>
        <v/>
      </c>
      <c r="AB35" s="29" t="str">
        <f>'勤務表（参照用）'!AB35</f>
        <v/>
      </c>
      <c r="AC35" s="29" t="str">
        <f>'勤務表（参照用）'!AC35</f>
        <v/>
      </c>
      <c r="AD35" s="29" t="str">
        <f>'勤務表（参照用）'!AD35</f>
        <v/>
      </c>
      <c r="AE35" s="29" t="str">
        <f>'勤務表（参照用）'!AE35</f>
        <v>○</v>
      </c>
      <c r="AF35" s="29" t="str">
        <f>'勤務表（参照用）'!AF35</f>
        <v>当</v>
      </c>
      <c r="AG35" s="29" t="str">
        <f>'勤務表（参照用）'!AG35</f>
        <v>明</v>
      </c>
      <c r="AH35" s="29" t="str">
        <f>'勤務表（参照用）'!AH35</f>
        <v>●</v>
      </c>
      <c r="AJ35" s="28"/>
      <c r="AK35" s="30"/>
    </row>
    <row r="36" spans="3:37" x14ac:dyDescent="0.2">
      <c r="C36" s="69" t="str">
        <f>'勤務表（参照用）'!C36</f>
        <v>雨池 凌也</v>
      </c>
      <c r="D36" s="29" t="str">
        <f>'勤務表（参照用）'!D36</f>
        <v>●</v>
      </c>
      <c r="E36" s="29" t="str">
        <f>'勤務表（参照用）'!E36</f>
        <v/>
      </c>
      <c r="F36" s="29" t="str">
        <f>'勤務表（参照用）'!F36</f>
        <v>当</v>
      </c>
      <c r="G36" s="29" t="str">
        <f>'勤務表（参照用）'!G36</f>
        <v>明</v>
      </c>
      <c r="H36" s="29" t="str">
        <f>'勤務表（参照用）'!H36</f>
        <v/>
      </c>
      <c r="I36" s="29" t="str">
        <f>'勤務表（参照用）'!I36</f>
        <v/>
      </c>
      <c r="J36" s="29" t="str">
        <f>'勤務表（参照用）'!J36</f>
        <v>○</v>
      </c>
      <c r="K36" s="29" t="str">
        <f>'勤務表（参照用）'!K36</f>
        <v>●</v>
      </c>
      <c r="L36" s="29" t="str">
        <f>'勤務表（参照用）'!L36</f>
        <v/>
      </c>
      <c r="M36" s="29" t="str">
        <f>'勤務表（参照用）'!M36</f>
        <v/>
      </c>
      <c r="N36" s="29" t="str">
        <f>'勤務表（参照用）'!N36</f>
        <v/>
      </c>
      <c r="O36" s="29" t="str">
        <f>'勤務表（参照用）'!O36</f>
        <v>当</v>
      </c>
      <c r="P36" s="29" t="str">
        <f>'勤務表（参照用）'!P36</f>
        <v>明</v>
      </c>
      <c r="Q36" s="29" t="str">
        <f>'勤務表（参照用）'!Q36</f>
        <v>／</v>
      </c>
      <c r="R36" s="29" t="str">
        <f>'勤務表（参照用）'!R36</f>
        <v>●</v>
      </c>
      <c r="S36" s="29" t="str">
        <f>'勤務表（参照用）'!S36</f>
        <v/>
      </c>
      <c r="T36" s="29" t="str">
        <f>'勤務表（参照用）'!T36</f>
        <v/>
      </c>
      <c r="U36" s="29" t="str">
        <f>'勤務表（参照用）'!U36</f>
        <v/>
      </c>
      <c r="V36" s="29" t="str">
        <f>'勤務表（参照用）'!V36</f>
        <v/>
      </c>
      <c r="W36" s="29" t="str">
        <f>'勤務表（参照用）'!W36</f>
        <v/>
      </c>
      <c r="X36" s="29" t="str">
        <f>'勤務表（参照用）'!X36</f>
        <v>○</v>
      </c>
      <c r="Y36" s="29" t="str">
        <f>'勤務表（参照用）'!Y36</f>
        <v>●</v>
      </c>
      <c r="Z36" s="29" t="str">
        <f>'勤務表（参照用）'!Z36</f>
        <v/>
      </c>
      <c r="AA36" s="29" t="str">
        <f>'勤務表（参照用）'!AA36</f>
        <v/>
      </c>
      <c r="AB36" s="29" t="str">
        <f>'勤務表（参照用）'!AB36</f>
        <v/>
      </c>
      <c r="AC36" s="29" t="str">
        <f>'勤務表（参照用）'!AC36</f>
        <v>当</v>
      </c>
      <c r="AD36" s="29" t="str">
        <f>'勤務表（参照用）'!AD36</f>
        <v>明</v>
      </c>
      <c r="AE36" s="29" t="str">
        <f>'勤務表（参照用）'!AE36</f>
        <v>／</v>
      </c>
      <c r="AF36" s="29" t="str">
        <f>'勤務表（参照用）'!AF36</f>
        <v>●</v>
      </c>
      <c r="AG36" s="29" t="str">
        <f>'勤務表（参照用）'!AG36</f>
        <v/>
      </c>
      <c r="AH36" s="29" t="str">
        <f>'勤務表（参照用）'!AH36</f>
        <v/>
      </c>
      <c r="AJ36" s="30"/>
    </row>
    <row r="37" spans="3:37" ht="13.15" customHeight="1" x14ac:dyDescent="0.2">
      <c r="C37" s="69" t="str">
        <f>'勤務表（参照用）'!C37</f>
        <v>中川 大誠</v>
      </c>
      <c r="D37" s="29" t="str">
        <f>'勤務表（参照用）'!D37</f>
        <v>●</v>
      </c>
      <c r="E37" s="29" t="str">
        <f>'勤務表（参照用）'!E37</f>
        <v/>
      </c>
      <c r="F37" s="29" t="str">
        <f>'勤務表（参照用）'!F37</f>
        <v/>
      </c>
      <c r="G37" s="29" t="str">
        <f>'勤務表（参照用）'!G37</f>
        <v/>
      </c>
      <c r="H37" s="29" t="str">
        <f>'勤務表（参照用）'!H37</f>
        <v/>
      </c>
      <c r="I37" s="29" t="str">
        <f>'勤務表（参照用）'!I37</f>
        <v/>
      </c>
      <c r="J37" s="29" t="str">
        <f>'勤務表（参照用）'!J37</f>
        <v>○</v>
      </c>
      <c r="K37" s="29" t="str">
        <f>'勤務表（参照用）'!K37</f>
        <v>●</v>
      </c>
      <c r="L37" s="29" t="str">
        <f>'勤務表（参照用）'!L37</f>
        <v/>
      </c>
      <c r="M37" s="29" t="str">
        <f>'勤務表（参照用）'!M37</f>
        <v/>
      </c>
      <c r="N37" s="29" t="str">
        <f>'勤務表（参照用）'!N37</f>
        <v/>
      </c>
      <c r="O37" s="29" t="str">
        <f>'勤務表（参照用）'!O37</f>
        <v/>
      </c>
      <c r="P37" s="29" t="str">
        <f>'勤務表（参照用）'!P37</f>
        <v/>
      </c>
      <c r="Q37" s="29" t="str">
        <f>'勤務表（参照用）'!Q37</f>
        <v>○</v>
      </c>
      <c r="R37" s="29" t="str">
        <f>'勤務表（参照用）'!R37</f>
        <v>●</v>
      </c>
      <c r="S37" s="29" t="str">
        <f>'勤務表（参照用）'!S37</f>
        <v/>
      </c>
      <c r="T37" s="29" t="str">
        <f>'勤務表（参照用）'!T37</f>
        <v/>
      </c>
      <c r="U37" s="29" t="str">
        <f>'勤務表（参照用）'!U37</f>
        <v/>
      </c>
      <c r="V37" s="29" t="str">
        <f>'勤務表（参照用）'!V37</f>
        <v/>
      </c>
      <c r="W37" s="29" t="str">
        <f>'勤務表（参照用）'!W37</f>
        <v/>
      </c>
      <c r="X37" s="29" t="str">
        <f>'勤務表（参照用）'!X37</f>
        <v>○</v>
      </c>
      <c r="Y37" s="29" t="str">
        <f>'勤務表（参照用）'!Y37</f>
        <v>●</v>
      </c>
      <c r="Z37" s="29" t="str">
        <f>'勤務表（参照用）'!Z37</f>
        <v/>
      </c>
      <c r="AA37" s="29" t="str">
        <f>'勤務表（参照用）'!AA37</f>
        <v/>
      </c>
      <c r="AB37" s="29" t="str">
        <f>'勤務表（参照用）'!AB37</f>
        <v/>
      </c>
      <c r="AC37" s="29" t="str">
        <f>'勤務表（参照用）'!AC37</f>
        <v/>
      </c>
      <c r="AD37" s="29" t="str">
        <f>'勤務表（参照用）'!AD37</f>
        <v/>
      </c>
      <c r="AE37" s="29" t="str">
        <f>'勤務表（参照用）'!AE37</f>
        <v>○</v>
      </c>
      <c r="AF37" s="29" t="str">
        <f>'勤務表（参照用）'!AF37</f>
        <v>●</v>
      </c>
      <c r="AG37" s="29" t="str">
        <f>'勤務表（参照用）'!AG37</f>
        <v/>
      </c>
      <c r="AH37" s="29" t="str">
        <f>'勤務表（参照用）'!AH37</f>
        <v/>
      </c>
      <c r="AJ37" s="28"/>
      <c r="AK37" s="30"/>
    </row>
    <row r="38" spans="3:37" ht="13.15" customHeight="1" x14ac:dyDescent="0.2">
      <c r="C38" s="69" t="str">
        <f>'勤務表（参照用）'!C38</f>
        <v>清水 正生</v>
      </c>
      <c r="D38" s="29" t="str">
        <f>'勤務表（参照用）'!D38</f>
        <v>当</v>
      </c>
      <c r="E38" s="29" t="str">
        <f>'勤務表（参照用）'!E38</f>
        <v>明</v>
      </c>
      <c r="F38" s="29" t="str">
        <f>'勤務表（参照用）'!F38</f>
        <v>●</v>
      </c>
      <c r="G38" s="29" t="str">
        <f>'勤務表（参照用）'!G38</f>
        <v/>
      </c>
      <c r="H38" s="29" t="str">
        <f>'勤務表（参照用）'!H38</f>
        <v/>
      </c>
      <c r="I38" s="29" t="str">
        <f>'勤務表（参照用）'!I38</f>
        <v/>
      </c>
      <c r="J38" s="29" t="str">
        <f>'勤務表（参照用）'!J38</f>
        <v>／</v>
      </c>
      <c r="K38" s="29" t="str">
        <f>'勤務表（参照用）'!K38</f>
        <v>●</v>
      </c>
      <c r="L38" s="29" t="str">
        <f>'勤務表（参照用）'!L38</f>
        <v/>
      </c>
      <c r="M38" s="29" t="str">
        <f>'勤務表（参照用）'!M38</f>
        <v/>
      </c>
      <c r="N38" s="29" t="str">
        <f>'勤務表（参照用）'!N38</f>
        <v/>
      </c>
      <c r="O38" s="29" t="str">
        <f>'勤務表（参照用）'!O38</f>
        <v/>
      </c>
      <c r="P38" s="29" t="str">
        <f>'勤務表（参照用）'!P38</f>
        <v/>
      </c>
      <c r="Q38" s="29" t="str">
        <f>'勤務表（参照用）'!Q38</f>
        <v>○</v>
      </c>
      <c r="R38" s="29" t="str">
        <f>'勤務表（参照用）'!R38</f>
        <v>当</v>
      </c>
      <c r="S38" s="29" t="str">
        <f>'勤務表（参照用）'!S38</f>
        <v>明</v>
      </c>
      <c r="T38" s="29" t="str">
        <f>'勤務表（参照用）'!T38</f>
        <v>●</v>
      </c>
      <c r="U38" s="29" t="str">
        <f>'勤務表（参照用）'!U38</f>
        <v/>
      </c>
      <c r="V38" s="29" t="str">
        <f>'勤務表（参照用）'!V38</f>
        <v/>
      </c>
      <c r="W38" s="29" t="str">
        <f>'勤務表（参照用）'!W38</f>
        <v/>
      </c>
      <c r="X38" s="29" t="str">
        <f>'勤務表（参照用）'!X38</f>
        <v>／</v>
      </c>
      <c r="Y38" s="29" t="str">
        <f>'勤務表（参照用）'!Y38</f>
        <v>●</v>
      </c>
      <c r="Z38" s="29" t="str">
        <f>'勤務表（参照用）'!Z38</f>
        <v/>
      </c>
      <c r="AA38" s="29" t="str">
        <f>'勤務表（参照用）'!AA38</f>
        <v/>
      </c>
      <c r="AB38" s="29" t="str">
        <f>'勤務表（参照用）'!AB38</f>
        <v/>
      </c>
      <c r="AC38" s="29" t="str">
        <f>'勤務表（参照用）'!AC38</f>
        <v/>
      </c>
      <c r="AD38" s="29" t="str">
        <f>'勤務表（参照用）'!AD38</f>
        <v/>
      </c>
      <c r="AE38" s="29" t="str">
        <f>'勤務表（参照用）'!AE38</f>
        <v>○</v>
      </c>
      <c r="AF38" s="29" t="str">
        <f>'勤務表（参照用）'!AF38</f>
        <v>●</v>
      </c>
      <c r="AG38" s="29" t="str">
        <f>'勤務表（参照用）'!AG38</f>
        <v/>
      </c>
      <c r="AH38" s="29" t="str">
        <f>'勤務表（参照用）'!AH38</f>
        <v/>
      </c>
      <c r="AJ38" s="30"/>
    </row>
    <row r="39" spans="3:37" ht="13.15" customHeight="1" x14ac:dyDescent="0.2">
      <c r="C39" s="69" t="str">
        <f>'勤務表（参照用）'!C39</f>
        <v>菅野 祐萌</v>
      </c>
      <c r="D39" s="29" t="str">
        <f>'勤務表（参照用）'!D39</f>
        <v>●</v>
      </c>
      <c r="E39" s="29" t="str">
        <f>'勤務表（参照用）'!E39</f>
        <v/>
      </c>
      <c r="F39" s="29" t="str">
        <f>'勤務表（参照用）'!F39</f>
        <v/>
      </c>
      <c r="G39" s="29" t="str">
        <f>'勤務表（参照用）'!G39</f>
        <v/>
      </c>
      <c r="H39" s="29" t="str">
        <f>'勤務表（参照用）'!H39</f>
        <v/>
      </c>
      <c r="I39" s="29" t="str">
        <f>'勤務表（参照用）'!I39</f>
        <v/>
      </c>
      <c r="J39" s="29" t="str">
        <f>'勤務表（参照用）'!J39</f>
        <v>○</v>
      </c>
      <c r="K39" s="29" t="str">
        <f>'勤務表（参照用）'!K39</f>
        <v>●</v>
      </c>
      <c r="L39" s="29" t="str">
        <f>'勤務表（参照用）'!L39</f>
        <v/>
      </c>
      <c r="M39" s="29" t="str">
        <f>'勤務表（参照用）'!M39</f>
        <v/>
      </c>
      <c r="N39" s="29" t="str">
        <f>'勤務表（参照用）'!N39</f>
        <v/>
      </c>
      <c r="O39" s="29" t="str">
        <f>'勤務表（参照用）'!O39</f>
        <v/>
      </c>
      <c r="P39" s="29" t="str">
        <f>'勤務表（参照用）'!P39</f>
        <v>当</v>
      </c>
      <c r="Q39" s="29" t="str">
        <f>'勤務表（参照用）'!Q39</f>
        <v>明</v>
      </c>
      <c r="R39" s="29" t="str">
        <f>'勤務表（参照用）'!R39</f>
        <v>●</v>
      </c>
      <c r="S39" s="29" t="str">
        <f>'勤務表（参照用）'!S39</f>
        <v/>
      </c>
      <c r="T39" s="29" t="str">
        <f>'勤務表（参照用）'!T39</f>
        <v/>
      </c>
      <c r="U39" s="29" t="str">
        <f>'勤務表（参照用）'!U39</f>
        <v/>
      </c>
      <c r="V39" s="29" t="str">
        <f>'勤務表（参照用）'!V39</f>
        <v/>
      </c>
      <c r="W39" s="29" t="str">
        <f>'勤務表（参照用）'!W39</f>
        <v/>
      </c>
      <c r="X39" s="29" t="str">
        <f>'勤務表（参照用）'!X39</f>
        <v>○</v>
      </c>
      <c r="Y39" s="29" t="str">
        <f>'勤務表（参照用）'!Y39</f>
        <v/>
      </c>
      <c r="Z39" s="29" t="str">
        <f>'勤務表（参照用）'!Z39</f>
        <v/>
      </c>
      <c r="AA39" s="29" t="str">
        <f>'勤務表（参照用）'!AA39</f>
        <v/>
      </c>
      <c r="AB39" s="29" t="str">
        <f>'勤務表（参照用）'!AB39</f>
        <v/>
      </c>
      <c r="AC39" s="29" t="str">
        <f>'勤務表（参照用）'!AC39</f>
        <v/>
      </c>
      <c r="AD39" s="29" t="str">
        <f>'勤務表（参照用）'!AD39</f>
        <v>当</v>
      </c>
      <c r="AE39" s="29" t="str">
        <f>'勤務表（参照用）'!AE39</f>
        <v>明</v>
      </c>
      <c r="AF39" s="29" t="str">
        <f>'勤務表（参照用）'!AF39</f>
        <v>●</v>
      </c>
      <c r="AG39" s="29" t="str">
        <f>'勤務表（参照用）'!AG39</f>
        <v/>
      </c>
      <c r="AH39" s="29" t="str">
        <f>'勤務表（参照用）'!AH39</f>
        <v/>
      </c>
      <c r="AJ39" s="28"/>
      <c r="AK39" s="30"/>
    </row>
    <row r="40" spans="3:37" ht="13.15" customHeight="1" x14ac:dyDescent="0.2">
      <c r="C40" s="69" t="str">
        <f>'勤務表（参照用）'!C40</f>
        <v>別所 貴仁</v>
      </c>
      <c r="D40" s="29" t="str">
        <f>'勤務表（参照用）'!D40</f>
        <v>●</v>
      </c>
      <c r="E40" s="29" t="str">
        <f>'勤務表（参照用）'!E40</f>
        <v/>
      </c>
      <c r="F40" s="29" t="str">
        <f>'勤務表（参照用）'!F40</f>
        <v/>
      </c>
      <c r="G40" s="29" t="str">
        <f>'勤務表（参照用）'!G40</f>
        <v/>
      </c>
      <c r="H40" s="29" t="str">
        <f>'勤務表（参照用）'!H40</f>
        <v/>
      </c>
      <c r="I40" s="29" t="str">
        <f>'勤務表（参照用）'!I40</f>
        <v/>
      </c>
      <c r="J40" s="29" t="str">
        <f>'勤務表（参照用）'!J40</f>
        <v>当</v>
      </c>
      <c r="K40" s="29" t="str">
        <f>'勤務表（参照用）'!K40</f>
        <v>明</v>
      </c>
      <c r="L40" s="29" t="str">
        <f>'勤務表（参照用）'!L40</f>
        <v>●</v>
      </c>
      <c r="M40" s="29" t="str">
        <f>'勤務表（参照用）'!M40</f>
        <v/>
      </c>
      <c r="N40" s="29" t="str">
        <f>'勤務表（参照用）'!N40</f>
        <v/>
      </c>
      <c r="O40" s="29" t="str">
        <f>'勤務表（参照用）'!O40</f>
        <v/>
      </c>
      <c r="P40" s="29" t="str">
        <f>'勤務表（参照用）'!P40</f>
        <v/>
      </c>
      <c r="Q40" s="29" t="str">
        <f>'勤務表（参照用）'!Q40</f>
        <v>○</v>
      </c>
      <c r="R40" s="29" t="str">
        <f>'勤務表（参照用）'!R40</f>
        <v>●</v>
      </c>
      <c r="S40" s="29" t="str">
        <f>'勤務表（参照用）'!S40</f>
        <v/>
      </c>
      <c r="T40" s="29" t="str">
        <f>'勤務表（参照用）'!T40</f>
        <v/>
      </c>
      <c r="U40" s="29" t="str">
        <f>'勤務表（参照用）'!U40</f>
        <v>当</v>
      </c>
      <c r="V40" s="29" t="str">
        <f>'勤務表（参照用）'!V40</f>
        <v>明</v>
      </c>
      <c r="W40" s="29" t="str">
        <f>'勤務表（参照用）'!W40</f>
        <v/>
      </c>
      <c r="X40" s="29" t="str">
        <f>'勤務表（参照用）'!X40</f>
        <v>／</v>
      </c>
      <c r="Y40" s="29" t="str">
        <f>'勤務表（参照用）'!Y40</f>
        <v>●</v>
      </c>
      <c r="Z40" s="29" t="str">
        <f>'勤務表（参照用）'!Z40</f>
        <v/>
      </c>
      <c r="AA40" s="29" t="str">
        <f>'勤務表（参照用）'!AA40</f>
        <v/>
      </c>
      <c r="AB40" s="29" t="str">
        <f>'勤務表（参照用）'!AB40</f>
        <v>当</v>
      </c>
      <c r="AC40" s="29" t="str">
        <f>'勤務表（参照用）'!AC40</f>
        <v>明</v>
      </c>
      <c r="AD40" s="29" t="str">
        <f>'勤務表（参照用）'!AD40</f>
        <v/>
      </c>
      <c r="AE40" s="29" t="str">
        <f>'勤務表（参照用）'!AE40</f>
        <v>○</v>
      </c>
      <c r="AF40" s="29" t="str">
        <f>'勤務表（参照用）'!AF40</f>
        <v>●</v>
      </c>
      <c r="AG40" s="29" t="str">
        <f>'勤務表（参照用）'!AG40</f>
        <v>当</v>
      </c>
      <c r="AH40" s="29" t="str">
        <f>'勤務表（参照用）'!AH40</f>
        <v>明</v>
      </c>
    </row>
    <row r="41" spans="3:37" ht="13.15" customHeight="1" x14ac:dyDescent="0.2">
      <c r="C41" s="69" t="str">
        <f>'勤務表（参照用）'!C41</f>
        <v>坂下 大知</v>
      </c>
      <c r="D41" s="29" t="str">
        <f>'勤務表（参照用）'!D41</f>
        <v>●</v>
      </c>
      <c r="E41" s="29" t="str">
        <f>'勤務表（参照用）'!E41</f>
        <v/>
      </c>
      <c r="F41" s="29" t="str">
        <f>'勤務表（参照用）'!F41</f>
        <v/>
      </c>
      <c r="G41" s="29" t="str">
        <f>'勤務表（参照用）'!G41</f>
        <v/>
      </c>
      <c r="H41" s="29" t="str">
        <f>'勤務表（参照用）'!H41</f>
        <v/>
      </c>
      <c r="I41" s="29" t="str">
        <f>'勤務表（参照用）'!I41</f>
        <v/>
      </c>
      <c r="J41" s="29" t="str">
        <f>'勤務表（参照用）'!J41</f>
        <v>／</v>
      </c>
      <c r="K41" s="29" t="str">
        <f>'勤務表（参照用）'!K41</f>
        <v>●</v>
      </c>
      <c r="L41" s="29" t="str">
        <f>'勤務表（参照用）'!L41</f>
        <v/>
      </c>
      <c r="M41" s="29" t="str">
        <f>'勤務表（参照用）'!M41</f>
        <v/>
      </c>
      <c r="N41" s="29" t="str">
        <f>'勤務表（参照用）'!N41</f>
        <v/>
      </c>
      <c r="O41" s="29" t="str">
        <f>'勤務表（参照用）'!O41</f>
        <v/>
      </c>
      <c r="P41" s="29" t="str">
        <f>'勤務表（参照用）'!P41</f>
        <v/>
      </c>
      <c r="Q41" s="29" t="str">
        <f>'勤務表（参照用）'!Q41</f>
        <v>○</v>
      </c>
      <c r="R41" s="29" t="str">
        <f>'勤務表（参照用）'!R41</f>
        <v>●</v>
      </c>
      <c r="S41" s="29" t="str">
        <f>'勤務表（参照用）'!S41</f>
        <v/>
      </c>
      <c r="T41" s="29" t="str">
        <f>'勤務表（参照用）'!T41</f>
        <v/>
      </c>
      <c r="U41" s="29" t="str">
        <f>'勤務表（参照用）'!U41</f>
        <v/>
      </c>
      <c r="V41" s="29" t="str">
        <f>'勤務表（参照用）'!V41</f>
        <v/>
      </c>
      <c r="W41" s="29" t="str">
        <f>'勤務表（参照用）'!W41</f>
        <v/>
      </c>
      <c r="X41" s="29" t="str">
        <f>'勤務表（参照用）'!X41</f>
        <v>／</v>
      </c>
      <c r="Y41" s="29" t="str">
        <f>'勤務表（参照用）'!Y41</f>
        <v>●</v>
      </c>
      <c r="Z41" s="29" t="str">
        <f>'勤務表（参照用）'!Z41</f>
        <v/>
      </c>
      <c r="AA41" s="29" t="str">
        <f>'勤務表（参照用）'!AA41</f>
        <v/>
      </c>
      <c r="AB41" s="29" t="str">
        <f>'勤務表（参照用）'!AB41</f>
        <v/>
      </c>
      <c r="AC41" s="29" t="str">
        <f>'勤務表（参照用）'!AC41</f>
        <v/>
      </c>
      <c r="AD41" s="29" t="str">
        <f>'勤務表（参照用）'!AD41</f>
        <v/>
      </c>
      <c r="AE41" s="29" t="str">
        <f>'勤務表（参照用）'!AE41</f>
        <v>○</v>
      </c>
      <c r="AF41" s="29" t="str">
        <f>'勤務表（参照用）'!AF41</f>
        <v>●</v>
      </c>
      <c r="AG41" s="29" t="str">
        <f>'勤務表（参照用）'!AG41</f>
        <v/>
      </c>
      <c r="AH41" s="29" t="str">
        <f>'勤務表（参照用）'!AH41</f>
        <v/>
      </c>
    </row>
    <row r="42" spans="3:37" ht="13.15" customHeight="1" x14ac:dyDescent="0.2">
      <c r="C42" s="69">
        <f>'勤務表（参照用）'!C42</f>
        <v>0</v>
      </c>
      <c r="D42" s="29" t="str">
        <f>'勤務表（参照用）'!D42</f>
        <v/>
      </c>
      <c r="E42" s="29" t="str">
        <f>'勤務表（参照用）'!E42</f>
        <v/>
      </c>
      <c r="F42" s="29" t="str">
        <f>'勤務表（参照用）'!F42</f>
        <v/>
      </c>
      <c r="G42" s="29" t="str">
        <f>'勤務表（参照用）'!G42</f>
        <v/>
      </c>
      <c r="H42" s="29" t="str">
        <f>'勤務表（参照用）'!H42</f>
        <v/>
      </c>
      <c r="I42" s="29" t="str">
        <f>'勤務表（参照用）'!I42</f>
        <v/>
      </c>
      <c r="J42" s="29" t="str">
        <f>'勤務表（参照用）'!J42</f>
        <v/>
      </c>
      <c r="K42" s="29" t="str">
        <f>'勤務表（参照用）'!K42</f>
        <v/>
      </c>
      <c r="L42" s="29" t="str">
        <f>'勤務表（参照用）'!L42</f>
        <v/>
      </c>
      <c r="M42" s="29" t="str">
        <f>'勤務表（参照用）'!M42</f>
        <v/>
      </c>
      <c r="N42" s="29" t="str">
        <f>'勤務表（参照用）'!N42</f>
        <v/>
      </c>
      <c r="O42" s="29" t="str">
        <f>'勤務表（参照用）'!O42</f>
        <v/>
      </c>
      <c r="P42" s="29" t="str">
        <f>'勤務表（参照用）'!P42</f>
        <v/>
      </c>
      <c r="Q42" s="29" t="str">
        <f>'勤務表（参照用）'!Q42</f>
        <v/>
      </c>
      <c r="R42" s="29" t="str">
        <f>'勤務表（参照用）'!R42</f>
        <v/>
      </c>
      <c r="S42" s="29" t="str">
        <f>'勤務表（参照用）'!S42</f>
        <v/>
      </c>
      <c r="T42" s="29" t="str">
        <f>'勤務表（参照用）'!T42</f>
        <v/>
      </c>
      <c r="U42" s="29" t="str">
        <f>'勤務表（参照用）'!U42</f>
        <v/>
      </c>
      <c r="V42" s="29" t="str">
        <f>'勤務表（参照用）'!V42</f>
        <v/>
      </c>
      <c r="W42" s="29" t="str">
        <f>'勤務表（参照用）'!W42</f>
        <v/>
      </c>
      <c r="X42" s="29" t="str">
        <f>'勤務表（参照用）'!X42</f>
        <v/>
      </c>
      <c r="Y42" s="29" t="str">
        <f>'勤務表（参照用）'!Y42</f>
        <v/>
      </c>
      <c r="Z42" s="29" t="str">
        <f>'勤務表（参照用）'!Z42</f>
        <v/>
      </c>
      <c r="AA42" s="29" t="str">
        <f>'勤務表（参照用）'!AA42</f>
        <v/>
      </c>
      <c r="AB42" s="29" t="str">
        <f>'勤務表（参照用）'!AB42</f>
        <v/>
      </c>
      <c r="AC42" s="29" t="str">
        <f>'勤務表（参照用）'!AC42</f>
        <v/>
      </c>
      <c r="AD42" s="29" t="str">
        <f>'勤務表（参照用）'!AD42</f>
        <v/>
      </c>
      <c r="AE42" s="29" t="str">
        <f>'勤務表（参照用）'!AE42</f>
        <v/>
      </c>
      <c r="AF42" s="29" t="str">
        <f>'勤務表（参照用）'!AF42</f>
        <v/>
      </c>
      <c r="AG42" s="29" t="str">
        <f>'勤務表（参照用）'!AG42</f>
        <v/>
      </c>
      <c r="AH42" s="29" t="str">
        <f>'勤務表（参照用）'!AH42</f>
        <v/>
      </c>
    </row>
    <row r="43" spans="3:37" ht="13.15" customHeight="1" x14ac:dyDescent="0.2">
      <c r="C43" s="69">
        <f>'勤務表（参照用）'!C43</f>
        <v>0</v>
      </c>
      <c r="D43" s="29" t="str">
        <f>'勤務表（参照用）'!D43</f>
        <v/>
      </c>
      <c r="E43" s="29" t="str">
        <f>'勤務表（参照用）'!E43</f>
        <v/>
      </c>
      <c r="F43" s="29" t="str">
        <f>'勤務表（参照用）'!F43</f>
        <v/>
      </c>
      <c r="G43" s="29" t="str">
        <f>'勤務表（参照用）'!G43</f>
        <v/>
      </c>
      <c r="H43" s="29" t="str">
        <f>'勤務表（参照用）'!H43</f>
        <v/>
      </c>
      <c r="I43" s="29" t="str">
        <f>'勤務表（参照用）'!I43</f>
        <v/>
      </c>
      <c r="J43" s="29" t="str">
        <f>'勤務表（参照用）'!J43</f>
        <v/>
      </c>
      <c r="K43" s="29" t="str">
        <f>'勤務表（参照用）'!K43</f>
        <v/>
      </c>
      <c r="L43" s="29" t="str">
        <f>'勤務表（参照用）'!L43</f>
        <v/>
      </c>
      <c r="M43" s="29" t="str">
        <f>'勤務表（参照用）'!M43</f>
        <v/>
      </c>
      <c r="N43" s="29">
        <f>'勤務表（参照用）'!N43</f>
        <v>0</v>
      </c>
      <c r="O43" s="29" t="str">
        <f>'勤務表（参照用）'!O43</f>
        <v/>
      </c>
      <c r="P43" s="29" t="str">
        <f>'勤務表（参照用）'!P43</f>
        <v/>
      </c>
      <c r="Q43" s="29" t="str">
        <f>'勤務表（参照用）'!Q43</f>
        <v/>
      </c>
      <c r="R43" s="29" t="str">
        <f>'勤務表（参照用）'!R43</f>
        <v/>
      </c>
      <c r="S43" s="29" t="str">
        <f>'勤務表（参照用）'!S43</f>
        <v/>
      </c>
      <c r="T43" s="29" t="str">
        <f>'勤務表（参照用）'!T43</f>
        <v/>
      </c>
      <c r="U43" s="29" t="str">
        <f>'勤務表（参照用）'!U43</f>
        <v/>
      </c>
      <c r="V43" s="29" t="str">
        <f>'勤務表（参照用）'!V43</f>
        <v/>
      </c>
      <c r="W43" s="29" t="str">
        <f>'勤務表（参照用）'!W43</f>
        <v/>
      </c>
      <c r="X43" s="29" t="str">
        <f>'勤務表（参照用）'!X43</f>
        <v/>
      </c>
      <c r="Y43" s="29" t="str">
        <f>'勤務表（参照用）'!Y43</f>
        <v/>
      </c>
      <c r="Z43" s="29" t="str">
        <f>'勤務表（参照用）'!Z43</f>
        <v/>
      </c>
      <c r="AA43" s="29" t="str">
        <f>'勤務表（参照用）'!AA43</f>
        <v/>
      </c>
      <c r="AB43" s="29" t="str">
        <f>'勤務表（参照用）'!AB43</f>
        <v/>
      </c>
      <c r="AC43" s="29" t="str">
        <f>'勤務表（参照用）'!AC43</f>
        <v/>
      </c>
      <c r="AD43" s="29" t="str">
        <f>'勤務表（参照用）'!AD43</f>
        <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3</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2</v>
      </c>
    </row>
    <row r="55" spans="3:36" x14ac:dyDescent="0.2">
      <c r="C55" s="22" t="s">
        <v>1</v>
      </c>
      <c r="D55" s="15">
        <f>COUNTIF(D$4:D$46,$C55)</f>
        <v>1</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2">
      <c r="C56" s="22" t="s">
        <v>2</v>
      </c>
      <c r="D56" s="15">
        <f>COUNTIF(D$4:D$46,$C56)</f>
        <v>33</v>
      </c>
      <c r="E56" s="15">
        <f t="shared" si="1"/>
        <v>0</v>
      </c>
      <c r="F56" s="15">
        <f>COUNTIF(F$4:F$46,$C56)</f>
        <v>2</v>
      </c>
      <c r="G56" s="15">
        <f t="shared" si="1"/>
        <v>0</v>
      </c>
      <c r="H56" s="15">
        <f t="shared" si="1"/>
        <v>0</v>
      </c>
      <c r="I56" s="15">
        <f t="shared" si="1"/>
        <v>0</v>
      </c>
      <c r="J56" s="15">
        <f t="shared" si="1"/>
        <v>0</v>
      </c>
      <c r="K56" s="15">
        <f t="shared" si="1"/>
        <v>33</v>
      </c>
      <c r="L56" s="15">
        <f t="shared" si="1"/>
        <v>2</v>
      </c>
      <c r="M56" s="15">
        <f t="shared" si="1"/>
        <v>2</v>
      </c>
      <c r="N56" s="15">
        <f t="shared" si="1"/>
        <v>0</v>
      </c>
      <c r="O56" s="15">
        <f t="shared" si="1"/>
        <v>0</v>
      </c>
      <c r="P56" s="15">
        <f t="shared" si="1"/>
        <v>0</v>
      </c>
      <c r="Q56" s="15">
        <f t="shared" si="1"/>
        <v>0</v>
      </c>
      <c r="R56" s="15">
        <f t="shared" si="1"/>
        <v>33</v>
      </c>
      <c r="S56" s="15">
        <f t="shared" si="1"/>
        <v>2</v>
      </c>
      <c r="T56" s="15">
        <f t="shared" si="1"/>
        <v>2</v>
      </c>
      <c r="U56" s="15">
        <f t="shared" si="1"/>
        <v>0</v>
      </c>
      <c r="V56" s="15">
        <f t="shared" si="1"/>
        <v>0</v>
      </c>
      <c r="W56" s="15">
        <f t="shared" si="1"/>
        <v>0</v>
      </c>
      <c r="X56" s="15">
        <f t="shared" si="1"/>
        <v>0</v>
      </c>
      <c r="Y56" s="15">
        <f t="shared" si="1"/>
        <v>33</v>
      </c>
      <c r="Z56" s="15">
        <f t="shared" si="1"/>
        <v>2</v>
      </c>
      <c r="AA56" s="15">
        <f t="shared" si="1"/>
        <v>2</v>
      </c>
      <c r="AB56" s="15">
        <f t="shared" si="1"/>
        <v>0</v>
      </c>
      <c r="AC56" s="15">
        <f t="shared" si="1"/>
        <v>0</v>
      </c>
      <c r="AD56" s="15">
        <f t="shared" si="1"/>
        <v>0</v>
      </c>
      <c r="AE56" s="15">
        <f t="shared" si="1"/>
        <v>0</v>
      </c>
      <c r="AF56" s="15">
        <f t="shared" si="1"/>
        <v>33</v>
      </c>
      <c r="AG56" s="15">
        <f t="shared" si="1"/>
        <v>2</v>
      </c>
      <c r="AH56" s="14">
        <f>COUNTIF(AH$4:AH$46,$C56)</f>
        <v>2</v>
      </c>
      <c r="AJ56" s="12">
        <f>SUM(D56:AH56)</f>
        <v>183</v>
      </c>
    </row>
    <row r="57" spans="3:36" x14ac:dyDescent="0.2">
      <c r="C57" s="24" t="s">
        <v>40</v>
      </c>
      <c r="D57" s="18">
        <f t="shared" ref="D57:AG57" si="3">COUNTBLANK(D4:D46)</f>
        <v>6</v>
      </c>
      <c r="E57" s="18">
        <f t="shared" si="3"/>
        <v>39</v>
      </c>
      <c r="F57" s="18">
        <f t="shared" si="3"/>
        <v>37</v>
      </c>
      <c r="G57" s="18">
        <f t="shared" si="3"/>
        <v>39</v>
      </c>
      <c r="H57" s="18">
        <f t="shared" si="3"/>
        <v>39</v>
      </c>
      <c r="I57" s="18">
        <f t="shared" si="3"/>
        <v>39</v>
      </c>
      <c r="J57" s="18">
        <f t="shared" si="3"/>
        <v>5</v>
      </c>
      <c r="K57" s="18">
        <f t="shared" si="3"/>
        <v>6</v>
      </c>
      <c r="L57" s="18">
        <f t="shared" si="3"/>
        <v>37</v>
      </c>
      <c r="M57" s="18">
        <f t="shared" si="3"/>
        <v>37</v>
      </c>
      <c r="N57" s="18">
        <f t="shared" si="3"/>
        <v>35</v>
      </c>
      <c r="O57" s="18">
        <f t="shared" si="3"/>
        <v>39</v>
      </c>
      <c r="P57" s="18">
        <f t="shared" si="3"/>
        <v>39</v>
      </c>
      <c r="Q57" s="18">
        <f t="shared" si="3"/>
        <v>5</v>
      </c>
      <c r="R57" s="18">
        <f t="shared" si="3"/>
        <v>6</v>
      </c>
      <c r="S57" s="18">
        <f t="shared" si="3"/>
        <v>37</v>
      </c>
      <c r="T57" s="18">
        <f t="shared" si="3"/>
        <v>37</v>
      </c>
      <c r="U57" s="18">
        <f t="shared" si="3"/>
        <v>39</v>
      </c>
      <c r="V57" s="18">
        <f t="shared" si="3"/>
        <v>39</v>
      </c>
      <c r="W57" s="18">
        <f t="shared" si="3"/>
        <v>39</v>
      </c>
      <c r="X57" s="18">
        <f t="shared" si="3"/>
        <v>5</v>
      </c>
      <c r="Y57" s="18">
        <f t="shared" si="3"/>
        <v>6</v>
      </c>
      <c r="Z57" s="18">
        <f t="shared" si="3"/>
        <v>37</v>
      </c>
      <c r="AA57" s="18">
        <f t="shared" si="3"/>
        <v>37</v>
      </c>
      <c r="AB57" s="18">
        <f t="shared" si="3"/>
        <v>39</v>
      </c>
      <c r="AC57" s="18">
        <f t="shared" si="3"/>
        <v>39</v>
      </c>
      <c r="AD57" s="18">
        <f t="shared" si="3"/>
        <v>39</v>
      </c>
      <c r="AE57" s="18">
        <f t="shared" si="3"/>
        <v>5</v>
      </c>
      <c r="AF57" s="18">
        <f t="shared" si="3"/>
        <v>6</v>
      </c>
      <c r="AG57" s="18">
        <f t="shared" si="3"/>
        <v>37</v>
      </c>
      <c r="AH57" s="17">
        <f>COUNTBLANK(AH4:AH46)</f>
        <v>37</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184150</xdr:colOff>
                    <xdr:row>0</xdr:row>
                    <xdr:rowOff>165100</xdr:rowOff>
                  </from>
                  <to>
                    <xdr:col>39</xdr:col>
                    <xdr:colOff>323850</xdr:colOff>
                    <xdr:row>0</xdr:row>
                    <xdr:rowOff>565150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5" activePane="bottomRight" state="frozen"/>
      <selection pane="topRight" activeCell="AP1" sqref="AP1"/>
      <selection pane="bottomLeft" activeCell="A4" sqref="A4"/>
      <selection pane="bottomRight" activeCell="K8" sqref="K8"/>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f>'勤務表（参照用）'!C2</f>
        <v>3</v>
      </c>
      <c r="D2" s="1">
        <f>'勤務表（参照用）'!D2</f>
        <v>46082</v>
      </c>
      <c r="E2" s="2">
        <f>'勤務表（参照用）'!E2</f>
        <v>46083</v>
      </c>
      <c r="F2" s="2">
        <f>'勤務表（参照用）'!F2</f>
        <v>46084</v>
      </c>
      <c r="G2" s="2">
        <f>'勤務表（参照用）'!G2</f>
        <v>46085</v>
      </c>
      <c r="H2" s="2">
        <f>'勤務表（参照用）'!H2</f>
        <v>46086</v>
      </c>
      <c r="I2" s="2">
        <f>'勤務表（参照用）'!I2</f>
        <v>46087</v>
      </c>
      <c r="J2" s="2">
        <f>'勤務表（参照用）'!J2</f>
        <v>46088</v>
      </c>
      <c r="K2" s="2">
        <f>'勤務表（参照用）'!K2</f>
        <v>46089</v>
      </c>
      <c r="L2" s="2">
        <f>'勤務表（参照用）'!L2</f>
        <v>46090</v>
      </c>
      <c r="M2" s="2">
        <f>'勤務表（参照用）'!M2</f>
        <v>46091</v>
      </c>
      <c r="N2" s="2">
        <f>'勤務表（参照用）'!N2</f>
        <v>46092</v>
      </c>
      <c r="O2" s="2">
        <f>'勤務表（参照用）'!O2</f>
        <v>46093</v>
      </c>
      <c r="P2" s="2">
        <f>'勤務表（参照用）'!P2</f>
        <v>46094</v>
      </c>
      <c r="Q2" s="2">
        <f>'勤務表（参照用）'!Q2</f>
        <v>46095</v>
      </c>
      <c r="R2" s="2">
        <f>'勤務表（参照用）'!R2</f>
        <v>46096</v>
      </c>
      <c r="S2" s="2">
        <f>'勤務表（参照用）'!S2</f>
        <v>46097</v>
      </c>
      <c r="T2" s="2">
        <f>'勤務表（参照用）'!T2</f>
        <v>46098</v>
      </c>
      <c r="U2" s="2">
        <f>'勤務表（参照用）'!U2</f>
        <v>46099</v>
      </c>
      <c r="V2" s="2">
        <f>'勤務表（参照用）'!V2</f>
        <v>46100</v>
      </c>
      <c r="W2" s="2">
        <f>'勤務表（参照用）'!W2</f>
        <v>46101</v>
      </c>
      <c r="X2" s="2">
        <f>'勤務表（参照用）'!X2</f>
        <v>46102</v>
      </c>
      <c r="Y2" s="2">
        <f>'勤務表（参照用）'!Y2</f>
        <v>46103</v>
      </c>
      <c r="Z2" s="2">
        <f>'勤務表（参照用）'!Z2</f>
        <v>46104</v>
      </c>
      <c r="AA2" s="2">
        <f>'勤務表（参照用）'!AA2</f>
        <v>46105</v>
      </c>
      <c r="AB2" s="2">
        <f>'勤務表（参照用）'!AB2</f>
        <v>46106</v>
      </c>
      <c r="AC2" s="2">
        <f>'勤務表（参照用）'!AC2</f>
        <v>46107</v>
      </c>
      <c r="AD2" s="2">
        <f>'勤務表（参照用）'!AD2</f>
        <v>46108</v>
      </c>
      <c r="AE2" s="2">
        <f>'勤務表（参照用）'!AE2</f>
        <v>46109</v>
      </c>
      <c r="AF2" s="2">
        <f>'勤務表（参照用）'!AF2</f>
        <v>46110</v>
      </c>
      <c r="AG2" s="2">
        <f>'勤務表（参照用）'!AG2</f>
        <v>46111</v>
      </c>
      <c r="AH2" s="3">
        <f>'勤務表（参照用）'!AH2</f>
        <v>46112</v>
      </c>
      <c r="AI2" s="87"/>
    </row>
    <row r="3" spans="3:41" x14ac:dyDescent="0.2">
      <c r="C3" s="86">
        <f>'勤務表（参照用）'!C3</f>
        <v>0</v>
      </c>
      <c r="D3" s="5">
        <f>D2</f>
        <v>46082</v>
      </c>
      <c r="E3" s="6">
        <f t="shared" ref="E3:AH3" si="0">E2</f>
        <v>46083</v>
      </c>
      <c r="F3" s="6">
        <f t="shared" si="0"/>
        <v>46084</v>
      </c>
      <c r="G3" s="6">
        <f t="shared" si="0"/>
        <v>46085</v>
      </c>
      <c r="H3" s="6">
        <f t="shared" si="0"/>
        <v>46086</v>
      </c>
      <c r="I3" s="6">
        <f t="shared" si="0"/>
        <v>46087</v>
      </c>
      <c r="J3" s="6">
        <f t="shared" si="0"/>
        <v>46088</v>
      </c>
      <c r="K3" s="6">
        <f t="shared" si="0"/>
        <v>46089</v>
      </c>
      <c r="L3" s="6">
        <f t="shared" si="0"/>
        <v>46090</v>
      </c>
      <c r="M3" s="6">
        <f t="shared" si="0"/>
        <v>46091</v>
      </c>
      <c r="N3" s="6">
        <f t="shared" si="0"/>
        <v>46092</v>
      </c>
      <c r="O3" s="6">
        <f t="shared" si="0"/>
        <v>46093</v>
      </c>
      <c r="P3" s="6">
        <f t="shared" si="0"/>
        <v>46094</v>
      </c>
      <c r="Q3" s="6">
        <f t="shared" si="0"/>
        <v>46095</v>
      </c>
      <c r="R3" s="6">
        <f t="shared" si="0"/>
        <v>46096</v>
      </c>
      <c r="S3" s="6">
        <f t="shared" si="0"/>
        <v>46097</v>
      </c>
      <c r="T3" s="6">
        <f t="shared" si="0"/>
        <v>46098</v>
      </c>
      <c r="U3" s="6">
        <f t="shared" si="0"/>
        <v>46099</v>
      </c>
      <c r="V3" s="6">
        <f t="shared" si="0"/>
        <v>46100</v>
      </c>
      <c r="W3" s="6">
        <f t="shared" si="0"/>
        <v>46101</v>
      </c>
      <c r="X3" s="6">
        <f t="shared" si="0"/>
        <v>46102</v>
      </c>
      <c r="Y3" s="6">
        <f t="shared" si="0"/>
        <v>46103</v>
      </c>
      <c r="Z3" s="6">
        <f t="shared" si="0"/>
        <v>46104</v>
      </c>
      <c r="AA3" s="6">
        <f t="shared" si="0"/>
        <v>46105</v>
      </c>
      <c r="AB3" s="6">
        <f t="shared" si="0"/>
        <v>46106</v>
      </c>
      <c r="AC3" s="6">
        <f t="shared" si="0"/>
        <v>46107</v>
      </c>
      <c r="AD3" s="6">
        <f t="shared" si="0"/>
        <v>46108</v>
      </c>
      <c r="AE3" s="6">
        <f t="shared" si="0"/>
        <v>46109</v>
      </c>
      <c r="AF3" s="6">
        <f t="shared" si="0"/>
        <v>46110</v>
      </c>
      <c r="AG3" s="6">
        <f t="shared" si="0"/>
        <v>46111</v>
      </c>
      <c r="AH3" s="7">
        <f t="shared" si="0"/>
        <v>46112</v>
      </c>
      <c r="AI3" s="88"/>
    </row>
    <row r="4" spans="3:41" x14ac:dyDescent="0.2">
      <c r="C4" s="68" t="str">
        <f>'勤務表（参照用）'!C4</f>
        <v>山村 博</v>
      </c>
      <c r="D4" s="29" t="str">
        <f>'勤務表（参照用）'!D4</f>
        <v>●</v>
      </c>
      <c r="E4" s="29" t="str">
        <f>'勤務表（参照用）'!E4</f>
        <v/>
      </c>
      <c r="F4" s="29" t="str">
        <f>'勤務表（参照用）'!F4</f>
        <v/>
      </c>
      <c r="G4" s="29" t="str">
        <f>'勤務表（参照用）'!G4</f>
        <v/>
      </c>
      <c r="H4" s="29" t="str">
        <f>'勤務表（参照用）'!H4</f>
        <v/>
      </c>
      <c r="I4" s="29" t="str">
        <f>'勤務表（参照用）'!I4</f>
        <v/>
      </c>
      <c r="J4" s="29" t="str">
        <f>'勤務表（参照用）'!J4</f>
        <v>／</v>
      </c>
      <c r="K4" s="29" t="str">
        <f>'勤務表（参照用）'!K4</f>
        <v>●</v>
      </c>
      <c r="L4" s="29" t="str">
        <f>'勤務表（参照用）'!L4</f>
        <v/>
      </c>
      <c r="M4" s="29" t="str">
        <f>'勤務表（参照用）'!M4</f>
        <v/>
      </c>
      <c r="N4" s="29" t="str">
        <f>'勤務表（参照用）'!N4</f>
        <v/>
      </c>
      <c r="O4" s="29" t="str">
        <f>'勤務表（参照用）'!O4</f>
        <v/>
      </c>
      <c r="P4" s="29" t="str">
        <f>'勤務表（参照用）'!P4</f>
        <v/>
      </c>
      <c r="Q4" s="29" t="str">
        <f>'勤務表（参照用）'!Q4</f>
        <v>／</v>
      </c>
      <c r="R4" s="29" t="str">
        <f>'勤務表（参照用）'!R4</f>
        <v>●</v>
      </c>
      <c r="S4" s="29" t="str">
        <f>'勤務表（参照用）'!S4</f>
        <v/>
      </c>
      <c r="T4" s="29" t="str">
        <f>'勤務表（参照用）'!T4</f>
        <v/>
      </c>
      <c r="U4" s="29" t="str">
        <f>'勤務表（参照用）'!U4</f>
        <v/>
      </c>
      <c r="V4" s="29" t="str">
        <f>'勤務表（参照用）'!V4</f>
        <v/>
      </c>
      <c r="W4" s="29" t="str">
        <f>'勤務表（参照用）'!W4</f>
        <v/>
      </c>
      <c r="X4" s="29" t="str">
        <f>'勤務表（参照用）'!X4</f>
        <v>／</v>
      </c>
      <c r="Y4" s="29" t="str">
        <f>'勤務表（参照用）'!Y4</f>
        <v>●</v>
      </c>
      <c r="Z4" s="29" t="str">
        <f>'勤務表（参照用）'!Z4</f>
        <v/>
      </c>
      <c r="AA4" s="29" t="str">
        <f>'勤務表（参照用）'!AA4</f>
        <v/>
      </c>
      <c r="AB4" s="29" t="str">
        <f>'勤務表（参照用）'!AB4</f>
        <v/>
      </c>
      <c r="AC4" s="29" t="str">
        <f>'勤務表（参照用）'!AC4</f>
        <v/>
      </c>
      <c r="AD4" s="29" t="str">
        <f>'勤務表（参照用）'!AD4</f>
        <v/>
      </c>
      <c r="AE4" s="29" t="str">
        <f>'勤務表（参照用）'!AE4</f>
        <v>／</v>
      </c>
      <c r="AF4" s="29" t="str">
        <f>'勤務表（参照用）'!AF4</f>
        <v>●</v>
      </c>
      <c r="AG4" s="29" t="str">
        <f>'勤務表（参照用）'!AG4</f>
        <v/>
      </c>
      <c r="AH4" s="29" t="str">
        <f>'勤務表（参照用）'!AH4</f>
        <v/>
      </c>
      <c r="AI4" s="29">
        <f>'勤務表（参照用）'!AI4</f>
        <v>0</v>
      </c>
      <c r="AJ4" s="30"/>
    </row>
    <row r="5" spans="3:41" x14ac:dyDescent="0.2">
      <c r="C5" s="69" t="str">
        <f>'勤務表（参照用）'!C5</f>
        <v>山下 修</v>
      </c>
      <c r="D5" s="29" t="str">
        <f>'勤務表（参照用）'!D5</f>
        <v>●</v>
      </c>
      <c r="E5" s="29" t="str">
        <f>'勤務表（参照用）'!E5</f>
        <v/>
      </c>
      <c r="F5" s="29" t="str">
        <f>'勤務表（参照用）'!F5</f>
        <v/>
      </c>
      <c r="G5" s="29" t="str">
        <f>'勤務表（参照用）'!G5</f>
        <v/>
      </c>
      <c r="H5" s="29" t="str">
        <f>'勤務表（参照用）'!H5</f>
        <v/>
      </c>
      <c r="I5" s="29" t="str">
        <f>'勤務表（参照用）'!I5</f>
        <v/>
      </c>
      <c r="J5" s="29" t="str">
        <f>'勤務表（参照用）'!J5</f>
        <v>／</v>
      </c>
      <c r="K5" s="29" t="str">
        <f>'勤務表（参照用）'!K5</f>
        <v>●</v>
      </c>
      <c r="L5" s="29" t="str">
        <f>'勤務表（参照用）'!L5</f>
        <v/>
      </c>
      <c r="M5" s="29" t="str">
        <f>'勤務表（参照用）'!M5</f>
        <v/>
      </c>
      <c r="N5" s="29" t="str">
        <f>'勤務表（参照用）'!N5</f>
        <v/>
      </c>
      <c r="O5" s="29" t="str">
        <f>'勤務表（参照用）'!O5</f>
        <v/>
      </c>
      <c r="P5" s="29" t="str">
        <f>'勤務表（参照用）'!P5</f>
        <v/>
      </c>
      <c r="Q5" s="29" t="str">
        <f>'勤務表（参照用）'!Q5</f>
        <v>○</v>
      </c>
      <c r="R5" s="29" t="str">
        <f>'勤務表（参照用）'!R5</f>
        <v>●</v>
      </c>
      <c r="S5" s="29" t="str">
        <f>'勤務表（参照用）'!S5</f>
        <v/>
      </c>
      <c r="T5" s="29" t="str">
        <f>'勤務表（参照用）'!T5</f>
        <v/>
      </c>
      <c r="U5" s="29" t="str">
        <f>'勤務表（参照用）'!U5</f>
        <v/>
      </c>
      <c r="V5" s="29" t="str">
        <f>'勤務表（参照用）'!V5</f>
        <v/>
      </c>
      <c r="W5" s="29" t="str">
        <f>'勤務表（参照用）'!W5</f>
        <v/>
      </c>
      <c r="X5" s="29" t="str">
        <f>'勤務表（参照用）'!X5</f>
        <v>／</v>
      </c>
      <c r="Y5" s="29" t="str">
        <f>'勤務表（参照用）'!Y5</f>
        <v>●</v>
      </c>
      <c r="Z5" s="29" t="str">
        <f>'勤務表（参照用）'!Z5</f>
        <v/>
      </c>
      <c r="AA5" s="29" t="str">
        <f>'勤務表（参照用）'!AA5</f>
        <v/>
      </c>
      <c r="AB5" s="29" t="str">
        <f>'勤務表（参照用）'!AB5</f>
        <v/>
      </c>
      <c r="AC5" s="29" t="str">
        <f>'勤務表（参照用）'!AC5</f>
        <v/>
      </c>
      <c r="AD5" s="29" t="str">
        <f>'勤務表（参照用）'!AD5</f>
        <v/>
      </c>
      <c r="AE5" s="29" t="str">
        <f>'勤務表（参照用）'!AE5</f>
        <v>○</v>
      </c>
      <c r="AF5" s="29" t="str">
        <f>'勤務表（参照用）'!AF5</f>
        <v>●</v>
      </c>
      <c r="AG5" s="29" t="str">
        <f>'勤務表（参照用）'!AG5</f>
        <v/>
      </c>
      <c r="AH5" s="29" t="str">
        <f>'勤務表（参照用）'!AH5</f>
        <v/>
      </c>
      <c r="AJ5" s="28"/>
      <c r="AK5" s="30"/>
      <c r="AO5" s="64">
        <f ca="1">NOW()</f>
        <v>45723.501369212965</v>
      </c>
    </row>
    <row r="6" spans="3:41" x14ac:dyDescent="0.2">
      <c r="C6" s="69" t="str">
        <f>'勤務表（参照用）'!C6</f>
        <v>平田 恵哉</v>
      </c>
      <c r="D6" s="29" t="str">
        <f>'勤務表（参照用）'!D6</f>
        <v>●</v>
      </c>
      <c r="E6" s="29" t="str">
        <f>'勤務表（参照用）'!E6</f>
        <v>当</v>
      </c>
      <c r="F6" s="29" t="str">
        <f>'勤務表（参照用）'!F6</f>
        <v>明</v>
      </c>
      <c r="G6" s="29" t="str">
        <f>'勤務表（参照用）'!G6</f>
        <v/>
      </c>
      <c r="H6" s="29" t="str">
        <f>'勤務表（参照用）'!H6</f>
        <v/>
      </c>
      <c r="I6" s="29" t="str">
        <f>'勤務表（参照用）'!I6</f>
        <v/>
      </c>
      <c r="J6" s="29" t="str">
        <f>'勤務表（参照用）'!J6</f>
        <v>／</v>
      </c>
      <c r="K6" s="29" t="str">
        <f>'勤務表（参照用）'!K6</f>
        <v>●</v>
      </c>
      <c r="L6" s="29" t="str">
        <f>'勤務表（参照用）'!L6</f>
        <v/>
      </c>
      <c r="M6" s="29" t="str">
        <f>'勤務表（参照用）'!M6</f>
        <v/>
      </c>
      <c r="N6" s="29" t="str">
        <f>'勤務表（参照用）'!N6</f>
        <v/>
      </c>
      <c r="O6" s="29" t="str">
        <f>'勤務表（参照用）'!O6</f>
        <v/>
      </c>
      <c r="P6" s="29" t="str">
        <f>'勤務表（参照用）'!P6</f>
        <v/>
      </c>
      <c r="Q6" s="29" t="str">
        <f>'勤務表（参照用）'!Q6</f>
        <v>／</v>
      </c>
      <c r="R6" s="29" t="str">
        <f>'勤務表（参照用）'!R6</f>
        <v>●</v>
      </c>
      <c r="S6" s="29" t="str">
        <f>'勤務表（参照用）'!S6</f>
        <v>当</v>
      </c>
      <c r="T6" s="29" t="str">
        <f>'勤務表（参照用）'!T6</f>
        <v>明</v>
      </c>
      <c r="U6" s="29" t="str">
        <f>'勤務表（参照用）'!U6</f>
        <v/>
      </c>
      <c r="V6" s="29" t="str">
        <f>'勤務表（参照用）'!V6</f>
        <v/>
      </c>
      <c r="W6" s="29" t="str">
        <f>'勤務表（参照用）'!W6</f>
        <v/>
      </c>
      <c r="X6" s="29" t="str">
        <f>'勤務表（参照用）'!X6</f>
        <v>／</v>
      </c>
      <c r="Y6" s="29" t="str">
        <f>'勤務表（参照用）'!Y6</f>
        <v>●</v>
      </c>
      <c r="Z6" s="29" t="str">
        <f>'勤務表（参照用）'!Z6</f>
        <v/>
      </c>
      <c r="AA6" s="29" t="str">
        <f>'勤務表（参照用）'!AA6</f>
        <v/>
      </c>
      <c r="AB6" s="29" t="str">
        <f>'勤務表（参照用）'!AB6</f>
        <v/>
      </c>
      <c r="AC6" s="29" t="str">
        <f>'勤務表（参照用）'!AC6</f>
        <v/>
      </c>
      <c r="AD6" s="29" t="str">
        <f>'勤務表（参照用）'!AD6</f>
        <v/>
      </c>
      <c r="AE6" s="29" t="str">
        <f>'勤務表（参照用）'!AE6</f>
        <v>／</v>
      </c>
      <c r="AF6" s="29" t="str">
        <f>'勤務表（参照用）'!AF6</f>
        <v>●</v>
      </c>
      <c r="AG6" s="29" t="str">
        <f>'勤務表（参照用）'!AG6</f>
        <v/>
      </c>
      <c r="AH6" s="29" t="str">
        <f>'勤務表（参照用）'!AH6</f>
        <v/>
      </c>
      <c r="AJ6" s="30"/>
    </row>
    <row r="7" spans="3:41" x14ac:dyDescent="0.2">
      <c r="C7" s="69" t="str">
        <f>'勤務表（参照用）'!C7</f>
        <v>長田 弘二</v>
      </c>
      <c r="D7" s="29" t="str">
        <f>'勤務表（参照用）'!D7</f>
        <v>●</v>
      </c>
      <c r="E7" s="29" t="str">
        <f>'勤務表（参照用）'!E7</f>
        <v/>
      </c>
      <c r="F7" s="29" t="str">
        <f>'勤務表（参照用）'!F7</f>
        <v/>
      </c>
      <c r="G7" s="29" t="str">
        <f>'勤務表（参照用）'!G7</f>
        <v/>
      </c>
      <c r="H7" s="29" t="str">
        <f>'勤務表（参照用）'!H7</f>
        <v/>
      </c>
      <c r="I7" s="29" t="str">
        <f>'勤務表（参照用）'!I7</f>
        <v/>
      </c>
      <c r="J7" s="29" t="str">
        <f>'勤務表（参照用）'!J7</f>
        <v>○</v>
      </c>
      <c r="K7" s="29" t="str">
        <f>'勤務表（参照用）'!K7</f>
        <v>●</v>
      </c>
      <c r="L7" s="29" t="str">
        <f>'勤務表（参照用）'!L7</f>
        <v/>
      </c>
      <c r="M7" s="29" t="str">
        <f>'勤務表（参照用）'!M7</f>
        <v/>
      </c>
      <c r="N7" s="29" t="str">
        <f>'勤務表（参照用）'!N7</f>
        <v>当</v>
      </c>
      <c r="O7" s="29" t="str">
        <f>'勤務表（参照用）'!O7</f>
        <v>明</v>
      </c>
      <c r="P7" s="29" t="str">
        <f>'勤務表（参照用）'!P7</f>
        <v/>
      </c>
      <c r="Q7" s="29" t="str">
        <f>'勤務表（参照用）'!Q7</f>
        <v>／</v>
      </c>
      <c r="R7" s="29" t="str">
        <f>'勤務表（参照用）'!R7</f>
        <v>●</v>
      </c>
      <c r="S7" s="29" t="str">
        <f>'勤務表（参照用）'!S7</f>
        <v/>
      </c>
      <c r="T7" s="29" t="str">
        <f>'勤務表（参照用）'!T7</f>
        <v/>
      </c>
      <c r="U7" s="29" t="str">
        <f>'勤務表（参照用）'!U7</f>
        <v/>
      </c>
      <c r="V7" s="29" t="str">
        <f>'勤務表（参照用）'!V7</f>
        <v/>
      </c>
      <c r="W7" s="29" t="str">
        <f>'勤務表（参照用）'!W7</f>
        <v/>
      </c>
      <c r="X7" s="29" t="str">
        <f>'勤務表（参照用）'!X7</f>
        <v>○</v>
      </c>
      <c r="Y7" s="29" t="str">
        <f>'勤務表（参照用）'!Y7</f>
        <v>●</v>
      </c>
      <c r="Z7" s="29" t="str">
        <f>'勤務表（参照用）'!Z7</f>
        <v/>
      </c>
      <c r="AA7" s="29" t="str">
        <f>'勤務表（参照用）'!AA7</f>
        <v/>
      </c>
      <c r="AB7" s="29" t="str">
        <f>'勤務表（参照用）'!AB7</f>
        <v/>
      </c>
      <c r="AC7" s="29" t="str">
        <f>'勤務表（参照用）'!AC7</f>
        <v>当</v>
      </c>
      <c r="AD7" s="29" t="str">
        <f>'勤務表（参照用）'!AD7</f>
        <v>明</v>
      </c>
      <c r="AE7" s="29" t="str">
        <f>'勤務表（参照用）'!AE7</f>
        <v>／</v>
      </c>
      <c r="AF7" s="29" t="str">
        <f>'勤務表（参照用）'!AF7</f>
        <v>●</v>
      </c>
      <c r="AG7" s="29" t="str">
        <f>'勤務表（参照用）'!AG7</f>
        <v/>
      </c>
      <c r="AH7" s="29" t="str">
        <f>'勤務表（参照用）'!AH7</f>
        <v/>
      </c>
      <c r="AJ7" s="28"/>
      <c r="AK7" s="30"/>
    </row>
    <row r="8" spans="3:41" x14ac:dyDescent="0.2">
      <c r="C8" s="69" t="str">
        <f>'勤務表（参照用）'!C8</f>
        <v>中井 士郎</v>
      </c>
      <c r="D8" s="29" t="str">
        <f>'勤務表（参照用）'!D8</f>
        <v>●</v>
      </c>
      <c r="E8" s="29" t="str">
        <f>'勤務表（参照用）'!E8</f>
        <v/>
      </c>
      <c r="F8" s="29" t="str">
        <f>'勤務表（参照用）'!F8</f>
        <v/>
      </c>
      <c r="G8" s="29" t="str">
        <f>'勤務表（参照用）'!G8</f>
        <v/>
      </c>
      <c r="H8" s="29" t="str">
        <f>'勤務表（参照用）'!H8</f>
        <v/>
      </c>
      <c r="I8" s="29" t="str">
        <f>'勤務表（参照用）'!I8</f>
        <v/>
      </c>
      <c r="J8" s="29" t="str">
        <f>'勤務表（参照用）'!J8</f>
        <v>○</v>
      </c>
      <c r="K8" s="29" t="str">
        <f>'勤務表（参照用）'!K8</f>
        <v>●</v>
      </c>
      <c r="L8" s="29" t="str">
        <f>'勤務表（参照用）'!L8</f>
        <v/>
      </c>
      <c r="M8" s="29" t="str">
        <f>'勤務表（参照用）'!M8</f>
        <v/>
      </c>
      <c r="N8" s="29" t="str">
        <f>'勤務表（参照用）'!N8</f>
        <v/>
      </c>
      <c r="O8" s="29" t="str">
        <f>'勤務表（参照用）'!O8</f>
        <v/>
      </c>
      <c r="P8" s="29" t="str">
        <f>'勤務表（参照用）'!P8</f>
        <v/>
      </c>
      <c r="Q8" s="29" t="str">
        <f>'勤務表（参照用）'!Q8</f>
        <v>／</v>
      </c>
      <c r="R8" s="29" t="str">
        <f>'勤務表（参照用）'!R8</f>
        <v>●</v>
      </c>
      <c r="S8" s="29" t="str">
        <f>'勤務表（参照用）'!S8</f>
        <v/>
      </c>
      <c r="T8" s="29" t="str">
        <f>'勤務表（参照用）'!T8</f>
        <v/>
      </c>
      <c r="U8" s="29" t="str">
        <f>'勤務表（参照用）'!U8</f>
        <v/>
      </c>
      <c r="V8" s="29" t="str">
        <f>'勤務表（参照用）'!V8</f>
        <v/>
      </c>
      <c r="W8" s="29" t="str">
        <f>'勤務表（参照用）'!W8</f>
        <v/>
      </c>
      <c r="X8" s="29" t="str">
        <f>'勤務表（参照用）'!X8</f>
        <v>○</v>
      </c>
      <c r="Y8" s="29" t="str">
        <f>'勤務表（参照用）'!Y8</f>
        <v>●</v>
      </c>
      <c r="Z8" s="29" t="str">
        <f>'勤務表（参照用）'!Z8</f>
        <v/>
      </c>
      <c r="AA8" s="29" t="str">
        <f>'勤務表（参照用）'!AA8</f>
        <v/>
      </c>
      <c r="AB8" s="29" t="str">
        <f>'勤務表（参照用）'!AB8</f>
        <v/>
      </c>
      <c r="AC8" s="29" t="str">
        <f>'勤務表（参照用）'!AC8</f>
        <v/>
      </c>
      <c r="AD8" s="29" t="str">
        <f>'勤務表（参照用）'!AD8</f>
        <v/>
      </c>
      <c r="AE8" s="29" t="str">
        <f>'勤務表（参照用）'!AE8</f>
        <v>／</v>
      </c>
      <c r="AF8" s="29" t="str">
        <f>'勤務表（参照用）'!AF8</f>
        <v>●</v>
      </c>
      <c r="AG8" s="29" t="str">
        <f>'勤務表（参照用）'!AG8</f>
        <v/>
      </c>
      <c r="AH8" s="29" t="str">
        <f>'勤務表（参照用）'!AH8</f>
        <v/>
      </c>
      <c r="AJ8" s="30"/>
    </row>
    <row r="9" spans="3:41" x14ac:dyDescent="0.2">
      <c r="C9" s="69" t="str">
        <f>'勤務表（参照用）'!C9</f>
        <v>北 洋一</v>
      </c>
      <c r="D9" s="29" t="str">
        <f>'勤務表（参照用）'!D9</f>
        <v>●</v>
      </c>
      <c r="E9" s="29" t="str">
        <f>'勤務表（参照用）'!E9</f>
        <v/>
      </c>
      <c r="F9" s="29" t="str">
        <f>'勤務表（参照用）'!F9</f>
        <v/>
      </c>
      <c r="G9" s="29" t="str">
        <f>'勤務表（参照用）'!G9</f>
        <v/>
      </c>
      <c r="H9" s="29" t="str">
        <f>'勤務表（参照用）'!H9</f>
        <v/>
      </c>
      <c r="I9" s="29" t="str">
        <f>'勤務表（参照用）'!I9</f>
        <v/>
      </c>
      <c r="J9" s="29" t="str">
        <f>'勤務表（参照用）'!J9</f>
        <v>○</v>
      </c>
      <c r="K9" s="29" t="str">
        <f>'勤務表（参照用）'!K9</f>
        <v>●</v>
      </c>
      <c r="L9" s="29" t="str">
        <f>'勤務表（参照用）'!L9</f>
        <v/>
      </c>
      <c r="M9" s="29" t="str">
        <f>'勤務表（参照用）'!M9</f>
        <v/>
      </c>
      <c r="N9" s="29" t="str">
        <f>'勤務表（参照用）'!N9</f>
        <v/>
      </c>
      <c r="O9" s="29" t="str">
        <f>'勤務表（参照用）'!O9</f>
        <v/>
      </c>
      <c r="P9" s="29" t="str">
        <f>'勤務表（参照用）'!P9</f>
        <v/>
      </c>
      <c r="Q9" s="29" t="str">
        <f>'勤務表（参照用）'!Q9</f>
        <v>／</v>
      </c>
      <c r="R9" s="29" t="str">
        <f>'勤務表（参照用）'!R9</f>
        <v>●</v>
      </c>
      <c r="S9" s="29" t="str">
        <f>'勤務表（参照用）'!S9</f>
        <v/>
      </c>
      <c r="T9" s="29" t="str">
        <f>'勤務表（参照用）'!T9</f>
        <v/>
      </c>
      <c r="U9" s="29" t="str">
        <f>'勤務表（参照用）'!U9</f>
        <v/>
      </c>
      <c r="V9" s="29" t="str">
        <f>'勤務表（参照用）'!V9</f>
        <v/>
      </c>
      <c r="W9" s="29" t="str">
        <f>'勤務表（参照用）'!W9</f>
        <v/>
      </c>
      <c r="X9" s="29" t="str">
        <f>'勤務表（参照用）'!X9</f>
        <v>○</v>
      </c>
      <c r="Y9" s="29" t="str">
        <f>'勤務表（参照用）'!Y9</f>
        <v>●</v>
      </c>
      <c r="Z9" s="29" t="str">
        <f>'勤務表（参照用）'!Z9</f>
        <v/>
      </c>
      <c r="AA9" s="29" t="str">
        <f>'勤務表（参照用）'!AA9</f>
        <v/>
      </c>
      <c r="AB9" s="29" t="str">
        <f>'勤務表（参照用）'!AB9</f>
        <v/>
      </c>
      <c r="AC9" s="29" t="str">
        <f>'勤務表（参照用）'!AC9</f>
        <v/>
      </c>
      <c r="AD9" s="29" t="str">
        <f>'勤務表（参照用）'!AD9</f>
        <v/>
      </c>
      <c r="AE9" s="29" t="str">
        <f>'勤務表（参照用）'!AE9</f>
        <v>／</v>
      </c>
      <c r="AF9" s="29" t="str">
        <f>'勤務表（参照用）'!AF9</f>
        <v>●</v>
      </c>
      <c r="AG9" s="29" t="str">
        <f>'勤務表（参照用）'!AG9</f>
        <v/>
      </c>
      <c r="AH9" s="29" t="str">
        <f>'勤務表（参照用）'!AH9</f>
        <v/>
      </c>
      <c r="AJ9" s="28"/>
      <c r="AK9" s="30"/>
    </row>
    <row r="10" spans="3:41" x14ac:dyDescent="0.2">
      <c r="C10" s="69" t="str">
        <f>'勤務表（参照用）'!C10</f>
        <v>中村 映水</v>
      </c>
      <c r="D10" s="29" t="str">
        <f>'勤務表（参照用）'!D10</f>
        <v>●</v>
      </c>
      <c r="E10" s="29" t="str">
        <f>'勤務表（参照用）'!E10</f>
        <v/>
      </c>
      <c r="F10" s="29" t="str">
        <f>'勤務表（参照用）'!F10</f>
        <v/>
      </c>
      <c r="G10" s="29" t="str">
        <f>'勤務表（参照用）'!G10</f>
        <v/>
      </c>
      <c r="H10" s="29" t="str">
        <f>'勤務表（参照用）'!H10</f>
        <v/>
      </c>
      <c r="I10" s="29" t="str">
        <f>'勤務表（参照用）'!I10</f>
        <v/>
      </c>
      <c r="J10" s="29" t="str">
        <f>'勤務表（参照用）'!J10</f>
        <v>○</v>
      </c>
      <c r="K10" s="29" t="str">
        <f>'勤務表（参照用）'!K10</f>
        <v>●</v>
      </c>
      <c r="L10" s="29" t="str">
        <f>'勤務表（参照用）'!L10</f>
        <v/>
      </c>
      <c r="M10" s="29" t="str">
        <f>'勤務表（参照用）'!M10</f>
        <v/>
      </c>
      <c r="N10" s="29" t="str">
        <f>'勤務表（参照用）'!N10</f>
        <v/>
      </c>
      <c r="O10" s="29" t="str">
        <f>'勤務表（参照用）'!O10</f>
        <v/>
      </c>
      <c r="P10" s="29" t="str">
        <f>'勤務表（参照用）'!P10</f>
        <v/>
      </c>
      <c r="Q10" s="29" t="str">
        <f>'勤務表（参照用）'!Q10</f>
        <v>／</v>
      </c>
      <c r="R10" s="29" t="str">
        <f>'勤務表（参照用）'!R10</f>
        <v>●</v>
      </c>
      <c r="S10" s="29" t="str">
        <f>'勤務表（参照用）'!S10</f>
        <v/>
      </c>
      <c r="T10" s="29" t="str">
        <f>'勤務表（参照用）'!T10</f>
        <v/>
      </c>
      <c r="U10" s="29" t="str">
        <f>'勤務表（参照用）'!U10</f>
        <v/>
      </c>
      <c r="V10" s="29" t="str">
        <f>'勤務表（参照用）'!V10</f>
        <v/>
      </c>
      <c r="W10" s="29" t="str">
        <f>'勤務表（参照用）'!W10</f>
        <v/>
      </c>
      <c r="X10" s="29" t="str">
        <f>'勤務表（参照用）'!X10</f>
        <v>○</v>
      </c>
      <c r="Y10" s="29" t="str">
        <f>'勤務表（参照用）'!Y10</f>
        <v>●</v>
      </c>
      <c r="Z10" s="29" t="str">
        <f>'勤務表（参照用）'!Z10</f>
        <v/>
      </c>
      <c r="AA10" s="29" t="str">
        <f>'勤務表（参照用）'!AA10</f>
        <v/>
      </c>
      <c r="AB10" s="29" t="str">
        <f>'勤務表（参照用）'!AB10</f>
        <v/>
      </c>
      <c r="AC10" s="29" t="str">
        <f>'勤務表（参照用）'!AC10</f>
        <v/>
      </c>
      <c r="AD10" s="29" t="str">
        <f>'勤務表（参照用）'!AD10</f>
        <v/>
      </c>
      <c r="AE10" s="29" t="str">
        <f>'勤務表（参照用）'!AE10</f>
        <v>／</v>
      </c>
      <c r="AF10" s="29" t="str">
        <f>'勤務表（参照用）'!AF10</f>
        <v>●</v>
      </c>
      <c r="AG10" s="29" t="str">
        <f>'勤務表（参照用）'!AG10</f>
        <v/>
      </c>
      <c r="AH10" s="29" t="str">
        <f>'勤務表（参照用）'!AH10</f>
        <v/>
      </c>
      <c r="AJ10" s="30"/>
    </row>
    <row r="11" spans="3:41" x14ac:dyDescent="0.2">
      <c r="C11" s="69" t="str">
        <f>'勤務表（参照用）'!C11</f>
        <v>平田 真奈美</v>
      </c>
      <c r="D11" s="29" t="str">
        <f>'勤務表（参照用）'!D11</f>
        <v>●</v>
      </c>
      <c r="E11" s="29" t="str">
        <f>'勤務表（参照用）'!E11</f>
        <v/>
      </c>
      <c r="F11" s="29" t="str">
        <f>'勤務表（参照用）'!F11</f>
        <v/>
      </c>
      <c r="G11" s="29" t="str">
        <f>'勤務表（参照用）'!G11</f>
        <v/>
      </c>
      <c r="H11" s="29" t="str">
        <f>'勤務表（参照用）'!H11</f>
        <v/>
      </c>
      <c r="I11" s="29" t="str">
        <f>'勤務表（参照用）'!I11</f>
        <v/>
      </c>
      <c r="J11" s="29" t="str">
        <f>'勤務表（参照用）'!J11</f>
        <v>／</v>
      </c>
      <c r="K11" s="29" t="str">
        <f>'勤務表（参照用）'!K11</f>
        <v>●</v>
      </c>
      <c r="L11" s="29" t="str">
        <f>'勤務表（参照用）'!L11</f>
        <v/>
      </c>
      <c r="M11" s="29" t="str">
        <f>'勤務表（参照用）'!M11</f>
        <v/>
      </c>
      <c r="N11" s="29" t="str">
        <f>'勤務表（参照用）'!N11</f>
        <v/>
      </c>
      <c r="O11" s="29" t="str">
        <f>'勤務表（参照用）'!O11</f>
        <v/>
      </c>
      <c r="P11" s="29" t="str">
        <f>'勤務表（参照用）'!P11</f>
        <v/>
      </c>
      <c r="Q11" s="29" t="str">
        <f>'勤務表（参照用）'!Q11</f>
        <v>○</v>
      </c>
      <c r="R11" s="29" t="str">
        <f>'勤務表（参照用）'!R11</f>
        <v>●</v>
      </c>
      <c r="S11" s="29" t="str">
        <f>'勤務表（参照用）'!S11</f>
        <v/>
      </c>
      <c r="T11" s="29" t="str">
        <f>'勤務表（参照用）'!T11</f>
        <v/>
      </c>
      <c r="U11" s="29" t="str">
        <f>'勤務表（参照用）'!U11</f>
        <v/>
      </c>
      <c r="V11" s="29" t="str">
        <f>'勤務表（参照用）'!V11</f>
        <v/>
      </c>
      <c r="W11" s="29" t="str">
        <f>'勤務表（参照用）'!W11</f>
        <v/>
      </c>
      <c r="X11" s="29" t="str">
        <f>'勤務表（参照用）'!X11</f>
        <v>／</v>
      </c>
      <c r="Y11" s="29" t="str">
        <f>'勤務表（参照用）'!Y11</f>
        <v>●</v>
      </c>
      <c r="Z11" s="29" t="str">
        <f>'勤務表（参照用）'!Z11</f>
        <v/>
      </c>
      <c r="AA11" s="29" t="str">
        <f>'勤務表（参照用）'!AA11</f>
        <v/>
      </c>
      <c r="AB11" s="29" t="str">
        <f>'勤務表（参照用）'!AB11</f>
        <v/>
      </c>
      <c r="AC11" s="29" t="str">
        <f>'勤務表（参照用）'!AC11</f>
        <v/>
      </c>
      <c r="AD11" s="29" t="str">
        <f>'勤務表（参照用）'!AD11</f>
        <v/>
      </c>
      <c r="AE11" s="29" t="str">
        <f>'勤務表（参照用）'!AE11</f>
        <v>○</v>
      </c>
      <c r="AF11" s="29" t="str">
        <f>'勤務表（参照用）'!AF11</f>
        <v>●</v>
      </c>
      <c r="AG11" s="29" t="str">
        <f>'勤務表（参照用）'!AG11</f>
        <v/>
      </c>
      <c r="AH11" s="29" t="str">
        <f>'勤務表（参照用）'!AH11</f>
        <v/>
      </c>
      <c r="AJ11" s="28"/>
      <c r="AK11" s="30"/>
    </row>
    <row r="12" spans="3:41" x14ac:dyDescent="0.2">
      <c r="C12" s="69" t="str">
        <f>'勤務表（参照用）'!C12</f>
        <v>大橋 効</v>
      </c>
      <c r="D12" s="29" t="str">
        <f>'勤務表（参照用）'!D12</f>
        <v>●</v>
      </c>
      <c r="E12" s="29" t="str">
        <f>'勤務表（参照用）'!E12</f>
        <v/>
      </c>
      <c r="F12" s="29" t="str">
        <f>'勤務表（参照用）'!F12</f>
        <v/>
      </c>
      <c r="G12" s="29" t="str">
        <f>'勤務表（参照用）'!G12</f>
        <v/>
      </c>
      <c r="H12" s="29" t="str">
        <f>'勤務表（参照用）'!H12</f>
        <v/>
      </c>
      <c r="I12" s="29" t="str">
        <f>'勤務表（参照用）'!I12</f>
        <v/>
      </c>
      <c r="J12" s="29" t="str">
        <f>'勤務表（参照用）'!J12</f>
        <v>○</v>
      </c>
      <c r="K12" s="29" t="str">
        <f>'勤務表（参照用）'!K12</f>
        <v>●</v>
      </c>
      <c r="L12" s="29" t="str">
        <f>'勤務表（参照用）'!L12</f>
        <v>当</v>
      </c>
      <c r="M12" s="29" t="str">
        <f>'勤務表（参照用）'!M12</f>
        <v>明</v>
      </c>
      <c r="N12" s="29" t="str">
        <f>'勤務表（参照用）'!N12</f>
        <v/>
      </c>
      <c r="O12" s="29" t="str">
        <f>'勤務表（参照用）'!O12</f>
        <v/>
      </c>
      <c r="P12" s="29" t="str">
        <f>'勤務表（参照用）'!P12</f>
        <v>当</v>
      </c>
      <c r="Q12" s="29" t="str">
        <f>'勤務表（参照用）'!Q12</f>
        <v>明</v>
      </c>
      <c r="R12" s="29" t="str">
        <f>'勤務表（参照用）'!R12</f>
        <v>●</v>
      </c>
      <c r="S12" s="29" t="str">
        <f>'勤務表（参照用）'!S12</f>
        <v/>
      </c>
      <c r="T12" s="29" t="str">
        <f>'勤務表（参照用）'!T12</f>
        <v/>
      </c>
      <c r="U12" s="29" t="str">
        <f>'勤務表（参照用）'!U12</f>
        <v/>
      </c>
      <c r="V12" s="29" t="str">
        <f>'勤務表（参照用）'!V12</f>
        <v/>
      </c>
      <c r="W12" s="29" t="str">
        <f>'勤務表（参照用）'!W12</f>
        <v/>
      </c>
      <c r="X12" s="29" t="str">
        <f>'勤務表（参照用）'!X12</f>
        <v>○</v>
      </c>
      <c r="Y12" s="29" t="str">
        <f>'勤務表（参照用）'!Y12</f>
        <v>当</v>
      </c>
      <c r="Z12" s="29" t="str">
        <f>'勤務表（参照用）'!Z12</f>
        <v>明</v>
      </c>
      <c r="AA12" s="29" t="str">
        <f>'勤務表（参照用）'!AA12</f>
        <v>●</v>
      </c>
      <c r="AB12" s="29" t="str">
        <f>'勤務表（参照用）'!AB12</f>
        <v/>
      </c>
      <c r="AC12" s="29" t="str">
        <f>'勤務表（参照用）'!AC12</f>
        <v/>
      </c>
      <c r="AD12" s="29" t="str">
        <f>'勤務表（参照用）'!AD12</f>
        <v/>
      </c>
      <c r="AE12" s="29" t="str">
        <f>'勤務表（参照用）'!AE12</f>
        <v>当</v>
      </c>
      <c r="AF12" s="29" t="str">
        <f>'勤務表（参照用）'!AF12</f>
        <v>明</v>
      </c>
      <c r="AG12" s="29" t="str">
        <f>'勤務表（参照用）'!AG12</f>
        <v>●</v>
      </c>
      <c r="AH12" s="29" t="str">
        <f>'勤務表（参照用）'!AH12</f>
        <v/>
      </c>
      <c r="AJ12" s="30"/>
    </row>
    <row r="13" spans="3:41" x14ac:dyDescent="0.2">
      <c r="C13" s="69" t="str">
        <f>'勤務表（参照用）'!C13</f>
        <v>山本 浩之</v>
      </c>
      <c r="D13" s="29" t="str">
        <f>'勤務表（参照用）'!D13</f>
        <v>●</v>
      </c>
      <c r="E13" s="29" t="str">
        <f>'勤務表（参照用）'!E13</f>
        <v/>
      </c>
      <c r="F13" s="29" t="str">
        <f>'勤務表（参照用）'!F13</f>
        <v/>
      </c>
      <c r="G13" s="29" t="str">
        <f>'勤務表（参照用）'!G13</f>
        <v/>
      </c>
      <c r="H13" s="29" t="str">
        <f>'勤務表（参照用）'!H13</f>
        <v/>
      </c>
      <c r="I13" s="29" t="str">
        <f>'勤務表（参照用）'!I13</f>
        <v>当</v>
      </c>
      <c r="J13" s="29" t="str">
        <f>'勤務表（参照用）'!J13</f>
        <v>明</v>
      </c>
      <c r="K13" s="29" t="str">
        <f>'勤務表（参照用）'!K13</f>
        <v>●</v>
      </c>
      <c r="L13" s="29" t="str">
        <f>'勤務表（参照用）'!L13</f>
        <v/>
      </c>
      <c r="M13" s="29" t="str">
        <f>'勤務表（参照用）'!M13</f>
        <v/>
      </c>
      <c r="N13" s="29" t="str">
        <f>'勤務表（参照用）'!N13</f>
        <v/>
      </c>
      <c r="O13" s="29" t="str">
        <f>'勤務表（参照用）'!O13</f>
        <v/>
      </c>
      <c r="P13" s="29" t="str">
        <f>'勤務表（参照用）'!P13</f>
        <v/>
      </c>
      <c r="Q13" s="29" t="str">
        <f>'勤務表（参照用）'!Q13</f>
        <v>○</v>
      </c>
      <c r="R13" s="29" t="str">
        <f>'勤務表（参照用）'!R13</f>
        <v>●</v>
      </c>
      <c r="S13" s="29" t="str">
        <f>'勤務表（参照用）'!S13</f>
        <v/>
      </c>
      <c r="T13" s="29" t="str">
        <f>'勤務表（参照用）'!T13</f>
        <v/>
      </c>
      <c r="U13" s="29" t="str">
        <f>'勤務表（参照用）'!U13</f>
        <v/>
      </c>
      <c r="V13" s="29" t="str">
        <f>'勤務表（参照用）'!V13</f>
        <v/>
      </c>
      <c r="W13" s="29" t="str">
        <f>'勤務表（参照用）'!W13</f>
        <v/>
      </c>
      <c r="X13" s="29" t="str">
        <f>'勤務表（参照用）'!X13</f>
        <v>当</v>
      </c>
      <c r="Y13" s="29" t="str">
        <f>'勤務表（参照用）'!Y13</f>
        <v>明</v>
      </c>
      <c r="Z13" s="29" t="str">
        <f>'勤務表（参照用）'!Z13</f>
        <v>●</v>
      </c>
      <c r="AA13" s="29" t="str">
        <f>'勤務表（参照用）'!AA13</f>
        <v/>
      </c>
      <c r="AB13" s="29" t="str">
        <f>'勤務表（参照用）'!AB13</f>
        <v/>
      </c>
      <c r="AC13" s="29" t="str">
        <f>'勤務表（参照用）'!AC13</f>
        <v/>
      </c>
      <c r="AD13" s="29" t="str">
        <f>'勤務表（参照用）'!AD13</f>
        <v/>
      </c>
      <c r="AE13" s="29" t="str">
        <f>'勤務表（参照用）'!AE13</f>
        <v>○</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v>
      </c>
      <c r="E14" s="29" t="str">
        <f>'勤務表（参照用）'!E14</f>
        <v/>
      </c>
      <c r="F14" s="29" t="str">
        <f>'勤務表（参照用）'!F14</f>
        <v/>
      </c>
      <c r="G14" s="29" t="str">
        <f>'勤務表（参照用）'!G14</f>
        <v/>
      </c>
      <c r="H14" s="29" t="str">
        <f>'勤務表（参照用）'!H14</f>
        <v/>
      </c>
      <c r="I14" s="29" t="str">
        <f>'勤務表（参照用）'!I14</f>
        <v/>
      </c>
      <c r="J14" s="29" t="str">
        <f>'勤務表（参照用）'!J14</f>
        <v>当</v>
      </c>
      <c r="K14" s="29" t="str">
        <f>'勤務表（参照用）'!K14</f>
        <v>明</v>
      </c>
      <c r="L14" s="29" t="str">
        <f>'勤務表（参照用）'!L14</f>
        <v>●</v>
      </c>
      <c r="M14" s="29" t="str">
        <f>'勤務表（参照用）'!M14</f>
        <v/>
      </c>
      <c r="N14" s="29" t="str">
        <f>'勤務表（参照用）'!N14</f>
        <v/>
      </c>
      <c r="O14" s="29" t="str">
        <f>'勤務表（参照用）'!O14</f>
        <v/>
      </c>
      <c r="P14" s="29" t="str">
        <f>'勤務表（参照用）'!P14</f>
        <v/>
      </c>
      <c r="Q14" s="29" t="str">
        <f>'勤務表（参照用）'!Q14</f>
        <v>○</v>
      </c>
      <c r="R14" s="29" t="str">
        <f>'勤務表（参照用）'!R14</f>
        <v/>
      </c>
      <c r="S14" s="29" t="str">
        <f>'勤務表（参照用）'!S14</f>
        <v/>
      </c>
      <c r="T14" s="29" t="str">
        <f>'勤務表（参照用）'!T14</f>
        <v/>
      </c>
      <c r="U14" s="29" t="str">
        <f>'勤務表（参照用）'!U14</f>
        <v/>
      </c>
      <c r="V14" s="29" t="str">
        <f>'勤務表（参照用）'!V14</f>
        <v/>
      </c>
      <c r="W14" s="29" t="str">
        <f>'勤務表（参照用）'!W14</f>
        <v/>
      </c>
      <c r="X14" s="29" t="str">
        <f>'勤務表（参照用）'!X14</f>
        <v>／</v>
      </c>
      <c r="Y14" s="29" t="str">
        <f>'勤務表（参照用）'!Y14</f>
        <v>●</v>
      </c>
      <c r="Z14" s="29" t="str">
        <f>'勤務表（参照用）'!Z14</f>
        <v/>
      </c>
      <c r="AA14" s="29" t="str">
        <f>'勤務表（参照用）'!AA14</f>
        <v/>
      </c>
      <c r="AB14" s="29" t="str">
        <f>'勤務表（参照用）'!AB14</f>
        <v>当</v>
      </c>
      <c r="AC14" s="29" t="str">
        <f>'勤務表（参照用）'!AC14</f>
        <v>明</v>
      </c>
      <c r="AD14" s="29" t="str">
        <f>'勤務表（参照用）'!AD14</f>
        <v/>
      </c>
      <c r="AE14" s="29" t="str">
        <f>'勤務表（参照用）'!AE14</f>
        <v>○</v>
      </c>
      <c r="AF14" s="29" t="str">
        <f>'勤務表（参照用）'!AF14</f>
        <v>●</v>
      </c>
      <c r="AG14" s="29" t="str">
        <f>'勤務表（参照用）'!AG14</f>
        <v>当</v>
      </c>
      <c r="AH14" s="29" t="str">
        <f>'勤務表（参照用）'!AH14</f>
        <v>明</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当</v>
      </c>
      <c r="H15" s="29" t="str">
        <f>'勤務表（参照用）'!H15</f>
        <v>明</v>
      </c>
      <c r="I15" s="29" t="str">
        <f>'勤務表（参照用）'!I15</f>
        <v/>
      </c>
      <c r="J15" s="29" t="str">
        <f>'勤務表（参照用）'!J15</f>
        <v>／</v>
      </c>
      <c r="K15" s="29" t="str">
        <f>'勤務表（参照用）'!K15</f>
        <v>●</v>
      </c>
      <c r="L15" s="29" t="str">
        <f>'勤務表（参照用）'!L15</f>
        <v/>
      </c>
      <c r="M15" s="29" t="str">
        <f>'勤務表（参照用）'!M15</f>
        <v/>
      </c>
      <c r="N15" s="29" t="str">
        <f>'勤務表（参照用）'!N15</f>
        <v/>
      </c>
      <c r="O15" s="29" t="str">
        <f>'勤務表（参照用）'!O15</f>
        <v/>
      </c>
      <c r="P15" s="29" t="str">
        <f>'勤務表（参照用）'!P15</f>
        <v/>
      </c>
      <c r="Q15" s="29" t="str">
        <f>'勤務表（参照用）'!Q15</f>
        <v>○</v>
      </c>
      <c r="R15" s="29" t="str">
        <f>'勤務表（参照用）'!R15</f>
        <v>●</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v>
      </c>
      <c r="Z15" s="29" t="str">
        <f>'勤務表（参照用）'!Z15</f>
        <v/>
      </c>
      <c r="AA15" s="29" t="str">
        <f>'勤務表（参照用）'!AA15</f>
        <v/>
      </c>
      <c r="AB15" s="29" t="str">
        <f>'勤務表（参照用）'!AB15</f>
        <v/>
      </c>
      <c r="AC15" s="29" t="str">
        <f>'勤務表（参照用）'!AC15</f>
        <v/>
      </c>
      <c r="AD15" s="29" t="str">
        <f>'勤務表（参照用）'!AD15</f>
        <v/>
      </c>
      <c r="AE15" s="29" t="str">
        <f>'勤務表（参照用）'!AE15</f>
        <v>○</v>
      </c>
      <c r="AF15" s="29" t="str">
        <f>'勤務表（参照用）'!AF15</f>
        <v>●</v>
      </c>
      <c r="AG15" s="29" t="str">
        <f>'勤務表（参照用）'!AG15</f>
        <v/>
      </c>
      <c r="AH15" s="29" t="str">
        <f>'勤務表（参照用）'!AH15</f>
        <v/>
      </c>
      <c r="AJ15" s="28"/>
      <c r="AK15" s="30"/>
    </row>
    <row r="16" spans="3:41" x14ac:dyDescent="0.2">
      <c r="C16" s="69" t="str">
        <f>'勤務表（参照用）'!C16</f>
        <v>清水 和弥</v>
      </c>
      <c r="D16" s="29" t="str">
        <f>'勤務表（参照用）'!D16</f>
        <v>●</v>
      </c>
      <c r="E16" s="29" t="str">
        <f>'勤務表（参照用）'!E16</f>
        <v/>
      </c>
      <c r="F16" s="29" t="str">
        <f>'勤務表（参照用）'!F16</f>
        <v/>
      </c>
      <c r="G16" s="29" t="str">
        <f>'勤務表（参照用）'!G16</f>
        <v/>
      </c>
      <c r="H16" s="29" t="str">
        <f>'勤務表（参照用）'!H16</f>
        <v/>
      </c>
      <c r="I16" s="29" t="str">
        <f>'勤務表（参照用）'!I16</f>
        <v/>
      </c>
      <c r="J16" s="29" t="str">
        <f>'勤務表（参照用）'!J16</f>
        <v>○</v>
      </c>
      <c r="K16" s="29" t="str">
        <f>'勤務表（参照用）'!K16</f>
        <v>●</v>
      </c>
      <c r="L16" s="29" t="str">
        <f>'勤務表（参照用）'!L16</f>
        <v/>
      </c>
      <c r="M16" s="29" t="str">
        <f>'勤務表（参照用）'!M16</f>
        <v/>
      </c>
      <c r="N16" s="29" t="str">
        <f>'勤務表（参照用）'!N16</f>
        <v/>
      </c>
      <c r="O16" s="29" t="str">
        <f>'勤務表（参照用）'!O16</f>
        <v/>
      </c>
      <c r="P16" s="29" t="str">
        <f>'勤務表（参照用）'!P16</f>
        <v/>
      </c>
      <c r="Q16" s="29" t="str">
        <f>'勤務表（参照用）'!Q16</f>
        <v>／</v>
      </c>
      <c r="R16" s="29" t="str">
        <f>'勤務表（参照用）'!R16</f>
        <v>●</v>
      </c>
      <c r="S16" s="29" t="str">
        <f>'勤務表（参照用）'!S16</f>
        <v/>
      </c>
      <c r="T16" s="29" t="str">
        <f>'勤務表（参照用）'!T16</f>
        <v/>
      </c>
      <c r="U16" s="29" t="str">
        <f>'勤務表（参照用）'!U16</f>
        <v/>
      </c>
      <c r="V16" s="29" t="str">
        <f>'勤務表（参照用）'!V16</f>
        <v/>
      </c>
      <c r="W16" s="29" t="str">
        <f>'勤務表（参照用）'!W16</f>
        <v/>
      </c>
      <c r="X16" s="29" t="str">
        <f>'勤務表（参照用）'!X16</f>
        <v>○</v>
      </c>
      <c r="Y16" s="29" t="str">
        <f>'勤務表（参照用）'!Y16</f>
        <v>●</v>
      </c>
      <c r="Z16" s="29" t="str">
        <f>'勤務表（参照用）'!Z16</f>
        <v/>
      </c>
      <c r="AA16" s="29" t="str">
        <f>'勤務表（参照用）'!AA16</f>
        <v/>
      </c>
      <c r="AB16" s="29" t="str">
        <f>'勤務表（参照用）'!AB16</f>
        <v/>
      </c>
      <c r="AC16" s="29" t="str">
        <f>'勤務表（参照用）'!AC16</f>
        <v/>
      </c>
      <c r="AD16" s="29" t="str">
        <f>'勤務表（参照用）'!AD16</f>
        <v/>
      </c>
      <c r="AE16" s="29" t="str">
        <f>'勤務表（参照用）'!AE16</f>
        <v>／</v>
      </c>
      <c r="AF16" s="29" t="str">
        <f>'勤務表（参照用）'!AF16</f>
        <v>●</v>
      </c>
      <c r="AG16" s="29" t="str">
        <f>'勤務表（参照用）'!AG16</f>
        <v/>
      </c>
      <c r="AH16" s="29" t="str">
        <f>'勤務表（参照用）'!AH16</f>
        <v/>
      </c>
      <c r="AJ16" s="30"/>
    </row>
    <row r="17" spans="3:37" x14ac:dyDescent="0.2">
      <c r="C17" s="69" t="str">
        <f>'勤務表（参照用）'!C17</f>
        <v>坪野 寿恵</v>
      </c>
      <c r="D17" s="29" t="str">
        <f>'勤務表（参照用）'!D17</f>
        <v>●</v>
      </c>
      <c r="E17" s="29" t="str">
        <f>'勤務表（参照用）'!E17</f>
        <v/>
      </c>
      <c r="F17" s="29" t="str">
        <f>'勤務表（参照用）'!F17</f>
        <v/>
      </c>
      <c r="G17" s="29" t="str">
        <f>'勤務表（参照用）'!G17</f>
        <v/>
      </c>
      <c r="H17" s="29" t="str">
        <f>'勤務表（参照用）'!H17</f>
        <v/>
      </c>
      <c r="I17" s="29" t="str">
        <f>'勤務表（参照用）'!I17</f>
        <v/>
      </c>
      <c r="J17" s="29" t="str">
        <f>'勤務表（参照用）'!J17</f>
        <v>／</v>
      </c>
      <c r="K17" s="29" t="str">
        <f>'勤務表（参照用）'!K17</f>
        <v>●</v>
      </c>
      <c r="L17" s="29" t="str">
        <f>'勤務表（参照用）'!L17</f>
        <v/>
      </c>
      <c r="M17" s="29" t="str">
        <f>'勤務表（参照用）'!M17</f>
        <v/>
      </c>
      <c r="N17" s="29" t="str">
        <f>'勤務表（参照用）'!N17</f>
        <v/>
      </c>
      <c r="O17" s="29" t="str">
        <f>'勤務表（参照用）'!O17</f>
        <v/>
      </c>
      <c r="P17" s="29" t="str">
        <f>'勤務表（参照用）'!P17</f>
        <v/>
      </c>
      <c r="Q17" s="29" t="str">
        <f>'勤務表（参照用）'!Q17</f>
        <v>○</v>
      </c>
      <c r="R17" s="29" t="str">
        <f>'勤務表（参照用）'!R17</f>
        <v>●</v>
      </c>
      <c r="S17" s="29" t="str">
        <f>'勤務表（参照用）'!S17</f>
        <v/>
      </c>
      <c r="T17" s="29" t="str">
        <f>'勤務表（参照用）'!T17</f>
        <v/>
      </c>
      <c r="U17" s="29" t="str">
        <f>'勤務表（参照用）'!U17</f>
        <v/>
      </c>
      <c r="V17" s="29" t="str">
        <f>'勤務表（参照用）'!V17</f>
        <v/>
      </c>
      <c r="W17" s="29" t="str">
        <f>'勤務表（参照用）'!W17</f>
        <v/>
      </c>
      <c r="X17" s="29" t="str">
        <f>'勤務表（参照用）'!X17</f>
        <v>／</v>
      </c>
      <c r="Y17" s="29" t="str">
        <f>'勤務表（参照用）'!Y17</f>
        <v>●</v>
      </c>
      <c r="Z17" s="29" t="str">
        <f>'勤務表（参照用）'!Z17</f>
        <v/>
      </c>
      <c r="AA17" s="29" t="str">
        <f>'勤務表（参照用）'!AA17</f>
        <v/>
      </c>
      <c r="AB17" s="29" t="str">
        <f>'勤務表（参照用）'!AB17</f>
        <v/>
      </c>
      <c r="AC17" s="29" t="str">
        <f>'勤務表（参照用）'!AC17</f>
        <v/>
      </c>
      <c r="AD17" s="29" t="str">
        <f>'勤務表（参照用）'!AD17</f>
        <v/>
      </c>
      <c r="AE17" s="29" t="str">
        <f>'勤務表（参照用）'!AE17</f>
        <v>○</v>
      </c>
      <c r="AF17" s="29" t="str">
        <f>'勤務表（参照用）'!AF17</f>
        <v>●</v>
      </c>
      <c r="AG17" s="29" t="str">
        <f>'勤務表（参照用）'!AG17</f>
        <v/>
      </c>
      <c r="AH17" s="29" t="str">
        <f>'勤務表（参照用）'!AH17</f>
        <v/>
      </c>
      <c r="AJ17" s="28"/>
      <c r="AK17" s="30"/>
    </row>
    <row r="18" spans="3:37" x14ac:dyDescent="0.2">
      <c r="C18" s="69" t="str">
        <f>'勤務表（参照用）'!C18</f>
        <v>山田 正則</v>
      </c>
      <c r="D18" s="29" t="str">
        <f>'勤務表（参照用）'!D18</f>
        <v>●</v>
      </c>
      <c r="E18" s="29" t="str">
        <f>'勤務表（参照用）'!E18</f>
        <v/>
      </c>
      <c r="F18" s="29" t="str">
        <f>'勤務表（参照用）'!F18</f>
        <v/>
      </c>
      <c r="G18" s="29" t="str">
        <f>'勤務表（参照用）'!G18</f>
        <v/>
      </c>
      <c r="H18" s="29" t="str">
        <f>'勤務表（参照用）'!H18</f>
        <v/>
      </c>
      <c r="I18" s="29" t="str">
        <f>'勤務表（参照用）'!I18</f>
        <v/>
      </c>
      <c r="J18" s="29" t="str">
        <f>'勤務表（参照用）'!J18</f>
        <v>／</v>
      </c>
      <c r="K18" s="29" t="str">
        <f>'勤務表（参照用）'!K18</f>
        <v>●</v>
      </c>
      <c r="L18" s="29" t="str">
        <f>'勤務表（参照用）'!L18</f>
        <v/>
      </c>
      <c r="M18" s="29" t="str">
        <f>'勤務表（参照用）'!M18</f>
        <v>当</v>
      </c>
      <c r="N18" s="29" t="str">
        <f>'勤務表（参照用）'!N18</f>
        <v>明</v>
      </c>
      <c r="O18" s="29" t="str">
        <f>'勤務表（参照用）'!O18</f>
        <v/>
      </c>
      <c r="P18" s="29" t="str">
        <f>'勤務表（参照用）'!P18</f>
        <v/>
      </c>
      <c r="Q18" s="29" t="str">
        <f>'勤務表（参照用）'!Q18</f>
        <v>○</v>
      </c>
      <c r="R18" s="29" t="str">
        <f>'勤務表（参照用）'!R18</f>
        <v>●</v>
      </c>
      <c r="S18" s="29" t="str">
        <f>'勤務表（参照用）'!S18</f>
        <v/>
      </c>
      <c r="T18" s="29" t="str">
        <f>'勤務表（参照用）'!T18</f>
        <v/>
      </c>
      <c r="U18" s="29" t="str">
        <f>'勤務表（参照用）'!U18</f>
        <v/>
      </c>
      <c r="V18" s="29" t="str">
        <f>'勤務表（参照用）'!V18</f>
        <v/>
      </c>
      <c r="W18" s="29" t="str">
        <f>'勤務表（参照用）'!W18</f>
        <v>当</v>
      </c>
      <c r="X18" s="29" t="str">
        <f>'勤務表（参照用）'!X18</f>
        <v>明</v>
      </c>
      <c r="Y18" s="29" t="str">
        <f>'勤務表（参照用）'!Y18</f>
        <v>●</v>
      </c>
      <c r="Z18" s="29" t="str">
        <f>'勤務表（参照用）'!Z18</f>
        <v/>
      </c>
      <c r="AA18" s="29" t="str">
        <f>'勤務表（参照用）'!AA18</f>
        <v/>
      </c>
      <c r="AB18" s="29" t="str">
        <f>'勤務表（参照用）'!AB18</f>
        <v/>
      </c>
      <c r="AC18" s="29" t="str">
        <f>'勤務表（参照用）'!AC18</f>
        <v/>
      </c>
      <c r="AD18" s="29" t="str">
        <f>'勤務表（参照用）'!AD18</f>
        <v/>
      </c>
      <c r="AE18" s="29" t="str">
        <f>'勤務表（参照用）'!AE18</f>
        <v>○</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v>
      </c>
      <c r="E19" s="29" t="str">
        <f>'勤務表（参照用）'!E19</f>
        <v/>
      </c>
      <c r="F19" s="29" t="str">
        <f>'勤務表（参照用）'!F19</f>
        <v/>
      </c>
      <c r="G19" s="29" t="str">
        <f>'勤務表（参照用）'!G19</f>
        <v/>
      </c>
      <c r="H19" s="29" t="str">
        <f>'勤務表（参照用）'!H19</f>
        <v/>
      </c>
      <c r="I19" s="29" t="str">
        <f>'勤務表（参照用）'!I19</f>
        <v/>
      </c>
      <c r="J19" s="29" t="str">
        <f>'勤務表（参照用）'!J19</f>
        <v>○</v>
      </c>
      <c r="K19" s="29" t="str">
        <f>'勤務表（参照用）'!K19</f>
        <v>当</v>
      </c>
      <c r="L19" s="29" t="str">
        <f>'勤務表（参照用）'!L19</f>
        <v>明</v>
      </c>
      <c r="M19" s="29" t="str">
        <f>'勤務表（参照用）'!M19</f>
        <v>●</v>
      </c>
      <c r="N19" s="29" t="str">
        <f>'勤務表（参照用）'!N19</f>
        <v/>
      </c>
      <c r="O19" s="29" t="str">
        <f>'勤務表（参照用）'!O19</f>
        <v/>
      </c>
      <c r="P19" s="29" t="str">
        <f>'勤務表（参照用）'!P19</f>
        <v/>
      </c>
      <c r="Q19" s="29" t="str">
        <f>'勤務表（参照用）'!Q19</f>
        <v>／</v>
      </c>
      <c r="R19" s="29" t="str">
        <f>'勤務表（参照用）'!R19</f>
        <v>●</v>
      </c>
      <c r="S19" s="29" t="str">
        <f>'勤務表（参照用）'!S19</f>
        <v/>
      </c>
      <c r="T19" s="29" t="str">
        <f>'勤務表（参照用）'!T19</f>
        <v/>
      </c>
      <c r="U19" s="29" t="str">
        <f>'勤務表（参照用）'!U19</f>
        <v/>
      </c>
      <c r="V19" s="29" t="str">
        <f>'勤務表（参照用）'!V19</f>
        <v/>
      </c>
      <c r="W19" s="29" t="str">
        <f>'勤務表（参照用）'!W19</f>
        <v/>
      </c>
      <c r="X19" s="29" t="str">
        <f>'勤務表（参照用）'!X19</f>
        <v>○</v>
      </c>
      <c r="Y19" s="29" t="str">
        <f>'勤務表（参照用）'!Y19</f>
        <v>●</v>
      </c>
      <c r="Z19" s="29" t="str">
        <f>'勤務表（参照用）'!Z19</f>
        <v/>
      </c>
      <c r="AA19" s="29" t="str">
        <f>'勤務表（参照用）'!AA19</f>
        <v/>
      </c>
      <c r="AB19" s="29" t="str">
        <f>'勤務表（参照用）'!AB19</f>
        <v/>
      </c>
      <c r="AC19" s="29" t="str">
        <f>'勤務表（参照用）'!AC19</f>
        <v/>
      </c>
      <c r="AD19" s="29" t="str">
        <f>'勤務表（参照用）'!AD19</f>
        <v/>
      </c>
      <c r="AE19" s="29" t="str">
        <f>'勤務表（参照用）'!AE19</f>
        <v>当</v>
      </c>
      <c r="AF19" s="29" t="str">
        <f>'勤務表（参照用）'!AF19</f>
        <v>明</v>
      </c>
      <c r="AG19" s="29" t="str">
        <f>'勤務表（参照用）'!AG19</f>
        <v>●</v>
      </c>
      <c r="AH19" s="29" t="str">
        <f>'勤務表（参照用）'!AH19</f>
        <v/>
      </c>
      <c r="AJ19" s="28"/>
      <c r="AK19" s="30"/>
    </row>
    <row r="20" spans="3:37" x14ac:dyDescent="0.2">
      <c r="C20" s="69" t="str">
        <f>'勤務表（参照用）'!C20</f>
        <v>田村 能之</v>
      </c>
      <c r="D20" s="29" t="str">
        <f>'勤務表（参照用）'!D20</f>
        <v>当</v>
      </c>
      <c r="E20" s="29" t="str">
        <f>'勤務表（参照用）'!E20</f>
        <v>明</v>
      </c>
      <c r="F20" s="29" t="str">
        <f>'勤務表（参照用）'!F20</f>
        <v>●</v>
      </c>
      <c r="G20" s="29" t="str">
        <f>'勤務表（参照用）'!G20</f>
        <v/>
      </c>
      <c r="H20" s="29" t="str">
        <f>'勤務表（参照用）'!H20</f>
        <v/>
      </c>
      <c r="I20" s="29" t="str">
        <f>'勤務表（参照用）'!I20</f>
        <v/>
      </c>
      <c r="J20" s="29" t="str">
        <f>'勤務表（参照用）'!J20</f>
        <v>／</v>
      </c>
      <c r="K20" s="29" t="str">
        <f>'勤務表（参照用）'!K20</f>
        <v>●</v>
      </c>
      <c r="L20" s="29" t="str">
        <f>'勤務表（参照用）'!L20</f>
        <v/>
      </c>
      <c r="M20" s="29" t="str">
        <f>'勤務表（参照用）'!M20</f>
        <v/>
      </c>
      <c r="N20" s="29" t="str">
        <f>'勤務表（参照用）'!N20</f>
        <v/>
      </c>
      <c r="O20" s="29" t="str">
        <f>'勤務表（参照用）'!O20</f>
        <v/>
      </c>
      <c r="P20" s="29" t="str">
        <f>'勤務表（参照用）'!P20</f>
        <v/>
      </c>
      <c r="Q20" s="29" t="str">
        <f>'勤務表（参照用）'!Q20</f>
        <v>○</v>
      </c>
      <c r="R20" s="29" t="str">
        <f>'勤務表（参照用）'!R20</f>
        <v>当</v>
      </c>
      <c r="S20" s="29" t="str">
        <f>'勤務表（参照用）'!S20</f>
        <v>明</v>
      </c>
      <c r="T20" s="29" t="str">
        <f>'勤務表（参照用）'!T20</f>
        <v>●</v>
      </c>
      <c r="U20" s="29" t="str">
        <f>'勤務表（参照用）'!U20</f>
        <v/>
      </c>
      <c r="V20" s="29" t="str">
        <f>'勤務表（参照用）'!V20</f>
        <v/>
      </c>
      <c r="W20" s="29" t="str">
        <f>'勤務表（参照用）'!W20</f>
        <v>当</v>
      </c>
      <c r="X20" s="29" t="str">
        <f>'勤務表（参照用）'!X20</f>
        <v>明</v>
      </c>
      <c r="Y20" s="29" t="str">
        <f>'勤務表（参照用）'!Y20</f>
        <v>●</v>
      </c>
      <c r="Z20" s="29" t="str">
        <f>'勤務表（参照用）'!Z20</f>
        <v/>
      </c>
      <c r="AA20" s="29" t="str">
        <f>'勤務表（参照用）'!AA20</f>
        <v/>
      </c>
      <c r="AB20" s="29" t="str">
        <f>'勤務表（参照用）'!AB20</f>
        <v/>
      </c>
      <c r="AC20" s="29" t="str">
        <f>'勤務表（参照用）'!AC20</f>
        <v/>
      </c>
      <c r="AD20" s="29" t="str">
        <f>'勤務表（参照用）'!AD20</f>
        <v/>
      </c>
      <c r="AE20" s="29" t="str">
        <f>'勤務表（参照用）'!AE20</f>
        <v>○</v>
      </c>
      <c r="AF20" s="29" t="str">
        <f>'勤務表（参照用）'!AF20</f>
        <v>●</v>
      </c>
      <c r="AG20" s="29" t="str">
        <f>'勤務表（参照用）'!AG20</f>
        <v/>
      </c>
      <c r="AH20" s="29" t="str">
        <f>'勤務表（参照用）'!AH20</f>
        <v>当</v>
      </c>
      <c r="AJ20" s="30"/>
    </row>
    <row r="21" spans="3:37" x14ac:dyDescent="0.2">
      <c r="C21" s="69" t="str">
        <f>'勤務表（参照用）'!C21</f>
        <v>庵 緋沙子</v>
      </c>
      <c r="D21" s="29" t="str">
        <f>'勤務表（参照用）'!D21</f>
        <v>●</v>
      </c>
      <c r="E21" s="29" t="str">
        <f>'勤務表（参照用）'!E21</f>
        <v/>
      </c>
      <c r="F21" s="29" t="str">
        <f>'勤務表（参照用）'!F21</f>
        <v/>
      </c>
      <c r="G21" s="29" t="str">
        <f>'勤務表（参照用）'!G21</f>
        <v/>
      </c>
      <c r="H21" s="29" t="str">
        <f>'勤務表（参照用）'!H21</f>
        <v/>
      </c>
      <c r="I21" s="29" t="str">
        <f>'勤務表（参照用）'!I21</f>
        <v/>
      </c>
      <c r="J21" s="29" t="str">
        <f>'勤務表（参照用）'!J21</f>
        <v>○</v>
      </c>
      <c r="K21" s="29" t="str">
        <f>'勤務表（参照用）'!K21</f>
        <v>当</v>
      </c>
      <c r="L21" s="29" t="str">
        <f>'勤務表（参照用）'!L21</f>
        <v>明</v>
      </c>
      <c r="M21" s="29" t="str">
        <f>'勤務表（参照用）'!M21</f>
        <v>●</v>
      </c>
      <c r="N21" s="29" t="str">
        <f>'勤務表（参照用）'!N21</f>
        <v/>
      </c>
      <c r="O21" s="29" t="str">
        <f>'勤務表（参照用）'!O21</f>
        <v/>
      </c>
      <c r="P21" s="29" t="str">
        <f>'勤務表（参照用）'!P21</f>
        <v/>
      </c>
      <c r="Q21" s="29" t="str">
        <f>'勤務表（参照用）'!Q21</f>
        <v>／</v>
      </c>
      <c r="R21" s="29" t="str">
        <f>'勤務表（参照用）'!R21</f>
        <v>●</v>
      </c>
      <c r="S21" s="29" t="str">
        <f>'勤務表（参照用）'!S21</f>
        <v/>
      </c>
      <c r="T21" s="29" t="str">
        <f>'勤務表（参照用）'!T21</f>
        <v>当</v>
      </c>
      <c r="U21" s="29" t="str">
        <f>'勤務表（参照用）'!U21</f>
        <v>明</v>
      </c>
      <c r="V21" s="29" t="str">
        <f>'勤務表（参照用）'!V21</f>
        <v/>
      </c>
      <c r="W21" s="29" t="str">
        <f>'勤務表（参照用）'!W21</f>
        <v/>
      </c>
      <c r="X21" s="29" t="str">
        <f>'勤務表（参照用）'!X21</f>
        <v>○</v>
      </c>
      <c r="Y21" s="29" t="str">
        <f>'勤務表（参照用）'!Y21</f>
        <v>●</v>
      </c>
      <c r="Z21" s="29" t="str">
        <f>'勤務表（参照用）'!Z21</f>
        <v>当</v>
      </c>
      <c r="AA21" s="29" t="str">
        <f>'勤務表（参照用）'!AA21</f>
        <v>明</v>
      </c>
      <c r="AB21" s="29" t="str">
        <f>'勤務表（参照用）'!AB21</f>
        <v/>
      </c>
      <c r="AC21" s="29" t="str">
        <f>'勤務表（参照用）'!AC21</f>
        <v/>
      </c>
      <c r="AD21" s="29" t="str">
        <f>'勤務表（参照用）'!AD21</f>
        <v>当</v>
      </c>
      <c r="AE21" s="29" t="str">
        <f>'勤務表（参照用）'!AE21</f>
        <v>明</v>
      </c>
      <c r="AF21" s="29" t="str">
        <f>'勤務表（参照用）'!AF21</f>
        <v>●</v>
      </c>
      <c r="AG21" s="29" t="str">
        <f>'勤務表（参照用）'!AG21</f>
        <v/>
      </c>
      <c r="AH21" s="29" t="str">
        <f>'勤務表（参照用）'!AH21</f>
        <v/>
      </c>
      <c r="AJ21" s="28"/>
      <c r="AK21" s="30"/>
    </row>
    <row r="22" spans="3:37" x14ac:dyDescent="0.2">
      <c r="C22" s="69" t="str">
        <f>'勤務表（参照用）'!C22</f>
        <v>冨田 紗詠子</v>
      </c>
      <c r="D22" s="29" t="str">
        <f>'勤務表（参照用）'!D22</f>
        <v>●</v>
      </c>
      <c r="E22" s="29" t="str">
        <f>'勤務表（参照用）'!E22</f>
        <v/>
      </c>
      <c r="F22" s="29" t="str">
        <f>'勤務表（参照用）'!F22</f>
        <v/>
      </c>
      <c r="G22" s="29" t="str">
        <f>'勤務表（参照用）'!G22</f>
        <v/>
      </c>
      <c r="H22" s="29" t="str">
        <f>'勤務表（参照用）'!H22</f>
        <v/>
      </c>
      <c r="I22" s="29" t="str">
        <f>'勤務表（参照用）'!I22</f>
        <v/>
      </c>
      <c r="J22" s="29" t="str">
        <f>'勤務表（参照用）'!J22</f>
        <v>○</v>
      </c>
      <c r="K22" s="29" t="str">
        <f>'勤務表（参照用）'!K22</f>
        <v>●</v>
      </c>
      <c r="L22" s="29" t="str">
        <f>'勤務表（参照用）'!L22</f>
        <v/>
      </c>
      <c r="M22" s="29" t="str">
        <f>'勤務表（参照用）'!M22</f>
        <v/>
      </c>
      <c r="N22" s="29" t="str">
        <f>'勤務表（参照用）'!N22</f>
        <v/>
      </c>
      <c r="O22" s="29" t="str">
        <f>'勤務表（参照用）'!O22</f>
        <v/>
      </c>
      <c r="P22" s="29" t="str">
        <f>'勤務表（参照用）'!P22</f>
        <v/>
      </c>
      <c r="Q22" s="29" t="str">
        <f>'勤務表（参照用）'!Q22</f>
        <v>○</v>
      </c>
      <c r="R22" s="29" t="str">
        <f>'勤務表（参照用）'!R22</f>
        <v>●</v>
      </c>
      <c r="S22" s="29" t="str">
        <f>'勤務表（参照用）'!S22</f>
        <v/>
      </c>
      <c r="T22" s="29" t="str">
        <f>'勤務表（参照用）'!T22</f>
        <v/>
      </c>
      <c r="U22" s="29" t="str">
        <f>'勤務表（参照用）'!U22</f>
        <v/>
      </c>
      <c r="V22" s="29" t="str">
        <f>'勤務表（参照用）'!V22</f>
        <v/>
      </c>
      <c r="W22" s="29" t="str">
        <f>'勤務表（参照用）'!W22</f>
        <v/>
      </c>
      <c r="X22" s="29" t="str">
        <f>'勤務表（参照用）'!X22</f>
        <v>○</v>
      </c>
      <c r="Y22" s="29" t="str">
        <f>'勤務表（参照用）'!Y22</f>
        <v>●</v>
      </c>
      <c r="Z22" s="29" t="str">
        <f>'勤務表（参照用）'!Z22</f>
        <v/>
      </c>
      <c r="AA22" s="29" t="str">
        <f>'勤務表（参照用）'!AA22</f>
        <v/>
      </c>
      <c r="AB22" s="29" t="str">
        <f>'勤務表（参照用）'!AB22</f>
        <v/>
      </c>
      <c r="AC22" s="29" t="str">
        <f>'勤務表（参照用）'!AC22</f>
        <v/>
      </c>
      <c r="AD22" s="29" t="str">
        <f>'勤務表（参照用）'!AD22</f>
        <v/>
      </c>
      <c r="AE22" s="29" t="str">
        <f>'勤務表（参照用）'!AE22</f>
        <v>○</v>
      </c>
      <c r="AF22" s="29" t="str">
        <f>'勤務表（参照用）'!AF22</f>
        <v>●</v>
      </c>
      <c r="AG22" s="29" t="str">
        <f>'勤務表（参照用）'!AG22</f>
        <v/>
      </c>
      <c r="AH22" s="29" t="str">
        <f>'勤務表（参照用）'!AH22</f>
        <v/>
      </c>
      <c r="AJ22" s="30"/>
    </row>
    <row r="23" spans="3:37" x14ac:dyDescent="0.2">
      <c r="C23" s="69" t="str">
        <f>'勤務表（参照用）'!C23</f>
        <v>黒田 奈菜子</v>
      </c>
      <c r="D23" s="29" t="str">
        <f>'勤務表（参照用）'!D23</f>
        <v>●</v>
      </c>
      <c r="E23" s="29" t="str">
        <f>'勤務表（参照用）'!E23</f>
        <v/>
      </c>
      <c r="F23" s="29" t="str">
        <f>'勤務表（参照用）'!F23</f>
        <v/>
      </c>
      <c r="G23" s="29" t="str">
        <f>'勤務表（参照用）'!G23</f>
        <v/>
      </c>
      <c r="H23" s="29" t="str">
        <f>'勤務表（参照用）'!H23</f>
        <v/>
      </c>
      <c r="I23" s="29" t="str">
        <f>'勤務表（参照用）'!I23</f>
        <v/>
      </c>
      <c r="J23" s="29" t="str">
        <f>'勤務表（参照用）'!J23</f>
        <v>○</v>
      </c>
      <c r="K23" s="29" t="str">
        <f>'勤務表（参照用）'!K23</f>
        <v>●</v>
      </c>
      <c r="L23" s="29" t="str">
        <f>'勤務表（参照用）'!L23</f>
        <v/>
      </c>
      <c r="M23" s="29" t="str">
        <f>'勤務表（参照用）'!M23</f>
        <v/>
      </c>
      <c r="N23" s="29" t="str">
        <f>'勤務表（参照用）'!N23</f>
        <v/>
      </c>
      <c r="O23" s="29" t="str">
        <f>'勤務表（参照用）'!O23</f>
        <v/>
      </c>
      <c r="P23" s="29" t="str">
        <f>'勤務表（参照用）'!P23</f>
        <v/>
      </c>
      <c r="Q23" s="29" t="str">
        <f>'勤務表（参照用）'!Q23</f>
        <v>○</v>
      </c>
      <c r="R23" s="29" t="str">
        <f>'勤務表（参照用）'!R23</f>
        <v>●</v>
      </c>
      <c r="S23" s="29" t="str">
        <f>'勤務表（参照用）'!S23</f>
        <v/>
      </c>
      <c r="T23" s="29" t="str">
        <f>'勤務表（参照用）'!T23</f>
        <v/>
      </c>
      <c r="U23" s="29" t="str">
        <f>'勤務表（参照用）'!U23</f>
        <v/>
      </c>
      <c r="V23" s="29" t="str">
        <f>'勤務表（参照用）'!V23</f>
        <v/>
      </c>
      <c r="W23" s="29" t="str">
        <f>'勤務表（参照用）'!W23</f>
        <v/>
      </c>
      <c r="X23" s="29" t="str">
        <f>'勤務表（参照用）'!X23</f>
        <v>○</v>
      </c>
      <c r="Y23" s="29" t="str">
        <f>'勤務表（参照用）'!Y23</f>
        <v>●</v>
      </c>
      <c r="Z23" s="29" t="str">
        <f>'勤務表（参照用）'!Z23</f>
        <v/>
      </c>
      <c r="AA23" s="29" t="str">
        <f>'勤務表（参照用）'!AA23</f>
        <v/>
      </c>
      <c r="AB23" s="29" t="str">
        <f>'勤務表（参照用）'!AB23</f>
        <v/>
      </c>
      <c r="AC23" s="29" t="str">
        <f>'勤務表（参照用）'!AC23</f>
        <v/>
      </c>
      <c r="AD23" s="29" t="str">
        <f>'勤務表（参照用）'!AD23</f>
        <v/>
      </c>
      <c r="AE23" s="29" t="str">
        <f>'勤務表（参照用）'!AE23</f>
        <v>○</v>
      </c>
      <c r="AF23" s="29" t="str">
        <f>'勤務表（参照用）'!AF23</f>
        <v>●</v>
      </c>
      <c r="AG23" s="29" t="str">
        <f>'勤務表（参照用）'!AG23</f>
        <v/>
      </c>
      <c r="AH23" s="29" t="str">
        <f>'勤務表（参照用）'!AH23</f>
        <v/>
      </c>
      <c r="AJ23" s="28"/>
      <c r="AK23" s="30"/>
    </row>
    <row r="24" spans="3:37" x14ac:dyDescent="0.2">
      <c r="C24" s="69" t="str">
        <f>'勤務表（参照用）'!C24</f>
        <v>長迫 千寛</v>
      </c>
      <c r="D24" s="29" t="str">
        <f>'勤務表（参照用）'!D24</f>
        <v>●</v>
      </c>
      <c r="E24" s="29" t="str">
        <f>'勤務表（参照用）'!E24</f>
        <v/>
      </c>
      <c r="F24" s="29" t="str">
        <f>'勤務表（参照用）'!F24</f>
        <v/>
      </c>
      <c r="G24" s="29" t="str">
        <f>'勤務表（参照用）'!G24</f>
        <v/>
      </c>
      <c r="H24" s="29" t="str">
        <f>'勤務表（参照用）'!H24</f>
        <v/>
      </c>
      <c r="I24" s="29" t="str">
        <f>'勤務表（参照用）'!I24</f>
        <v/>
      </c>
      <c r="J24" s="29" t="str">
        <f>'勤務表（参照用）'!J24</f>
        <v>○</v>
      </c>
      <c r="K24" s="29" t="str">
        <f>'勤務表（参照用）'!K24</f>
        <v>●</v>
      </c>
      <c r="L24" s="29" t="str">
        <f>'勤務表（参照用）'!L24</f>
        <v/>
      </c>
      <c r="M24" s="29" t="str">
        <f>'勤務表（参照用）'!M24</f>
        <v/>
      </c>
      <c r="N24" s="29" t="str">
        <f>'勤務表（参照用）'!N24</f>
        <v/>
      </c>
      <c r="O24" s="29" t="str">
        <f>'勤務表（参照用）'!O24</f>
        <v/>
      </c>
      <c r="P24" s="29" t="str">
        <f>'勤務表（参照用）'!P24</f>
        <v/>
      </c>
      <c r="Q24" s="29" t="str">
        <f>'勤務表（参照用）'!Q24</f>
        <v>○</v>
      </c>
      <c r="R24" s="29" t="str">
        <f>'勤務表（参照用）'!R24</f>
        <v>●</v>
      </c>
      <c r="S24" s="29" t="str">
        <f>'勤務表（参照用）'!S24</f>
        <v/>
      </c>
      <c r="T24" s="29" t="str">
        <f>'勤務表（参照用）'!T24</f>
        <v/>
      </c>
      <c r="U24" s="29" t="str">
        <f>'勤務表（参照用）'!U24</f>
        <v/>
      </c>
      <c r="V24" s="29" t="str">
        <f>'勤務表（参照用）'!V24</f>
        <v/>
      </c>
      <c r="W24" s="29" t="str">
        <f>'勤務表（参照用）'!W24</f>
        <v/>
      </c>
      <c r="X24" s="29" t="str">
        <f>'勤務表（参照用）'!X24</f>
        <v>○</v>
      </c>
      <c r="Y24" s="29" t="str">
        <f>'勤務表（参照用）'!Y24</f>
        <v>●</v>
      </c>
      <c r="Z24" s="29" t="str">
        <f>'勤務表（参照用）'!Z24</f>
        <v/>
      </c>
      <c r="AA24" s="29" t="str">
        <f>'勤務表（参照用）'!AA24</f>
        <v/>
      </c>
      <c r="AB24" s="29" t="str">
        <f>'勤務表（参照用）'!AB24</f>
        <v/>
      </c>
      <c r="AC24" s="29" t="str">
        <f>'勤務表（参照用）'!AC24</f>
        <v/>
      </c>
      <c r="AD24" s="29" t="str">
        <f>'勤務表（参照用）'!AD24</f>
        <v/>
      </c>
      <c r="AE24" s="29" t="str">
        <f>'勤務表（参照用）'!AE24</f>
        <v>○</v>
      </c>
      <c r="AF24" s="29" t="str">
        <f>'勤務表（参照用）'!AF24</f>
        <v>●</v>
      </c>
      <c r="AG24" s="29" t="str">
        <f>'勤務表（参照用）'!AG24</f>
        <v/>
      </c>
      <c r="AH24" s="29" t="str">
        <f>'勤務表（参照用）'!AH24</f>
        <v/>
      </c>
      <c r="AJ24" s="30"/>
    </row>
    <row r="25" spans="3:37" x14ac:dyDescent="0.2">
      <c r="C25" s="69" t="e">
        <f>'勤務表（参照用）'!C25</f>
        <v>#REF!</v>
      </c>
      <c r="D25" s="29" t="str">
        <f>'勤務表（参照用）'!D25</f>
        <v>●</v>
      </c>
      <c r="E25" s="29" t="str">
        <f>'勤務表（参照用）'!E25</f>
        <v/>
      </c>
      <c r="F25" s="29" t="str">
        <f>'勤務表（参照用）'!F25</f>
        <v/>
      </c>
      <c r="G25" s="29" t="str">
        <f>'勤務表（参照用）'!G25</f>
        <v/>
      </c>
      <c r="H25" s="29" t="str">
        <f>'勤務表（参照用）'!H25</f>
        <v/>
      </c>
      <c r="I25" s="29" t="str">
        <f>'勤務表（参照用）'!I25</f>
        <v/>
      </c>
      <c r="J25" s="29" t="str">
        <f>'勤務表（参照用）'!J25</f>
        <v>○</v>
      </c>
      <c r="K25" s="29" t="str">
        <f>'勤務表（参照用）'!K25</f>
        <v>●</v>
      </c>
      <c r="L25" s="29" t="str">
        <f>'勤務表（参照用）'!L25</f>
        <v/>
      </c>
      <c r="M25" s="29" t="str">
        <f>'勤務表（参照用）'!M25</f>
        <v/>
      </c>
      <c r="N25" s="29" t="str">
        <f>'勤務表（参照用）'!N25</f>
        <v/>
      </c>
      <c r="O25" s="29" t="str">
        <f>'勤務表（参照用）'!O25</f>
        <v/>
      </c>
      <c r="P25" s="29" t="str">
        <f>'勤務表（参照用）'!P25</f>
        <v/>
      </c>
      <c r="Q25" s="29" t="str">
        <f>'勤務表（参照用）'!Q25</f>
        <v>○</v>
      </c>
      <c r="R25" s="29" t="str">
        <f>'勤務表（参照用）'!R25</f>
        <v>●</v>
      </c>
      <c r="S25" s="29" t="str">
        <f>'勤務表（参照用）'!S25</f>
        <v/>
      </c>
      <c r="T25" s="29" t="str">
        <f>'勤務表（参照用）'!T25</f>
        <v/>
      </c>
      <c r="U25" s="29" t="str">
        <f>'勤務表（参照用）'!U25</f>
        <v/>
      </c>
      <c r="V25" s="29" t="str">
        <f>'勤務表（参照用）'!V25</f>
        <v/>
      </c>
      <c r="W25" s="29" t="str">
        <f>'勤務表（参照用）'!W25</f>
        <v/>
      </c>
      <c r="X25" s="29" t="str">
        <f>'勤務表（参照用）'!X25</f>
        <v>○</v>
      </c>
      <c r="Y25" s="29" t="str">
        <f>'勤務表（参照用）'!Y25</f>
        <v>●</v>
      </c>
      <c r="Z25" s="29" t="str">
        <f>'勤務表（参照用）'!Z25</f>
        <v/>
      </c>
      <c r="AA25" s="29" t="str">
        <f>'勤務表（参照用）'!AA25</f>
        <v/>
      </c>
      <c r="AB25" s="29" t="str">
        <f>'勤務表（参照用）'!AB25</f>
        <v/>
      </c>
      <c r="AC25" s="29" t="str">
        <f>'勤務表（参照用）'!AC25</f>
        <v/>
      </c>
      <c r="AD25" s="29" t="str">
        <f>'勤務表（参照用）'!AD25</f>
        <v/>
      </c>
      <c r="AE25" s="29" t="str">
        <f>'勤務表（参照用）'!AE25</f>
        <v>○</v>
      </c>
      <c r="AF25" s="29" t="str">
        <f>'勤務表（参照用）'!AF25</f>
        <v>●</v>
      </c>
      <c r="AG25" s="29" t="str">
        <f>'勤務表（参照用）'!AG25</f>
        <v/>
      </c>
      <c r="AH25" s="29" t="str">
        <f>'勤務表（参照用）'!AH25</f>
        <v/>
      </c>
      <c r="AJ25" s="28"/>
      <c r="AK25" s="30"/>
    </row>
    <row r="26" spans="3:37" x14ac:dyDescent="0.2">
      <c r="C26" s="69" t="str">
        <f>'勤務表（参照用）'!C26</f>
        <v>齊藤 久紘</v>
      </c>
      <c r="D26" s="29" t="str">
        <f>'勤務表（参照用）'!D26</f>
        <v>●</v>
      </c>
      <c r="E26" s="29" t="str">
        <f>'勤務表（参照用）'!E26</f>
        <v/>
      </c>
      <c r="F26" s="29" t="str">
        <f>'勤務表（参照用）'!F26</f>
        <v/>
      </c>
      <c r="G26" s="29" t="str">
        <f>'勤務表（参照用）'!G26</f>
        <v/>
      </c>
      <c r="H26" s="29" t="str">
        <f>'勤務表（参照用）'!H26</f>
        <v/>
      </c>
      <c r="I26" s="29" t="str">
        <f>'勤務表（参照用）'!I26</f>
        <v/>
      </c>
      <c r="J26" s="29" t="str">
        <f>'勤務表（参照用）'!J26</f>
        <v>○</v>
      </c>
      <c r="K26" s="29" t="str">
        <f>'勤務表（参照用）'!K26</f>
        <v>●</v>
      </c>
      <c r="L26" s="29" t="str">
        <f>'勤務表（参照用）'!L26</f>
        <v/>
      </c>
      <c r="M26" s="29" t="str">
        <f>'勤務表（参照用）'!M26</f>
        <v/>
      </c>
      <c r="N26" s="29" t="str">
        <f>'勤務表（参照用）'!N26</f>
        <v/>
      </c>
      <c r="O26" s="29" t="str">
        <f>'勤務表（参照用）'!O26</f>
        <v/>
      </c>
      <c r="P26" s="29" t="str">
        <f>'勤務表（参照用）'!P26</f>
        <v/>
      </c>
      <c r="Q26" s="29" t="str">
        <f>'勤務表（参照用）'!Q26</f>
        <v>／</v>
      </c>
      <c r="R26" s="29" t="str">
        <f>'勤務表（参照用）'!R26</f>
        <v>●</v>
      </c>
      <c r="S26" s="29" t="str">
        <f>'勤務表（参照用）'!S26</f>
        <v/>
      </c>
      <c r="T26" s="29" t="str">
        <f>'勤務表（参照用）'!T26</f>
        <v/>
      </c>
      <c r="U26" s="29" t="str">
        <f>'勤務表（参照用）'!U26</f>
        <v/>
      </c>
      <c r="V26" s="29" t="str">
        <f>'勤務表（参照用）'!V26</f>
        <v/>
      </c>
      <c r="W26" s="29" t="str">
        <f>'勤務表（参照用）'!W26</f>
        <v/>
      </c>
      <c r="X26" s="29" t="str">
        <f>'勤務表（参照用）'!X26</f>
        <v>○</v>
      </c>
      <c r="Y26" s="29" t="str">
        <f>'勤務表（参照用）'!Y26</f>
        <v>●</v>
      </c>
      <c r="Z26" s="29" t="str">
        <f>'勤務表（参照用）'!Z26</f>
        <v/>
      </c>
      <c r="AA26" s="29" t="str">
        <f>'勤務表（参照用）'!AA26</f>
        <v/>
      </c>
      <c r="AB26" s="29" t="str">
        <f>'勤務表（参照用）'!AB26</f>
        <v/>
      </c>
      <c r="AC26" s="29" t="str">
        <f>'勤務表（参照用）'!AC26</f>
        <v/>
      </c>
      <c r="AD26" s="29" t="str">
        <f>'勤務表（参照用）'!AD26</f>
        <v/>
      </c>
      <c r="AE26" s="29" t="str">
        <f>'勤務表（参照用）'!AE26</f>
        <v>／</v>
      </c>
      <c r="AF26" s="29" t="str">
        <f>'勤務表（参照用）'!AF26</f>
        <v>●</v>
      </c>
      <c r="AG26" s="29" t="str">
        <f>'勤務表（参照用）'!AG26</f>
        <v/>
      </c>
      <c r="AH26" s="29" t="str">
        <f>'勤務表（参照用）'!AH26</f>
        <v/>
      </c>
      <c r="AJ26" s="30"/>
    </row>
    <row r="27" spans="3:37" x14ac:dyDescent="0.2">
      <c r="C27" s="69" t="str">
        <f>'勤務表（参照用）'!C27</f>
        <v>佐藤 恵梨子</v>
      </c>
      <c r="D27" s="29" t="str">
        <f>'勤務表（参照用）'!D27</f>
        <v>●</v>
      </c>
      <c r="E27" s="29" t="str">
        <f>'勤務表（参照用）'!E27</f>
        <v>当</v>
      </c>
      <c r="F27" s="29" t="str">
        <f>'勤務表（参照用）'!F27</f>
        <v>明</v>
      </c>
      <c r="G27" s="29" t="str">
        <f>'勤務表（参照用）'!G27</f>
        <v/>
      </c>
      <c r="H27" s="29" t="str">
        <f>'勤務表（参照用）'!H27</f>
        <v/>
      </c>
      <c r="I27" s="29" t="str">
        <f>'勤務表（参照用）'!I27</f>
        <v/>
      </c>
      <c r="J27" s="29" t="str">
        <f>'勤務表（参照用）'!J27</f>
        <v>／</v>
      </c>
      <c r="K27" s="29" t="str">
        <f>'勤務表（参照用）'!K27</f>
        <v>●</v>
      </c>
      <c r="L27" s="29" t="str">
        <f>'勤務表（参照用）'!L27</f>
        <v/>
      </c>
      <c r="M27" s="29" t="str">
        <f>'勤務表（参照用）'!M27</f>
        <v/>
      </c>
      <c r="N27" s="29" t="str">
        <f>'勤務表（参照用）'!N27</f>
        <v>当</v>
      </c>
      <c r="O27" s="29" t="str">
        <f>'勤務表（参照用）'!O27</f>
        <v>明</v>
      </c>
      <c r="P27" s="29" t="str">
        <f>'勤務表（参照用）'!P27</f>
        <v/>
      </c>
      <c r="Q27" s="29" t="str">
        <f>'勤務表（参照用）'!Q27</f>
        <v>○</v>
      </c>
      <c r="R27" s="29" t="str">
        <f>'勤務表（参照用）'!R27</f>
        <v>●</v>
      </c>
      <c r="S27" s="29" t="str">
        <f>'勤務表（参照用）'!S27</f>
        <v/>
      </c>
      <c r="T27" s="29" t="str">
        <f>'勤務表（参照用）'!T27</f>
        <v/>
      </c>
      <c r="U27" s="29" t="str">
        <f>'勤務表（参照用）'!U27</f>
        <v/>
      </c>
      <c r="V27" s="29" t="str">
        <f>'勤務表（参照用）'!V27</f>
        <v/>
      </c>
      <c r="W27" s="29" t="str">
        <f>'勤務表（参照用）'!W27</f>
        <v/>
      </c>
      <c r="X27" s="29" t="str">
        <f>'勤務表（参照用）'!X27</f>
        <v>／</v>
      </c>
      <c r="Y27" s="29" t="str">
        <f>'勤務表（参照用）'!Y27</f>
        <v>●</v>
      </c>
      <c r="Z27" s="29" t="str">
        <f>'勤務表（参照用）'!Z27</f>
        <v/>
      </c>
      <c r="AA27" s="29" t="str">
        <f>'勤務表（参照用）'!AA27</f>
        <v>当</v>
      </c>
      <c r="AB27" s="29" t="str">
        <f>'勤務表（参照用）'!AB27</f>
        <v>明</v>
      </c>
      <c r="AC27" s="29" t="str">
        <f>'勤務表（参照用）'!AC27</f>
        <v/>
      </c>
      <c r="AD27" s="29" t="str">
        <f>'勤務表（参照用）'!AD27</f>
        <v/>
      </c>
      <c r="AE27" s="29" t="str">
        <f>'勤務表（参照用）'!AE27</f>
        <v>○</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v>
      </c>
      <c r="E28" s="29" t="str">
        <f>'勤務表（参照用）'!E28</f>
        <v/>
      </c>
      <c r="F28" s="29" t="str">
        <f>'勤務表（参照用）'!F28</f>
        <v/>
      </c>
      <c r="G28" s="29" t="str">
        <f>'勤務表（参照用）'!G28</f>
        <v/>
      </c>
      <c r="H28" s="29" t="str">
        <f>'勤務表（参照用）'!H28</f>
        <v>当</v>
      </c>
      <c r="I28" s="29" t="str">
        <f>'勤務表（参照用）'!I28</f>
        <v>明</v>
      </c>
      <c r="J28" s="29" t="str">
        <f>'勤務表（参照用）'!J28</f>
        <v>○</v>
      </c>
      <c r="K28" s="29" t="str">
        <f>'勤務表（参照用）'!K28</f>
        <v>●</v>
      </c>
      <c r="L28" s="29" t="str">
        <f>'勤務表（参照用）'!L28</f>
        <v/>
      </c>
      <c r="M28" s="29" t="str">
        <f>'勤務表（参照用）'!M28</f>
        <v/>
      </c>
      <c r="N28" s="29" t="str">
        <f>'勤務表（参照用）'!N28</f>
        <v/>
      </c>
      <c r="O28" s="29" t="str">
        <f>'勤務表（参照用）'!O28</f>
        <v/>
      </c>
      <c r="P28" s="29" t="str">
        <f>'勤務表（参照用）'!P28</f>
        <v/>
      </c>
      <c r="Q28" s="29" t="str">
        <f>'勤務表（参照用）'!Q28</f>
        <v>当</v>
      </c>
      <c r="R28" s="29" t="str">
        <f>'勤務表（参照用）'!R28</f>
        <v>明</v>
      </c>
      <c r="S28" s="29" t="str">
        <f>'勤務表（参照用）'!S28</f>
        <v>●</v>
      </c>
      <c r="T28" s="29" t="str">
        <f>'勤務表（参照用）'!T28</f>
        <v/>
      </c>
      <c r="U28" s="29" t="str">
        <f>'勤務表（参照用）'!U28</f>
        <v/>
      </c>
      <c r="V28" s="29" t="str">
        <f>'勤務表（参照用）'!V28</f>
        <v>当</v>
      </c>
      <c r="W28" s="29" t="str">
        <f>'勤務表（参照用）'!W28</f>
        <v>明</v>
      </c>
      <c r="X28" s="29" t="str">
        <f>'勤務表（参照用）'!X28</f>
        <v>○</v>
      </c>
      <c r="Y28" s="29" t="str">
        <f>'勤務表（参照用）'!Y28</f>
        <v>●</v>
      </c>
      <c r="Z28" s="29" t="str">
        <f>'勤務表（参照用）'!Z28</f>
        <v/>
      </c>
      <c r="AA28" s="29" t="str">
        <f>'勤務表（参照用）'!AA28</f>
        <v/>
      </c>
      <c r="AB28" s="29" t="str">
        <f>'勤務表（参照用）'!AB28</f>
        <v/>
      </c>
      <c r="AC28" s="29" t="str">
        <f>'勤務表（参照用）'!AC28</f>
        <v/>
      </c>
      <c r="AD28" s="29" t="str">
        <f>'勤務表（参照用）'!AD28</f>
        <v/>
      </c>
      <c r="AE28" s="29" t="str">
        <f>'勤務表（参照用）'!AE28</f>
        <v>／</v>
      </c>
      <c r="AF28" s="29" t="str">
        <f>'勤務表（参照用）'!AF28</f>
        <v>●</v>
      </c>
      <c r="AG28" s="29" t="str">
        <f>'勤務表（参照用）'!AG28</f>
        <v/>
      </c>
      <c r="AH28" s="29" t="str">
        <f>'勤務表（参照用）'!AH28</f>
        <v/>
      </c>
      <c r="AJ28" s="30"/>
    </row>
    <row r="29" spans="3:37" x14ac:dyDescent="0.2">
      <c r="C29" s="69" t="str">
        <f>'勤務表（参照用）'!C29</f>
        <v>小川 穂波</v>
      </c>
      <c r="D29" s="29" t="str">
        <f>'勤務表（参照用）'!D29</f>
        <v>●</v>
      </c>
      <c r="E29" s="29" t="str">
        <f>'勤務表（参照用）'!E29</f>
        <v/>
      </c>
      <c r="F29" s="29" t="str">
        <f>'勤務表（参照用）'!F29</f>
        <v>当</v>
      </c>
      <c r="G29" s="29" t="str">
        <f>'勤務表（参照用）'!G29</f>
        <v>明</v>
      </c>
      <c r="H29" s="29" t="str">
        <f>'勤務表（参照用）'!H29</f>
        <v/>
      </c>
      <c r="I29" s="29" t="str">
        <f>'勤務表（参照用）'!I29</f>
        <v/>
      </c>
      <c r="J29" s="29" t="str">
        <f>'勤務表（参照用）'!J29</f>
        <v>／</v>
      </c>
      <c r="K29" s="29" t="str">
        <f>'勤務表（参照用）'!K29</f>
        <v>●</v>
      </c>
      <c r="L29" s="29" t="str">
        <f>'勤務表（参照用）'!L29</f>
        <v/>
      </c>
      <c r="M29" s="29" t="str">
        <f>'勤務表（参照用）'!M29</f>
        <v/>
      </c>
      <c r="N29" s="29" t="str">
        <f>'勤務表（参照用）'!N29</f>
        <v/>
      </c>
      <c r="O29" s="29" t="str">
        <f>'勤務表（参照用）'!O29</f>
        <v/>
      </c>
      <c r="P29" s="29" t="str">
        <f>'勤務表（参照用）'!P29</f>
        <v/>
      </c>
      <c r="Q29" s="29" t="str">
        <f>'勤務表（参照用）'!Q29</f>
        <v>○</v>
      </c>
      <c r="R29" s="29" t="str">
        <f>'勤務表（参照用）'!R29</f>
        <v>●</v>
      </c>
      <c r="S29" s="29" t="str">
        <f>'勤務表（参照用）'!S29</f>
        <v/>
      </c>
      <c r="T29" s="29" t="str">
        <f>'勤務表（参照用）'!T29</f>
        <v/>
      </c>
      <c r="U29" s="29" t="str">
        <f>'勤務表（参照用）'!U29</f>
        <v>当</v>
      </c>
      <c r="V29" s="29" t="str">
        <f>'勤務表（参照用）'!V29</f>
        <v>明</v>
      </c>
      <c r="W29" s="29" t="str">
        <f>'勤務表（参照用）'!W29</f>
        <v/>
      </c>
      <c r="X29" s="29" t="str">
        <f>'勤務表（参照用）'!X29</f>
        <v>／</v>
      </c>
      <c r="Y29" s="29" t="str">
        <f>'勤務表（参照用）'!Y29</f>
        <v>●</v>
      </c>
      <c r="Z29" s="29" t="str">
        <f>'勤務表（参照用）'!Z29</f>
        <v/>
      </c>
      <c r="AA29" s="29" t="str">
        <f>'勤務表（参照用）'!AA29</f>
        <v/>
      </c>
      <c r="AB29" s="29" t="str">
        <f>'勤務表（参照用）'!AB29</f>
        <v/>
      </c>
      <c r="AC29" s="29" t="str">
        <f>'勤務表（参照用）'!AC29</f>
        <v/>
      </c>
      <c r="AD29" s="29" t="str">
        <f>'勤務表（参照用）'!AD29</f>
        <v/>
      </c>
      <c r="AE29" s="29" t="str">
        <f>'勤務表（参照用）'!AE29</f>
        <v>○</v>
      </c>
      <c r="AF29" s="29" t="str">
        <f>'勤務表（参照用）'!AF29</f>
        <v>当</v>
      </c>
      <c r="AG29" s="29" t="str">
        <f>'勤務表（参照用）'!AG29</f>
        <v>明</v>
      </c>
      <c r="AH29" s="29" t="str">
        <f>'勤務表（参照用）'!AH29</f>
        <v>●</v>
      </c>
      <c r="AJ29" s="28"/>
      <c r="AK29" s="30"/>
    </row>
    <row r="30" spans="3:37" x14ac:dyDescent="0.2">
      <c r="C30" s="69" t="str">
        <f>'勤務表（参照用）'!C30</f>
        <v>薬司 康平</v>
      </c>
      <c r="D30" s="29" t="str">
        <f>'勤務表（参照用）'!D30</f>
        <v>●</v>
      </c>
      <c r="E30" s="29" t="str">
        <f>'勤務表（参照用）'!E30</f>
        <v/>
      </c>
      <c r="F30" s="29" t="str">
        <f>'勤務表（参照用）'!F30</f>
        <v/>
      </c>
      <c r="G30" s="29" t="str">
        <f>'勤務表（参照用）'!G30</f>
        <v/>
      </c>
      <c r="H30" s="29" t="str">
        <f>'勤務表（参照用）'!H30</f>
        <v/>
      </c>
      <c r="I30" s="29" t="str">
        <f>'勤務表（参照用）'!I30</f>
        <v/>
      </c>
      <c r="J30" s="29" t="str">
        <f>'勤務表（参照用）'!J30</f>
        <v>○</v>
      </c>
      <c r="K30" s="29" t="str">
        <f>'勤務表（参照用）'!K30</f>
        <v>●</v>
      </c>
      <c r="L30" s="29" t="str">
        <f>'勤務表（参照用）'!L30</f>
        <v>当</v>
      </c>
      <c r="M30" s="29" t="str">
        <f>'勤務表（参照用）'!M30</f>
        <v>明</v>
      </c>
      <c r="N30" s="29" t="str">
        <f>'勤務表（参照用）'!N30</f>
        <v/>
      </c>
      <c r="O30" s="29" t="str">
        <f>'勤務表（参照用）'!O30</f>
        <v/>
      </c>
      <c r="P30" s="29" t="str">
        <f>'勤務表（参照用）'!P30</f>
        <v/>
      </c>
      <c r="Q30" s="29" t="str">
        <f>'勤務表（参照用）'!Q30</f>
        <v>／</v>
      </c>
      <c r="R30" s="29" t="str">
        <f>'勤務表（参照用）'!R30</f>
        <v>●</v>
      </c>
      <c r="S30" s="29" t="str">
        <f>'勤務表（参照用）'!S30</f>
        <v/>
      </c>
      <c r="T30" s="29" t="str">
        <f>'勤務表（参照用）'!T30</f>
        <v/>
      </c>
      <c r="U30" s="29" t="str">
        <f>'勤務表（参照用）'!U30</f>
        <v/>
      </c>
      <c r="V30" s="29" t="str">
        <f>'勤務表（参照用）'!V30</f>
        <v/>
      </c>
      <c r="W30" s="29" t="str">
        <f>'勤務表（参照用）'!W30</f>
        <v/>
      </c>
      <c r="X30" s="29" t="str">
        <f>'勤務表（参照用）'!X30</f>
        <v>○</v>
      </c>
      <c r="Y30" s="29" t="str">
        <f>'勤務表（参照用）'!Y30</f>
        <v>●</v>
      </c>
      <c r="Z30" s="29" t="str">
        <f>'勤務表（参照用）'!Z30</f>
        <v/>
      </c>
      <c r="AA30" s="29" t="str">
        <f>'勤務表（参照用）'!AA30</f>
        <v>当</v>
      </c>
      <c r="AB30" s="29" t="str">
        <f>'勤務表（参照用）'!AB30</f>
        <v>明</v>
      </c>
      <c r="AC30" s="29" t="str">
        <f>'勤務表（参照用）'!AC30</f>
        <v/>
      </c>
      <c r="AD30" s="29" t="str">
        <f>'勤務表（参照用）'!AD30</f>
        <v/>
      </c>
      <c r="AE30" s="29" t="str">
        <f>'勤務表（参照用）'!AE30</f>
        <v>／</v>
      </c>
      <c r="AF30" s="29" t="str">
        <f>'勤務表（参照用）'!AF30</f>
        <v>●</v>
      </c>
      <c r="AG30" s="29" t="str">
        <f>'勤務表（参照用）'!AG30</f>
        <v/>
      </c>
      <c r="AH30" s="29" t="str">
        <f>'勤務表（参照用）'!AH30</f>
        <v/>
      </c>
      <c r="AJ30" s="30"/>
    </row>
    <row r="31" spans="3:37" x14ac:dyDescent="0.2">
      <c r="C31" s="69" t="str">
        <f>'勤務表（参照用）'!C31</f>
        <v>西郡 健太</v>
      </c>
      <c r="D31" s="29" t="str">
        <f>'勤務表（参照用）'!D31</f>
        <v>●</v>
      </c>
      <c r="E31" s="29" t="str">
        <f>'勤務表（参照用）'!E31</f>
        <v/>
      </c>
      <c r="F31" s="29" t="str">
        <f>'勤務表（参照用）'!F31</f>
        <v/>
      </c>
      <c r="G31" s="29" t="str">
        <f>'勤務表（参照用）'!G31</f>
        <v/>
      </c>
      <c r="H31" s="29" t="str">
        <f>'勤務表（参照用）'!H31</f>
        <v/>
      </c>
      <c r="I31" s="29" t="str">
        <f>'勤務表（参照用）'!I31</f>
        <v>当</v>
      </c>
      <c r="J31" s="29" t="str">
        <f>'勤務表（参照用）'!J31</f>
        <v>明</v>
      </c>
      <c r="K31" s="29" t="str">
        <f>'勤務表（参照用）'!K31</f>
        <v>●</v>
      </c>
      <c r="L31" s="29" t="str">
        <f>'勤務表（参照用）'!L31</f>
        <v/>
      </c>
      <c r="M31" s="29" t="str">
        <f>'勤務表（参照用）'!M31</f>
        <v>当</v>
      </c>
      <c r="N31" s="29" t="str">
        <f>'勤務表（参照用）'!N31</f>
        <v>明</v>
      </c>
      <c r="O31" s="29" t="str">
        <f>'勤務表（参照用）'!O31</f>
        <v/>
      </c>
      <c r="P31" s="29" t="str">
        <f>'勤務表（参照用）'!P31</f>
        <v/>
      </c>
      <c r="Q31" s="29" t="str">
        <f>'勤務表（参照用）'!Q31</f>
        <v>○</v>
      </c>
      <c r="R31" s="29" t="str">
        <f>'勤務表（参照用）'!R31</f>
        <v>●</v>
      </c>
      <c r="S31" s="29" t="str">
        <f>'勤務表（参照用）'!S31</f>
        <v/>
      </c>
      <c r="T31" s="29" t="str">
        <f>'勤務表（参照用）'!T31</f>
        <v/>
      </c>
      <c r="U31" s="29" t="str">
        <f>'勤務表（参照用）'!U31</f>
        <v/>
      </c>
      <c r="V31" s="29" t="str">
        <f>'勤務表（参照用）'!V31</f>
        <v/>
      </c>
      <c r="W31" s="29" t="str">
        <f>'勤務表（参照用）'!W31</f>
        <v/>
      </c>
      <c r="X31" s="29" t="str">
        <f>'勤務表（参照用）'!X31</f>
        <v>当</v>
      </c>
      <c r="Y31" s="29" t="str">
        <f>'勤務表（参照用）'!Y31</f>
        <v>明</v>
      </c>
      <c r="Z31" s="29" t="str">
        <f>'勤務表（参照用）'!Z31</f>
        <v>●</v>
      </c>
      <c r="AA31" s="29" t="str">
        <f>'勤務表（参照用）'!AA31</f>
        <v/>
      </c>
      <c r="AB31" s="29" t="str">
        <f>'勤務表（参照用）'!AB31</f>
        <v/>
      </c>
      <c r="AC31" s="29" t="str">
        <f>'勤務表（参照用）'!AC31</f>
        <v/>
      </c>
      <c r="AD31" s="29" t="str">
        <f>'勤務表（参照用）'!AD31</f>
        <v/>
      </c>
      <c r="AE31" s="29" t="str">
        <f>'勤務表（参照用）'!AE31</f>
        <v>○</v>
      </c>
      <c r="AF31" s="29" t="str">
        <f>'勤務表（参照用）'!AF31</f>
        <v>●</v>
      </c>
      <c r="AG31" s="29" t="str">
        <f>'勤務表（参照用）'!AG31</f>
        <v/>
      </c>
      <c r="AH31" s="29" t="str">
        <f>'勤務表（参照用）'!AH31</f>
        <v/>
      </c>
      <c r="AJ31" s="28"/>
      <c r="AK31" s="30"/>
    </row>
    <row r="32" spans="3:37" x14ac:dyDescent="0.2">
      <c r="C32" s="69" t="str">
        <f>'勤務表（参照用）'!C32</f>
        <v>諸田 悠也</v>
      </c>
      <c r="D32" s="29" t="str">
        <f>'勤務表（参照用）'!D32</f>
        <v>●</v>
      </c>
      <c r="E32" s="29" t="str">
        <f>'勤務表（参照用）'!E32</f>
        <v/>
      </c>
      <c r="F32" s="29" t="str">
        <f>'勤務表（参照用）'!F32</f>
        <v/>
      </c>
      <c r="G32" s="29" t="str">
        <f>'勤務表（参照用）'!G32</f>
        <v/>
      </c>
      <c r="H32" s="29" t="str">
        <f>'勤務表（参照用）'!H32</f>
        <v>当</v>
      </c>
      <c r="I32" s="29" t="str">
        <f>'勤務表（参照用）'!I32</f>
        <v>明</v>
      </c>
      <c r="J32" s="29" t="str">
        <f>'勤務表（参照用）'!J32</f>
        <v>○</v>
      </c>
      <c r="K32" s="29" t="str">
        <f>'勤務表（参照用）'!K32</f>
        <v>●</v>
      </c>
      <c r="L32" s="29" t="str">
        <f>'勤務表（参照用）'!L32</f>
        <v/>
      </c>
      <c r="M32" s="29" t="str">
        <f>'勤務表（参照用）'!M32</f>
        <v/>
      </c>
      <c r="N32" s="29" t="str">
        <f>'勤務表（参照用）'!N32</f>
        <v/>
      </c>
      <c r="O32" s="29" t="str">
        <f>'勤務表（参照用）'!O32</f>
        <v/>
      </c>
      <c r="P32" s="29" t="str">
        <f>'勤務表（参照用）'!P32</f>
        <v/>
      </c>
      <c r="Q32" s="29" t="str">
        <f>'勤務表（参照用）'!Q32</f>
        <v>／</v>
      </c>
      <c r="R32" s="29" t="str">
        <f>'勤務表（参照用）'!R32</f>
        <v>●</v>
      </c>
      <c r="S32" s="29" t="str">
        <f>'勤務表（参照用）'!S32</f>
        <v/>
      </c>
      <c r="T32" s="29" t="str">
        <f>'勤務表（参照用）'!T32</f>
        <v>当</v>
      </c>
      <c r="U32" s="29" t="str">
        <f>'勤務表（参照用）'!U32</f>
        <v>明</v>
      </c>
      <c r="V32" s="29" t="str">
        <f>'勤務表（参照用）'!V32</f>
        <v/>
      </c>
      <c r="W32" s="29" t="str">
        <f>'勤務表（参照用）'!W32</f>
        <v/>
      </c>
      <c r="X32" s="29" t="str">
        <f>'勤務表（参照用）'!X32</f>
        <v>○</v>
      </c>
      <c r="Y32" s="29" t="str">
        <f>'勤務表（参照用）'!Y32</f>
        <v>●</v>
      </c>
      <c r="Z32" s="29" t="str">
        <f>'勤務表（参照用）'!Z32</f>
        <v/>
      </c>
      <c r="AA32" s="29" t="str">
        <f>'勤務表（参照用）'!AA32</f>
        <v/>
      </c>
      <c r="AB32" s="29" t="str">
        <f>'勤務表（参照用）'!AB32</f>
        <v/>
      </c>
      <c r="AC32" s="29" t="str">
        <f>'勤務表（参照用）'!AC32</f>
        <v/>
      </c>
      <c r="AD32" s="29" t="str">
        <f>'勤務表（参照用）'!AD32</f>
        <v/>
      </c>
      <c r="AE32" s="29" t="str">
        <f>'勤務表（参照用）'!AE32</f>
        <v>／</v>
      </c>
      <c r="AF32" s="29" t="str">
        <f>'勤務表（参照用）'!AF32</f>
        <v>●</v>
      </c>
      <c r="AG32" s="29" t="str">
        <f>'勤務表（参照用）'!AG32</f>
        <v/>
      </c>
      <c r="AH32" s="29" t="str">
        <f>'勤務表（参照用）'!AH32</f>
        <v/>
      </c>
      <c r="AJ32" s="30"/>
    </row>
    <row r="33" spans="3:37" x14ac:dyDescent="0.2">
      <c r="C33" s="69" t="str">
        <f>'勤務表（参照用）'!C33</f>
        <v>樫田 尚</v>
      </c>
      <c r="D33" s="29" t="str">
        <f>'勤務表（参照用）'!D33</f>
        <v>●</v>
      </c>
      <c r="E33" s="29" t="str">
        <f>'勤務表（参照用）'!E33</f>
        <v/>
      </c>
      <c r="F33" s="29" t="str">
        <f>'勤務表（参照用）'!F33</f>
        <v/>
      </c>
      <c r="G33" s="29" t="str">
        <f>'勤務表（参照用）'!G33</f>
        <v/>
      </c>
      <c r="H33" s="29" t="str">
        <f>'勤務表（参照用）'!H33</f>
        <v/>
      </c>
      <c r="I33" s="29" t="str">
        <f>'勤務表（参照用）'!I33</f>
        <v/>
      </c>
      <c r="J33" s="29" t="str">
        <f>'勤務表（参照用）'!J33</f>
        <v>○</v>
      </c>
      <c r="K33" s="29" t="str">
        <f>'勤務表（参照用）'!K33</f>
        <v/>
      </c>
      <c r="L33" s="29" t="str">
        <f>'勤務表（参照用）'!L33</f>
        <v/>
      </c>
      <c r="M33" s="29" t="str">
        <f>'勤務表（参照用）'!M33</f>
        <v/>
      </c>
      <c r="N33" s="29" t="str">
        <f>'勤務表（参照用）'!N33</f>
        <v/>
      </c>
      <c r="O33" s="29" t="str">
        <f>'勤務表（参照用）'!O33</f>
        <v>当</v>
      </c>
      <c r="P33" s="29" t="str">
        <f>'勤務表（参照用）'!P33</f>
        <v>明</v>
      </c>
      <c r="Q33" s="29" t="str">
        <f>'勤務表（参照用）'!Q33</f>
        <v>／</v>
      </c>
      <c r="R33" s="29" t="str">
        <f>'勤務表（参照用）'!R33</f>
        <v>●</v>
      </c>
      <c r="S33" s="29" t="str">
        <f>'勤務表（参照用）'!S33</f>
        <v/>
      </c>
      <c r="T33" s="29" t="str">
        <f>'勤務表（参照用）'!T33</f>
        <v/>
      </c>
      <c r="U33" s="29" t="str">
        <f>'勤務表（参照用）'!U33</f>
        <v/>
      </c>
      <c r="V33" s="29" t="str">
        <f>'勤務表（参照用）'!V33</f>
        <v/>
      </c>
      <c r="W33" s="29" t="str">
        <f>'勤務表（参照用）'!W33</f>
        <v/>
      </c>
      <c r="X33" s="29" t="str">
        <f>'勤務表（参照用）'!X33</f>
        <v>○</v>
      </c>
      <c r="Y33" s="29" t="str">
        <f>'勤務表（参照用）'!Y33</f>
        <v>●</v>
      </c>
      <c r="Z33" s="29" t="str">
        <f>'勤務表（参照用）'!Z33</f>
        <v>当</v>
      </c>
      <c r="AA33" s="29" t="str">
        <f>'勤務表（参照用）'!AA33</f>
        <v>明</v>
      </c>
      <c r="AB33" s="29" t="str">
        <f>'勤務表（参照用）'!AB33</f>
        <v/>
      </c>
      <c r="AC33" s="29" t="str">
        <f>'勤務表（参照用）'!AC33</f>
        <v/>
      </c>
      <c r="AD33" s="29" t="str">
        <f>'勤務表（参照用）'!AD33</f>
        <v/>
      </c>
      <c r="AE33" s="29" t="str">
        <f>'勤務表（参照用）'!AE33</f>
        <v>／</v>
      </c>
      <c r="AF33" s="29" t="str">
        <f>'勤務表（参照用）'!AF33</f>
        <v>●</v>
      </c>
      <c r="AG33" s="29" t="str">
        <f>'勤務表（参照用）'!AG33</f>
        <v/>
      </c>
      <c r="AH33" s="29" t="str">
        <f>'勤務表（参照用）'!AH33</f>
        <v>当</v>
      </c>
      <c r="AJ33" s="28"/>
      <c r="AK33" s="30"/>
    </row>
    <row r="34" spans="3:37" x14ac:dyDescent="0.2">
      <c r="C34" s="69" t="str">
        <f>'勤務表（参照用）'!C34</f>
        <v>福知 千佳</v>
      </c>
      <c r="D34" s="29" t="str">
        <f>'勤務表（参照用）'!D34</f>
        <v>●</v>
      </c>
      <c r="E34" s="29" t="str">
        <f>'勤務表（参照用）'!E34</f>
        <v/>
      </c>
      <c r="F34" s="29" t="str">
        <f>'勤務表（参照用）'!F34</f>
        <v/>
      </c>
      <c r="G34" s="29" t="str">
        <f>'勤務表（参照用）'!G34</f>
        <v/>
      </c>
      <c r="H34" s="29" t="str">
        <f>'勤務表（参照用）'!H34</f>
        <v/>
      </c>
      <c r="I34" s="29" t="str">
        <f>'勤務表（参照用）'!I34</f>
        <v/>
      </c>
      <c r="J34" s="29" t="str">
        <f>'勤務表（参照用）'!J34</f>
        <v>○</v>
      </c>
      <c r="K34" s="29" t="str">
        <f>'勤務表（参照用）'!K34</f>
        <v>●</v>
      </c>
      <c r="L34" s="29" t="str">
        <f>'勤務表（参照用）'!L34</f>
        <v/>
      </c>
      <c r="M34" s="29" t="str">
        <f>'勤務表（参照用）'!M34</f>
        <v/>
      </c>
      <c r="N34" s="29" t="str">
        <f>'勤務表（参照用）'!N34</f>
        <v/>
      </c>
      <c r="O34" s="29" t="str">
        <f>'勤務表（参照用）'!O34</f>
        <v/>
      </c>
      <c r="P34" s="29" t="str">
        <f>'勤務表（参照用）'!P34</f>
        <v/>
      </c>
      <c r="Q34" s="29" t="str">
        <f>'勤務表（参照用）'!Q34</f>
        <v>当</v>
      </c>
      <c r="R34" s="29" t="str">
        <f>'勤務表（参照用）'!R34</f>
        <v>明</v>
      </c>
      <c r="S34" s="29" t="str">
        <f>'勤務表（参照用）'!S34</f>
        <v>●</v>
      </c>
      <c r="T34" s="29" t="str">
        <f>'勤務表（参照用）'!T34</f>
        <v/>
      </c>
      <c r="U34" s="29" t="str">
        <f>'勤務表（参照用）'!U34</f>
        <v/>
      </c>
      <c r="V34" s="29" t="str">
        <f>'勤務表（参照用）'!V34</f>
        <v/>
      </c>
      <c r="W34" s="29" t="str">
        <f>'勤務表（参照用）'!W34</f>
        <v/>
      </c>
      <c r="X34" s="29" t="str">
        <f>'勤務表（参照用）'!X34</f>
        <v>○</v>
      </c>
      <c r="Y34" s="29" t="str">
        <f>'勤務表（参照用）'!Y34</f>
        <v>当</v>
      </c>
      <c r="Z34" s="29" t="str">
        <f>'勤務表（参照用）'!Z34</f>
        <v>明</v>
      </c>
      <c r="AA34" s="29" t="str">
        <f>'勤務表（参照用）'!AA34</f>
        <v>●</v>
      </c>
      <c r="AB34" s="29" t="str">
        <f>'勤務表（参照用）'!AB34</f>
        <v/>
      </c>
      <c r="AC34" s="29" t="str">
        <f>'勤務表（参照用）'!AC34</f>
        <v/>
      </c>
      <c r="AD34" s="29" t="str">
        <f>'勤務表（参照用）'!AD34</f>
        <v/>
      </c>
      <c r="AE34" s="29" t="str">
        <f>'勤務表（参照用）'!AE34</f>
        <v>／</v>
      </c>
      <c r="AF34" s="29" t="str">
        <f>'勤務表（参照用）'!AF34</f>
        <v>●</v>
      </c>
      <c r="AG34" s="29" t="str">
        <f>'勤務表（参照用）'!AG34</f>
        <v/>
      </c>
      <c r="AH34" s="29" t="str">
        <f>'勤務表（参照用）'!AH34</f>
        <v/>
      </c>
      <c r="AJ34" s="30"/>
    </row>
    <row r="35" spans="3:37" x14ac:dyDescent="0.2">
      <c r="C35" s="69" t="str">
        <f>'勤務表（参照用）'!C35</f>
        <v>袋 隼哉</v>
      </c>
      <c r="D35" s="29" t="str">
        <f>'勤務表（参照用）'!D35</f>
        <v>●</v>
      </c>
      <c r="E35" s="29" t="str">
        <f>'勤務表（参照用）'!E35</f>
        <v/>
      </c>
      <c r="F35" s="29" t="str">
        <f>'勤務表（参照用）'!F35</f>
        <v/>
      </c>
      <c r="G35" s="29" t="str">
        <f>'勤務表（参照用）'!G35</f>
        <v>当</v>
      </c>
      <c r="H35" s="29" t="str">
        <f>'勤務表（参照用）'!H35</f>
        <v>明</v>
      </c>
      <c r="I35" s="29" t="str">
        <f>'勤務表（参照用）'!I35</f>
        <v/>
      </c>
      <c r="J35" s="29" t="str">
        <f>'勤務表（参照用）'!J35</f>
        <v>／</v>
      </c>
      <c r="K35" s="29" t="str">
        <f>'勤務表（参照用）'!K35</f>
        <v>●</v>
      </c>
      <c r="L35" s="29" t="str">
        <f>'勤務表（参照用）'!L35</f>
        <v/>
      </c>
      <c r="M35" s="29" t="str">
        <f>'勤務表（参照用）'!M35</f>
        <v/>
      </c>
      <c r="N35" s="29" t="str">
        <f>'勤務表（参照用）'!N35</f>
        <v/>
      </c>
      <c r="O35" s="29" t="str">
        <f>'勤務表（参照用）'!O35</f>
        <v/>
      </c>
      <c r="P35" s="29" t="str">
        <f>'勤務表（参照用）'!P35</f>
        <v/>
      </c>
      <c r="Q35" s="29" t="str">
        <f>'勤務表（参照用）'!Q35</f>
        <v>○</v>
      </c>
      <c r="R35" s="29" t="str">
        <f>'勤務表（参照用）'!R35</f>
        <v>●</v>
      </c>
      <c r="S35" s="29" t="str">
        <f>'勤務表（参照用）'!S35</f>
        <v>当</v>
      </c>
      <c r="T35" s="29" t="str">
        <f>'勤務表（参照用）'!T35</f>
        <v>明</v>
      </c>
      <c r="U35" s="29" t="str">
        <f>'勤務表（参照用）'!U35</f>
        <v/>
      </c>
      <c r="V35" s="29" t="str">
        <f>'勤務表（参照用）'!V35</f>
        <v/>
      </c>
      <c r="W35" s="29" t="str">
        <f>'勤務表（参照用）'!W35</f>
        <v/>
      </c>
      <c r="X35" s="29" t="str">
        <f>'勤務表（参照用）'!X35</f>
        <v>／</v>
      </c>
      <c r="Y35" s="29" t="str">
        <f>'勤務表（参照用）'!Y35</f>
        <v>●</v>
      </c>
      <c r="Z35" s="29" t="str">
        <f>'勤務表（参照用）'!Z35</f>
        <v/>
      </c>
      <c r="AA35" s="29" t="str">
        <f>'勤務表（参照用）'!AA35</f>
        <v/>
      </c>
      <c r="AB35" s="29" t="str">
        <f>'勤務表（参照用）'!AB35</f>
        <v/>
      </c>
      <c r="AC35" s="29" t="str">
        <f>'勤務表（参照用）'!AC35</f>
        <v/>
      </c>
      <c r="AD35" s="29" t="str">
        <f>'勤務表（参照用）'!AD35</f>
        <v/>
      </c>
      <c r="AE35" s="29" t="str">
        <f>'勤務表（参照用）'!AE35</f>
        <v>○</v>
      </c>
      <c r="AF35" s="29" t="str">
        <f>'勤務表（参照用）'!AF35</f>
        <v>当</v>
      </c>
      <c r="AG35" s="29" t="str">
        <f>'勤務表（参照用）'!AG35</f>
        <v>明</v>
      </c>
      <c r="AH35" s="29" t="str">
        <f>'勤務表（参照用）'!AH35</f>
        <v>●</v>
      </c>
      <c r="AJ35" s="28"/>
      <c r="AK35" s="30"/>
    </row>
    <row r="36" spans="3:37" x14ac:dyDescent="0.2">
      <c r="C36" s="69" t="str">
        <f>'勤務表（参照用）'!C36</f>
        <v>雨池 凌也</v>
      </c>
      <c r="D36" s="29" t="str">
        <f>'勤務表（参照用）'!D36</f>
        <v>●</v>
      </c>
      <c r="E36" s="29" t="str">
        <f>'勤務表（参照用）'!E36</f>
        <v/>
      </c>
      <c r="F36" s="29" t="str">
        <f>'勤務表（参照用）'!F36</f>
        <v>当</v>
      </c>
      <c r="G36" s="29" t="str">
        <f>'勤務表（参照用）'!G36</f>
        <v>明</v>
      </c>
      <c r="H36" s="29" t="str">
        <f>'勤務表（参照用）'!H36</f>
        <v/>
      </c>
      <c r="I36" s="29" t="str">
        <f>'勤務表（参照用）'!I36</f>
        <v/>
      </c>
      <c r="J36" s="29" t="str">
        <f>'勤務表（参照用）'!J36</f>
        <v>○</v>
      </c>
      <c r="K36" s="29" t="str">
        <f>'勤務表（参照用）'!K36</f>
        <v>●</v>
      </c>
      <c r="L36" s="29" t="str">
        <f>'勤務表（参照用）'!L36</f>
        <v/>
      </c>
      <c r="M36" s="29" t="str">
        <f>'勤務表（参照用）'!M36</f>
        <v/>
      </c>
      <c r="N36" s="29" t="str">
        <f>'勤務表（参照用）'!N36</f>
        <v/>
      </c>
      <c r="O36" s="29" t="str">
        <f>'勤務表（参照用）'!O36</f>
        <v>当</v>
      </c>
      <c r="P36" s="29" t="str">
        <f>'勤務表（参照用）'!P36</f>
        <v>明</v>
      </c>
      <c r="Q36" s="29" t="str">
        <f>'勤務表（参照用）'!Q36</f>
        <v>／</v>
      </c>
      <c r="R36" s="29" t="str">
        <f>'勤務表（参照用）'!R36</f>
        <v>●</v>
      </c>
      <c r="S36" s="29" t="str">
        <f>'勤務表（参照用）'!S36</f>
        <v/>
      </c>
      <c r="T36" s="29" t="str">
        <f>'勤務表（参照用）'!T36</f>
        <v/>
      </c>
      <c r="U36" s="29" t="str">
        <f>'勤務表（参照用）'!U36</f>
        <v/>
      </c>
      <c r="V36" s="29" t="str">
        <f>'勤務表（参照用）'!V36</f>
        <v/>
      </c>
      <c r="W36" s="29" t="str">
        <f>'勤務表（参照用）'!W36</f>
        <v/>
      </c>
      <c r="X36" s="29" t="str">
        <f>'勤務表（参照用）'!X36</f>
        <v>○</v>
      </c>
      <c r="Y36" s="29" t="str">
        <f>'勤務表（参照用）'!Y36</f>
        <v>●</v>
      </c>
      <c r="Z36" s="29" t="str">
        <f>'勤務表（参照用）'!Z36</f>
        <v/>
      </c>
      <c r="AA36" s="29" t="str">
        <f>'勤務表（参照用）'!AA36</f>
        <v/>
      </c>
      <c r="AB36" s="29" t="str">
        <f>'勤務表（参照用）'!AB36</f>
        <v/>
      </c>
      <c r="AC36" s="29" t="str">
        <f>'勤務表（参照用）'!AC36</f>
        <v>当</v>
      </c>
      <c r="AD36" s="29" t="str">
        <f>'勤務表（参照用）'!AD36</f>
        <v>明</v>
      </c>
      <c r="AE36" s="29" t="str">
        <f>'勤務表（参照用）'!AE36</f>
        <v>／</v>
      </c>
      <c r="AF36" s="29" t="str">
        <f>'勤務表（参照用）'!AF36</f>
        <v>●</v>
      </c>
      <c r="AG36" s="29" t="str">
        <f>'勤務表（参照用）'!AG36</f>
        <v/>
      </c>
      <c r="AH36" s="29" t="str">
        <f>'勤務表（参照用）'!AH36</f>
        <v/>
      </c>
      <c r="AJ36" s="30"/>
    </row>
    <row r="37" spans="3:37" ht="13.15" customHeight="1" x14ac:dyDescent="0.2">
      <c r="C37" s="69" t="str">
        <f>'勤務表（参照用）'!C37</f>
        <v>中川 大誠</v>
      </c>
      <c r="D37" s="29" t="str">
        <f>'勤務表（参照用）'!D37</f>
        <v>●</v>
      </c>
      <c r="E37" s="29" t="str">
        <f>'勤務表（参照用）'!E37</f>
        <v/>
      </c>
      <c r="F37" s="29" t="str">
        <f>'勤務表（参照用）'!F37</f>
        <v/>
      </c>
      <c r="G37" s="29" t="str">
        <f>'勤務表（参照用）'!G37</f>
        <v/>
      </c>
      <c r="H37" s="29" t="str">
        <f>'勤務表（参照用）'!H37</f>
        <v/>
      </c>
      <c r="I37" s="29" t="str">
        <f>'勤務表（参照用）'!I37</f>
        <v/>
      </c>
      <c r="J37" s="29" t="str">
        <f>'勤務表（参照用）'!J37</f>
        <v>○</v>
      </c>
      <c r="K37" s="29" t="str">
        <f>'勤務表（参照用）'!K37</f>
        <v>●</v>
      </c>
      <c r="L37" s="29" t="str">
        <f>'勤務表（参照用）'!L37</f>
        <v/>
      </c>
      <c r="M37" s="29" t="str">
        <f>'勤務表（参照用）'!M37</f>
        <v/>
      </c>
      <c r="N37" s="29" t="str">
        <f>'勤務表（参照用）'!N37</f>
        <v/>
      </c>
      <c r="O37" s="29" t="str">
        <f>'勤務表（参照用）'!O37</f>
        <v/>
      </c>
      <c r="P37" s="29" t="str">
        <f>'勤務表（参照用）'!P37</f>
        <v/>
      </c>
      <c r="Q37" s="29" t="str">
        <f>'勤務表（参照用）'!Q37</f>
        <v>○</v>
      </c>
      <c r="R37" s="29" t="str">
        <f>'勤務表（参照用）'!R37</f>
        <v>●</v>
      </c>
      <c r="S37" s="29" t="str">
        <f>'勤務表（参照用）'!S37</f>
        <v/>
      </c>
      <c r="T37" s="29" t="str">
        <f>'勤務表（参照用）'!T37</f>
        <v/>
      </c>
      <c r="U37" s="29" t="str">
        <f>'勤務表（参照用）'!U37</f>
        <v/>
      </c>
      <c r="V37" s="29" t="str">
        <f>'勤務表（参照用）'!V37</f>
        <v/>
      </c>
      <c r="W37" s="29" t="str">
        <f>'勤務表（参照用）'!W37</f>
        <v/>
      </c>
      <c r="X37" s="29" t="str">
        <f>'勤務表（参照用）'!X37</f>
        <v>○</v>
      </c>
      <c r="Y37" s="29" t="str">
        <f>'勤務表（参照用）'!Y37</f>
        <v>●</v>
      </c>
      <c r="Z37" s="29" t="str">
        <f>'勤務表（参照用）'!Z37</f>
        <v/>
      </c>
      <c r="AA37" s="29" t="str">
        <f>'勤務表（参照用）'!AA37</f>
        <v/>
      </c>
      <c r="AB37" s="29" t="str">
        <f>'勤務表（参照用）'!AB37</f>
        <v/>
      </c>
      <c r="AC37" s="29" t="str">
        <f>'勤務表（参照用）'!AC37</f>
        <v/>
      </c>
      <c r="AD37" s="29" t="str">
        <f>'勤務表（参照用）'!AD37</f>
        <v/>
      </c>
      <c r="AE37" s="29" t="str">
        <f>'勤務表（参照用）'!AE37</f>
        <v>○</v>
      </c>
      <c r="AF37" s="29" t="str">
        <f>'勤務表（参照用）'!AF37</f>
        <v>●</v>
      </c>
      <c r="AG37" s="29" t="str">
        <f>'勤務表（参照用）'!AG37</f>
        <v/>
      </c>
      <c r="AH37" s="29" t="str">
        <f>'勤務表（参照用）'!AH37</f>
        <v/>
      </c>
      <c r="AJ37" s="28"/>
      <c r="AK37" s="30"/>
    </row>
    <row r="38" spans="3:37" ht="13.15" customHeight="1" x14ac:dyDescent="0.2">
      <c r="C38" s="69" t="str">
        <f>'勤務表（参照用）'!C38</f>
        <v>清水 正生</v>
      </c>
      <c r="D38" s="29" t="str">
        <f>'勤務表（参照用）'!D38</f>
        <v>当</v>
      </c>
      <c r="E38" s="29" t="str">
        <f>'勤務表（参照用）'!E38</f>
        <v>明</v>
      </c>
      <c r="F38" s="29" t="str">
        <f>'勤務表（参照用）'!F38</f>
        <v>●</v>
      </c>
      <c r="G38" s="29" t="str">
        <f>'勤務表（参照用）'!G38</f>
        <v/>
      </c>
      <c r="H38" s="29" t="str">
        <f>'勤務表（参照用）'!H38</f>
        <v/>
      </c>
      <c r="I38" s="29" t="str">
        <f>'勤務表（参照用）'!I38</f>
        <v/>
      </c>
      <c r="J38" s="29" t="str">
        <f>'勤務表（参照用）'!J38</f>
        <v>／</v>
      </c>
      <c r="K38" s="29" t="str">
        <f>'勤務表（参照用）'!K38</f>
        <v>●</v>
      </c>
      <c r="L38" s="29" t="str">
        <f>'勤務表（参照用）'!L38</f>
        <v/>
      </c>
      <c r="M38" s="29" t="str">
        <f>'勤務表（参照用）'!M38</f>
        <v/>
      </c>
      <c r="N38" s="29" t="str">
        <f>'勤務表（参照用）'!N38</f>
        <v/>
      </c>
      <c r="O38" s="29" t="str">
        <f>'勤務表（参照用）'!O38</f>
        <v/>
      </c>
      <c r="P38" s="29" t="str">
        <f>'勤務表（参照用）'!P38</f>
        <v/>
      </c>
      <c r="Q38" s="29" t="str">
        <f>'勤務表（参照用）'!Q38</f>
        <v>○</v>
      </c>
      <c r="R38" s="29" t="str">
        <f>'勤務表（参照用）'!R38</f>
        <v>当</v>
      </c>
      <c r="S38" s="29" t="str">
        <f>'勤務表（参照用）'!S38</f>
        <v>明</v>
      </c>
      <c r="T38" s="29" t="str">
        <f>'勤務表（参照用）'!T38</f>
        <v>●</v>
      </c>
      <c r="U38" s="29" t="str">
        <f>'勤務表（参照用）'!U38</f>
        <v/>
      </c>
      <c r="V38" s="29" t="str">
        <f>'勤務表（参照用）'!V38</f>
        <v/>
      </c>
      <c r="W38" s="29" t="str">
        <f>'勤務表（参照用）'!W38</f>
        <v/>
      </c>
      <c r="X38" s="29" t="str">
        <f>'勤務表（参照用）'!X38</f>
        <v>／</v>
      </c>
      <c r="Y38" s="29" t="str">
        <f>'勤務表（参照用）'!Y38</f>
        <v>●</v>
      </c>
      <c r="Z38" s="29" t="str">
        <f>'勤務表（参照用）'!Z38</f>
        <v/>
      </c>
      <c r="AA38" s="29" t="str">
        <f>'勤務表（参照用）'!AA38</f>
        <v/>
      </c>
      <c r="AB38" s="29" t="str">
        <f>'勤務表（参照用）'!AB38</f>
        <v/>
      </c>
      <c r="AC38" s="29" t="str">
        <f>'勤務表（参照用）'!AC38</f>
        <v/>
      </c>
      <c r="AD38" s="29" t="str">
        <f>'勤務表（参照用）'!AD38</f>
        <v/>
      </c>
      <c r="AE38" s="29" t="str">
        <f>'勤務表（参照用）'!AE38</f>
        <v>○</v>
      </c>
      <c r="AF38" s="29" t="str">
        <f>'勤務表（参照用）'!AF38</f>
        <v>●</v>
      </c>
      <c r="AG38" s="29" t="str">
        <f>'勤務表（参照用）'!AG38</f>
        <v/>
      </c>
      <c r="AH38" s="29" t="str">
        <f>'勤務表（参照用）'!AH38</f>
        <v/>
      </c>
      <c r="AJ38" s="30"/>
    </row>
    <row r="39" spans="3:37" ht="13.15" customHeight="1" x14ac:dyDescent="0.2">
      <c r="C39" s="69" t="str">
        <f>'勤務表（参照用）'!C39</f>
        <v>菅野 祐萌</v>
      </c>
      <c r="D39" s="29" t="str">
        <f>'勤務表（参照用）'!D39</f>
        <v>●</v>
      </c>
      <c r="E39" s="29" t="str">
        <f>'勤務表（参照用）'!E39</f>
        <v/>
      </c>
      <c r="F39" s="29" t="str">
        <f>'勤務表（参照用）'!F39</f>
        <v/>
      </c>
      <c r="G39" s="29" t="str">
        <f>'勤務表（参照用）'!G39</f>
        <v/>
      </c>
      <c r="H39" s="29" t="str">
        <f>'勤務表（参照用）'!H39</f>
        <v/>
      </c>
      <c r="I39" s="29" t="str">
        <f>'勤務表（参照用）'!I39</f>
        <v/>
      </c>
      <c r="J39" s="29" t="str">
        <f>'勤務表（参照用）'!J39</f>
        <v>○</v>
      </c>
      <c r="K39" s="29" t="str">
        <f>'勤務表（参照用）'!K39</f>
        <v>●</v>
      </c>
      <c r="L39" s="29" t="str">
        <f>'勤務表（参照用）'!L39</f>
        <v/>
      </c>
      <c r="M39" s="29" t="str">
        <f>'勤務表（参照用）'!M39</f>
        <v/>
      </c>
      <c r="N39" s="29" t="str">
        <f>'勤務表（参照用）'!N39</f>
        <v/>
      </c>
      <c r="O39" s="29" t="str">
        <f>'勤務表（参照用）'!O39</f>
        <v/>
      </c>
      <c r="P39" s="29" t="str">
        <f>'勤務表（参照用）'!P39</f>
        <v>当</v>
      </c>
      <c r="Q39" s="29" t="str">
        <f>'勤務表（参照用）'!Q39</f>
        <v>明</v>
      </c>
      <c r="R39" s="29" t="str">
        <f>'勤務表（参照用）'!R39</f>
        <v>●</v>
      </c>
      <c r="S39" s="29" t="str">
        <f>'勤務表（参照用）'!S39</f>
        <v/>
      </c>
      <c r="T39" s="29" t="str">
        <f>'勤務表（参照用）'!T39</f>
        <v/>
      </c>
      <c r="U39" s="29" t="str">
        <f>'勤務表（参照用）'!U39</f>
        <v/>
      </c>
      <c r="V39" s="29" t="str">
        <f>'勤務表（参照用）'!V39</f>
        <v/>
      </c>
      <c r="W39" s="29" t="str">
        <f>'勤務表（参照用）'!W39</f>
        <v/>
      </c>
      <c r="X39" s="29" t="str">
        <f>'勤務表（参照用）'!X39</f>
        <v>○</v>
      </c>
      <c r="Y39" s="29" t="str">
        <f>'勤務表（参照用）'!Y39</f>
        <v/>
      </c>
      <c r="Z39" s="29" t="str">
        <f>'勤務表（参照用）'!Z39</f>
        <v/>
      </c>
      <c r="AA39" s="29" t="str">
        <f>'勤務表（参照用）'!AA39</f>
        <v/>
      </c>
      <c r="AB39" s="29" t="str">
        <f>'勤務表（参照用）'!AB39</f>
        <v/>
      </c>
      <c r="AC39" s="29" t="str">
        <f>'勤務表（参照用）'!AC39</f>
        <v/>
      </c>
      <c r="AD39" s="29" t="str">
        <f>'勤務表（参照用）'!AD39</f>
        <v>当</v>
      </c>
      <c r="AE39" s="29" t="str">
        <f>'勤務表（参照用）'!AE39</f>
        <v>明</v>
      </c>
      <c r="AF39" s="29" t="str">
        <f>'勤務表（参照用）'!AF39</f>
        <v>●</v>
      </c>
      <c r="AG39" s="29" t="str">
        <f>'勤務表（参照用）'!AG39</f>
        <v/>
      </c>
      <c r="AH39" s="29" t="str">
        <f>'勤務表（参照用）'!AH39</f>
        <v/>
      </c>
      <c r="AJ39" s="28"/>
      <c r="AK39" s="30"/>
    </row>
    <row r="40" spans="3:37" ht="13.15" customHeight="1" x14ac:dyDescent="0.2">
      <c r="C40" s="69" t="str">
        <f>'勤務表（参照用）'!C40</f>
        <v>別所 貴仁</v>
      </c>
      <c r="D40" s="29" t="str">
        <f>'勤務表（参照用）'!D40</f>
        <v>●</v>
      </c>
      <c r="E40" s="29" t="str">
        <f>'勤務表（参照用）'!E40</f>
        <v/>
      </c>
      <c r="F40" s="29" t="str">
        <f>'勤務表（参照用）'!F40</f>
        <v/>
      </c>
      <c r="G40" s="29" t="str">
        <f>'勤務表（参照用）'!G40</f>
        <v/>
      </c>
      <c r="H40" s="29" t="str">
        <f>'勤務表（参照用）'!H40</f>
        <v/>
      </c>
      <c r="I40" s="29" t="str">
        <f>'勤務表（参照用）'!I40</f>
        <v/>
      </c>
      <c r="J40" s="29" t="str">
        <f>'勤務表（参照用）'!J40</f>
        <v>当</v>
      </c>
      <c r="K40" s="29" t="str">
        <f>'勤務表（参照用）'!K40</f>
        <v>明</v>
      </c>
      <c r="L40" s="29" t="str">
        <f>'勤務表（参照用）'!L40</f>
        <v>●</v>
      </c>
      <c r="M40" s="29" t="str">
        <f>'勤務表（参照用）'!M40</f>
        <v/>
      </c>
      <c r="N40" s="29" t="str">
        <f>'勤務表（参照用）'!N40</f>
        <v/>
      </c>
      <c r="O40" s="29" t="str">
        <f>'勤務表（参照用）'!O40</f>
        <v/>
      </c>
      <c r="P40" s="29" t="str">
        <f>'勤務表（参照用）'!P40</f>
        <v/>
      </c>
      <c r="Q40" s="29" t="str">
        <f>'勤務表（参照用）'!Q40</f>
        <v>○</v>
      </c>
      <c r="R40" s="29" t="str">
        <f>'勤務表（参照用）'!R40</f>
        <v>●</v>
      </c>
      <c r="S40" s="29" t="str">
        <f>'勤務表（参照用）'!S40</f>
        <v/>
      </c>
      <c r="T40" s="29" t="str">
        <f>'勤務表（参照用）'!T40</f>
        <v/>
      </c>
      <c r="U40" s="29" t="str">
        <f>'勤務表（参照用）'!U40</f>
        <v>当</v>
      </c>
      <c r="V40" s="29" t="str">
        <f>'勤務表（参照用）'!V40</f>
        <v>明</v>
      </c>
      <c r="W40" s="29" t="str">
        <f>'勤務表（参照用）'!W40</f>
        <v/>
      </c>
      <c r="X40" s="29" t="str">
        <f>'勤務表（参照用）'!X40</f>
        <v>／</v>
      </c>
      <c r="Y40" s="29" t="str">
        <f>'勤務表（参照用）'!Y40</f>
        <v>●</v>
      </c>
      <c r="Z40" s="29" t="str">
        <f>'勤務表（参照用）'!Z40</f>
        <v/>
      </c>
      <c r="AA40" s="29" t="str">
        <f>'勤務表（参照用）'!AA40</f>
        <v/>
      </c>
      <c r="AB40" s="29" t="str">
        <f>'勤務表（参照用）'!AB40</f>
        <v>当</v>
      </c>
      <c r="AC40" s="29" t="str">
        <f>'勤務表（参照用）'!AC40</f>
        <v>明</v>
      </c>
      <c r="AD40" s="29" t="str">
        <f>'勤務表（参照用）'!AD40</f>
        <v/>
      </c>
      <c r="AE40" s="29" t="str">
        <f>'勤務表（参照用）'!AE40</f>
        <v>○</v>
      </c>
      <c r="AF40" s="29" t="str">
        <f>'勤務表（参照用）'!AF40</f>
        <v>●</v>
      </c>
      <c r="AG40" s="29" t="str">
        <f>'勤務表（参照用）'!AG40</f>
        <v>当</v>
      </c>
      <c r="AH40" s="29" t="str">
        <f>'勤務表（参照用）'!AH40</f>
        <v>明</v>
      </c>
    </row>
    <row r="41" spans="3:37" ht="13.15" customHeight="1" x14ac:dyDescent="0.2">
      <c r="C41" s="69" t="str">
        <f>'勤務表（参照用）'!C41</f>
        <v>坂下 大知</v>
      </c>
      <c r="D41" s="29" t="str">
        <f>'勤務表（参照用）'!D41</f>
        <v>●</v>
      </c>
      <c r="E41" s="29" t="str">
        <f>'勤務表（参照用）'!E41</f>
        <v/>
      </c>
      <c r="F41" s="29" t="str">
        <f>'勤務表（参照用）'!F41</f>
        <v/>
      </c>
      <c r="G41" s="29" t="str">
        <f>'勤務表（参照用）'!G41</f>
        <v/>
      </c>
      <c r="H41" s="29" t="str">
        <f>'勤務表（参照用）'!H41</f>
        <v/>
      </c>
      <c r="I41" s="29" t="str">
        <f>'勤務表（参照用）'!I41</f>
        <v/>
      </c>
      <c r="J41" s="29" t="str">
        <f>'勤務表（参照用）'!J41</f>
        <v>／</v>
      </c>
      <c r="K41" s="29" t="str">
        <f>'勤務表（参照用）'!K41</f>
        <v>●</v>
      </c>
      <c r="L41" s="29" t="str">
        <f>'勤務表（参照用）'!L41</f>
        <v/>
      </c>
      <c r="M41" s="29" t="str">
        <f>'勤務表（参照用）'!M41</f>
        <v/>
      </c>
      <c r="N41" s="29" t="str">
        <f>'勤務表（参照用）'!N41</f>
        <v/>
      </c>
      <c r="O41" s="29" t="str">
        <f>'勤務表（参照用）'!O41</f>
        <v/>
      </c>
      <c r="P41" s="29" t="str">
        <f>'勤務表（参照用）'!P41</f>
        <v/>
      </c>
      <c r="Q41" s="29" t="str">
        <f>'勤務表（参照用）'!Q41</f>
        <v>○</v>
      </c>
      <c r="R41" s="29" t="str">
        <f>'勤務表（参照用）'!R41</f>
        <v>●</v>
      </c>
      <c r="S41" s="29" t="str">
        <f>'勤務表（参照用）'!S41</f>
        <v/>
      </c>
      <c r="T41" s="29" t="str">
        <f>'勤務表（参照用）'!T41</f>
        <v/>
      </c>
      <c r="U41" s="29" t="str">
        <f>'勤務表（参照用）'!U41</f>
        <v/>
      </c>
      <c r="V41" s="29" t="str">
        <f>'勤務表（参照用）'!V41</f>
        <v/>
      </c>
      <c r="W41" s="29" t="str">
        <f>'勤務表（参照用）'!W41</f>
        <v/>
      </c>
      <c r="X41" s="29" t="str">
        <f>'勤務表（参照用）'!X41</f>
        <v>／</v>
      </c>
      <c r="Y41" s="29" t="str">
        <f>'勤務表（参照用）'!Y41</f>
        <v>●</v>
      </c>
      <c r="Z41" s="29" t="str">
        <f>'勤務表（参照用）'!Z41</f>
        <v/>
      </c>
      <c r="AA41" s="29" t="str">
        <f>'勤務表（参照用）'!AA41</f>
        <v/>
      </c>
      <c r="AB41" s="29" t="str">
        <f>'勤務表（参照用）'!AB41</f>
        <v/>
      </c>
      <c r="AC41" s="29" t="str">
        <f>'勤務表（参照用）'!AC41</f>
        <v/>
      </c>
      <c r="AD41" s="29" t="str">
        <f>'勤務表（参照用）'!AD41</f>
        <v/>
      </c>
      <c r="AE41" s="29" t="str">
        <f>'勤務表（参照用）'!AE41</f>
        <v>○</v>
      </c>
      <c r="AF41" s="29" t="str">
        <f>'勤務表（参照用）'!AF41</f>
        <v>●</v>
      </c>
      <c r="AG41" s="29" t="str">
        <f>'勤務表（参照用）'!AG41</f>
        <v/>
      </c>
      <c r="AH41" s="29" t="str">
        <f>'勤務表（参照用）'!AH41</f>
        <v/>
      </c>
    </row>
    <row r="42" spans="3:37" ht="13.15" customHeight="1" x14ac:dyDescent="0.2">
      <c r="C42" s="69">
        <f>'勤務表（参照用）'!C42</f>
        <v>0</v>
      </c>
      <c r="D42" s="29" t="str">
        <f>'勤務表（参照用）'!D42</f>
        <v/>
      </c>
      <c r="E42" s="29" t="str">
        <f>'勤務表（参照用）'!E42</f>
        <v/>
      </c>
      <c r="F42" s="29" t="str">
        <f>'勤務表（参照用）'!F42</f>
        <v/>
      </c>
      <c r="G42" s="29" t="str">
        <f>'勤務表（参照用）'!G42</f>
        <v/>
      </c>
      <c r="H42" s="29" t="str">
        <f>'勤務表（参照用）'!H42</f>
        <v/>
      </c>
      <c r="I42" s="29" t="str">
        <f>'勤務表（参照用）'!I42</f>
        <v/>
      </c>
      <c r="J42" s="29" t="str">
        <f>'勤務表（参照用）'!J42</f>
        <v/>
      </c>
      <c r="K42" s="29" t="str">
        <f>'勤務表（参照用）'!K42</f>
        <v/>
      </c>
      <c r="L42" s="29" t="str">
        <f>'勤務表（参照用）'!L42</f>
        <v/>
      </c>
      <c r="M42" s="29" t="str">
        <f>'勤務表（参照用）'!M42</f>
        <v/>
      </c>
      <c r="N42" s="29" t="str">
        <f>'勤務表（参照用）'!N42</f>
        <v/>
      </c>
      <c r="O42" s="29" t="str">
        <f>'勤務表（参照用）'!O42</f>
        <v/>
      </c>
      <c r="P42" s="29" t="str">
        <f>'勤務表（参照用）'!P42</f>
        <v/>
      </c>
      <c r="Q42" s="29" t="str">
        <f>'勤務表（参照用）'!Q42</f>
        <v/>
      </c>
      <c r="R42" s="29" t="str">
        <f>'勤務表（参照用）'!R42</f>
        <v/>
      </c>
      <c r="S42" s="29" t="str">
        <f>'勤務表（参照用）'!S42</f>
        <v/>
      </c>
      <c r="T42" s="29" t="str">
        <f>'勤務表（参照用）'!T42</f>
        <v/>
      </c>
      <c r="U42" s="29" t="str">
        <f>'勤務表（参照用）'!U42</f>
        <v/>
      </c>
      <c r="V42" s="29" t="str">
        <f>'勤務表（参照用）'!V42</f>
        <v/>
      </c>
      <c r="W42" s="29" t="str">
        <f>'勤務表（参照用）'!W42</f>
        <v/>
      </c>
      <c r="X42" s="29" t="str">
        <f>'勤務表（参照用）'!X42</f>
        <v/>
      </c>
      <c r="Y42" s="29" t="str">
        <f>'勤務表（参照用）'!Y42</f>
        <v/>
      </c>
      <c r="Z42" s="29" t="str">
        <f>'勤務表（参照用）'!Z42</f>
        <v/>
      </c>
      <c r="AA42" s="29" t="str">
        <f>'勤務表（参照用）'!AA42</f>
        <v/>
      </c>
      <c r="AB42" s="29" t="str">
        <f>'勤務表（参照用）'!AB42</f>
        <v/>
      </c>
      <c r="AC42" s="29" t="str">
        <f>'勤務表（参照用）'!AC42</f>
        <v/>
      </c>
      <c r="AD42" s="29" t="str">
        <f>'勤務表（参照用）'!AD42</f>
        <v/>
      </c>
      <c r="AE42" s="29" t="str">
        <f>'勤務表（参照用）'!AE42</f>
        <v/>
      </c>
      <c r="AF42" s="29" t="str">
        <f>'勤務表（参照用）'!AF42</f>
        <v/>
      </c>
      <c r="AG42" s="29" t="str">
        <f>'勤務表（参照用）'!AG42</f>
        <v/>
      </c>
      <c r="AH42" s="29" t="str">
        <f>'勤務表（参照用）'!AH42</f>
        <v/>
      </c>
    </row>
    <row r="43" spans="3:37" ht="13.15" customHeight="1" x14ac:dyDescent="0.2">
      <c r="C43" s="69">
        <f>'勤務表（参照用）'!C43</f>
        <v>0</v>
      </c>
      <c r="D43" s="29" t="str">
        <f>'勤務表（参照用）'!D43</f>
        <v/>
      </c>
      <c r="E43" s="29" t="str">
        <f>'勤務表（参照用）'!E43</f>
        <v/>
      </c>
      <c r="F43" s="29" t="str">
        <f>'勤務表（参照用）'!F43</f>
        <v/>
      </c>
      <c r="G43" s="29" t="str">
        <f>'勤務表（参照用）'!G43</f>
        <v/>
      </c>
      <c r="H43" s="29" t="str">
        <f>'勤務表（参照用）'!H43</f>
        <v/>
      </c>
      <c r="I43" s="29" t="str">
        <f>'勤務表（参照用）'!I43</f>
        <v/>
      </c>
      <c r="J43" s="29" t="str">
        <f>'勤務表（参照用）'!J43</f>
        <v/>
      </c>
      <c r="K43" s="29" t="str">
        <f>'勤務表（参照用）'!K43</f>
        <v/>
      </c>
      <c r="L43" s="29" t="str">
        <f>'勤務表（参照用）'!L43</f>
        <v/>
      </c>
      <c r="M43" s="29" t="str">
        <f>'勤務表（参照用）'!M43</f>
        <v/>
      </c>
      <c r="N43" s="29">
        <f>'勤務表（参照用）'!N43</f>
        <v>0</v>
      </c>
      <c r="O43" s="29" t="str">
        <f>'勤務表（参照用）'!O43</f>
        <v/>
      </c>
      <c r="P43" s="29" t="str">
        <f>'勤務表（参照用）'!P43</f>
        <v/>
      </c>
      <c r="Q43" s="29" t="str">
        <f>'勤務表（参照用）'!Q43</f>
        <v/>
      </c>
      <c r="R43" s="29" t="str">
        <f>'勤務表（参照用）'!R43</f>
        <v/>
      </c>
      <c r="S43" s="29" t="str">
        <f>'勤務表（参照用）'!S43</f>
        <v/>
      </c>
      <c r="T43" s="29" t="str">
        <f>'勤務表（参照用）'!T43</f>
        <v/>
      </c>
      <c r="U43" s="29" t="str">
        <f>'勤務表（参照用）'!U43</f>
        <v/>
      </c>
      <c r="V43" s="29" t="str">
        <f>'勤務表（参照用）'!V43</f>
        <v/>
      </c>
      <c r="W43" s="29" t="str">
        <f>'勤務表（参照用）'!W43</f>
        <v/>
      </c>
      <c r="X43" s="29" t="str">
        <f>'勤務表（参照用）'!X43</f>
        <v/>
      </c>
      <c r="Y43" s="29" t="str">
        <f>'勤務表（参照用）'!Y43</f>
        <v/>
      </c>
      <c r="Z43" s="29" t="str">
        <f>'勤務表（参照用）'!Z43</f>
        <v/>
      </c>
      <c r="AA43" s="29" t="str">
        <f>'勤務表（参照用）'!AA43</f>
        <v/>
      </c>
      <c r="AB43" s="29" t="str">
        <f>'勤務表（参照用）'!AB43</f>
        <v/>
      </c>
      <c r="AC43" s="29" t="str">
        <f>'勤務表（参照用）'!AC43</f>
        <v/>
      </c>
      <c r="AD43" s="29" t="str">
        <f>'勤務表（参照用）'!AD43</f>
        <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2</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2</v>
      </c>
    </row>
    <row r="55" spans="3:36" x14ac:dyDescent="0.2">
      <c r="C55" s="22" t="s">
        <v>1</v>
      </c>
      <c r="D55" s="15">
        <f>COUNTIF(D$4:D$46,$C55)</f>
        <v>0</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2">
      <c r="C56" s="22" t="s">
        <v>2</v>
      </c>
      <c r="D56" s="15">
        <f>COUNTIF(D$4:D$46,$C56)</f>
        <v>35</v>
      </c>
      <c r="E56" s="15">
        <f t="shared" si="1"/>
        <v>0</v>
      </c>
      <c r="F56" s="15">
        <f>COUNTIF(F$4:F$46,$C56)</f>
        <v>2</v>
      </c>
      <c r="G56" s="15">
        <f t="shared" si="1"/>
        <v>0</v>
      </c>
      <c r="H56" s="15">
        <f t="shared" si="1"/>
        <v>0</v>
      </c>
      <c r="I56" s="15">
        <f t="shared" si="1"/>
        <v>0</v>
      </c>
      <c r="J56" s="15">
        <f t="shared" si="1"/>
        <v>0</v>
      </c>
      <c r="K56" s="15">
        <f t="shared" si="1"/>
        <v>33</v>
      </c>
      <c r="L56" s="15">
        <f t="shared" si="1"/>
        <v>2</v>
      </c>
      <c r="M56" s="15">
        <f t="shared" si="1"/>
        <v>2</v>
      </c>
      <c r="N56" s="15">
        <f t="shared" si="1"/>
        <v>0</v>
      </c>
      <c r="O56" s="15">
        <f t="shared" si="1"/>
        <v>0</v>
      </c>
      <c r="P56" s="15">
        <f t="shared" si="1"/>
        <v>0</v>
      </c>
      <c r="Q56" s="15">
        <f t="shared" si="1"/>
        <v>0</v>
      </c>
      <c r="R56" s="15">
        <f t="shared" si="1"/>
        <v>33</v>
      </c>
      <c r="S56" s="15">
        <f t="shared" si="1"/>
        <v>2</v>
      </c>
      <c r="T56" s="15">
        <f t="shared" si="1"/>
        <v>2</v>
      </c>
      <c r="U56" s="15">
        <f t="shared" si="1"/>
        <v>0</v>
      </c>
      <c r="V56" s="15">
        <f t="shared" si="1"/>
        <v>0</v>
      </c>
      <c r="W56" s="15">
        <f t="shared" si="1"/>
        <v>0</v>
      </c>
      <c r="X56" s="15">
        <f t="shared" si="1"/>
        <v>0</v>
      </c>
      <c r="Y56" s="15">
        <f t="shared" si="1"/>
        <v>33</v>
      </c>
      <c r="Z56" s="15">
        <f t="shared" si="1"/>
        <v>2</v>
      </c>
      <c r="AA56" s="15">
        <f t="shared" si="1"/>
        <v>2</v>
      </c>
      <c r="AB56" s="15">
        <f t="shared" si="1"/>
        <v>0</v>
      </c>
      <c r="AC56" s="15">
        <f t="shared" si="1"/>
        <v>0</v>
      </c>
      <c r="AD56" s="15">
        <f t="shared" si="1"/>
        <v>0</v>
      </c>
      <c r="AE56" s="15">
        <f t="shared" si="1"/>
        <v>0</v>
      </c>
      <c r="AF56" s="15">
        <f t="shared" si="1"/>
        <v>33</v>
      </c>
      <c r="AG56" s="15">
        <f t="shared" si="1"/>
        <v>2</v>
      </c>
      <c r="AH56" s="14">
        <f>COUNTIF(AH$4:AH$46,$C56)</f>
        <v>2</v>
      </c>
      <c r="AJ56" s="12">
        <f>SUM(D56:AH56)</f>
        <v>185</v>
      </c>
    </row>
    <row r="57" spans="3:36" x14ac:dyDescent="0.2">
      <c r="C57" s="24" t="s">
        <v>40</v>
      </c>
      <c r="D57" s="18">
        <f t="shared" ref="D57:AG57" si="3">COUNTBLANK(D4:D46)</f>
        <v>6</v>
      </c>
      <c r="E57" s="18">
        <f t="shared" si="3"/>
        <v>39</v>
      </c>
      <c r="F57" s="18">
        <f t="shared" si="3"/>
        <v>37</v>
      </c>
      <c r="G57" s="18">
        <f t="shared" si="3"/>
        <v>39</v>
      </c>
      <c r="H57" s="18">
        <f t="shared" si="3"/>
        <v>39</v>
      </c>
      <c r="I57" s="18">
        <f t="shared" si="3"/>
        <v>39</v>
      </c>
      <c r="J57" s="18">
        <f t="shared" si="3"/>
        <v>5</v>
      </c>
      <c r="K57" s="18">
        <f t="shared" si="3"/>
        <v>6</v>
      </c>
      <c r="L57" s="18">
        <f t="shared" si="3"/>
        <v>37</v>
      </c>
      <c r="M57" s="18">
        <f t="shared" si="3"/>
        <v>37</v>
      </c>
      <c r="N57" s="18">
        <f t="shared" si="3"/>
        <v>35</v>
      </c>
      <c r="O57" s="18">
        <f t="shared" si="3"/>
        <v>39</v>
      </c>
      <c r="P57" s="18">
        <f t="shared" si="3"/>
        <v>39</v>
      </c>
      <c r="Q57" s="18">
        <f t="shared" si="3"/>
        <v>5</v>
      </c>
      <c r="R57" s="18">
        <f t="shared" si="3"/>
        <v>6</v>
      </c>
      <c r="S57" s="18">
        <f t="shared" si="3"/>
        <v>37</v>
      </c>
      <c r="T57" s="18">
        <f t="shared" si="3"/>
        <v>37</v>
      </c>
      <c r="U57" s="18">
        <f t="shared" si="3"/>
        <v>39</v>
      </c>
      <c r="V57" s="18">
        <f t="shared" si="3"/>
        <v>39</v>
      </c>
      <c r="W57" s="18">
        <f t="shared" si="3"/>
        <v>39</v>
      </c>
      <c r="X57" s="18">
        <f t="shared" si="3"/>
        <v>5</v>
      </c>
      <c r="Y57" s="18">
        <f t="shared" si="3"/>
        <v>6</v>
      </c>
      <c r="Z57" s="18">
        <f t="shared" si="3"/>
        <v>37</v>
      </c>
      <c r="AA57" s="18">
        <f t="shared" si="3"/>
        <v>37</v>
      </c>
      <c r="AB57" s="18">
        <f t="shared" si="3"/>
        <v>39</v>
      </c>
      <c r="AC57" s="18">
        <f t="shared" si="3"/>
        <v>39</v>
      </c>
      <c r="AD57" s="18">
        <f t="shared" si="3"/>
        <v>39</v>
      </c>
      <c r="AE57" s="18">
        <f t="shared" si="3"/>
        <v>5</v>
      </c>
      <c r="AF57" s="18">
        <f t="shared" si="3"/>
        <v>6</v>
      </c>
      <c r="AG57" s="18">
        <f t="shared" si="3"/>
        <v>37</v>
      </c>
      <c r="AH57" s="17">
        <f>COUNTBLANK(AH4:AH46)</f>
        <v>37</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tabSelected="1" workbookViewId="0">
      <pane xSplit="34" ySplit="3" topLeftCell="AI4" activePane="bottomRight" state="frozen"/>
      <selection pane="topRight" activeCell="AI1" sqref="AI1"/>
      <selection pane="bottomLeft" activeCell="A3" sqref="A3"/>
      <selection pane="bottomRight" activeCell="C2" sqref="C2:C3"/>
    </sheetView>
  </sheetViews>
  <sheetFormatPr defaultColWidth="9" defaultRowHeight="12" x14ac:dyDescent="0.2"/>
  <cols>
    <col min="1" max="1" width="3.26953125" style="25" customWidth="1"/>
    <col min="2" max="2" width="6.08984375" style="72" customWidth="1"/>
    <col min="3" max="3" width="12" style="73" customWidth="1"/>
    <col min="4" max="34" width="3.90625" style="12" customWidth="1"/>
    <col min="35" max="35" width="9" style="12"/>
    <col min="36" max="65" width="3.90625" style="12" hidden="1" customWidth="1"/>
    <col min="66" max="66" width="4.7265625" style="12" hidden="1" customWidth="1"/>
    <col min="67" max="69" width="7.26953125" style="12" hidden="1" customWidth="1"/>
    <col min="70" max="70" width="0" style="12" hidden="1" customWidth="1"/>
    <col min="71" max="16384" width="9" style="12"/>
  </cols>
  <sheetData>
    <row r="1" spans="1:70" hidden="1" x14ac:dyDescent="0.2">
      <c r="E1" s="12" t="e">
        <v>#REF!</v>
      </c>
      <c r="F1" s="12" t="e">
        <v>#REF!</v>
      </c>
      <c r="G1" s="12" t="e">
        <v>#REF!</v>
      </c>
      <c r="H1" s="12" t="e">
        <v>#REF!</v>
      </c>
      <c r="I1" s="12" t="e">
        <v>#REF!</v>
      </c>
      <c r="J1" s="12" t="e">
        <v>#REF!</v>
      </c>
      <c r="K1" s="12" t="e">
        <v>#REF!</v>
      </c>
      <c r="L1" s="12" t="e">
        <v>#REF!</v>
      </c>
      <c r="M1" s="12" t="e">
        <v>#REF!</v>
      </c>
      <c r="N1" s="12" t="e">
        <v>#REF!</v>
      </c>
      <c r="O1" s="12" t="e">
        <v>#REF!</v>
      </c>
      <c r="P1" s="12" t="e">
        <v>#REF!</v>
      </c>
      <c r="Q1" s="12" t="e">
        <v>#REF!</v>
      </c>
      <c r="R1" s="12" t="e">
        <v>#REF!</v>
      </c>
      <c r="S1" s="12" t="e">
        <v>#REF!</v>
      </c>
      <c r="T1" s="12" t="e">
        <v>#REF!</v>
      </c>
      <c r="U1" s="12" t="e">
        <v>#REF!</v>
      </c>
      <c r="V1" s="12" t="e">
        <v>#REF!</v>
      </c>
      <c r="W1" s="12" t="e">
        <v>#REF!</v>
      </c>
      <c r="X1" s="12" t="e">
        <v>#REF!</v>
      </c>
      <c r="Y1" s="12" t="e">
        <v>#REF!</v>
      </c>
      <c r="Z1" s="12" t="e">
        <v>#REF!</v>
      </c>
      <c r="AA1" s="12" t="e">
        <v>#REF!</v>
      </c>
      <c r="AB1" s="12" t="e">
        <v>#REF!</v>
      </c>
      <c r="AC1" s="12" t="e">
        <v>#REF!</v>
      </c>
      <c r="AD1" s="12" t="e">
        <v>#REF!</v>
      </c>
      <c r="AE1" s="12" t="e">
        <v>#REF!</v>
      </c>
      <c r="AF1" s="12" t="e">
        <v>#REF!</v>
      </c>
      <c r="AG1" s="12" t="e">
        <v>#REF!</v>
      </c>
      <c r="AH1" s="12" t="e">
        <v>#REF!</v>
      </c>
    </row>
    <row r="2" spans="1:70" s="4" customFormat="1" ht="13.15" customHeight="1" x14ac:dyDescent="0.2">
      <c r="A2" s="89">
        <f>YEAR(D2)</f>
        <v>2026</v>
      </c>
      <c r="B2" s="90"/>
      <c r="C2" s="93">
        <f>MONTH(D2)</f>
        <v>3</v>
      </c>
      <c r="D2" s="78">
        <f>'[1]勤務表 (2)'!D1</f>
        <v>46082</v>
      </c>
      <c r="E2" s="78">
        <f>'[1]勤務表 (2)'!E1</f>
        <v>46083</v>
      </c>
      <c r="F2" s="78">
        <f>'[1]勤務表 (2)'!F1</f>
        <v>46084</v>
      </c>
      <c r="G2" s="78">
        <f>'[1]勤務表 (2)'!G1</f>
        <v>46085</v>
      </c>
      <c r="H2" s="78">
        <f>'[1]勤務表 (2)'!H1</f>
        <v>46086</v>
      </c>
      <c r="I2" s="78">
        <f>'[1]勤務表 (2)'!I1</f>
        <v>46087</v>
      </c>
      <c r="J2" s="78">
        <f>'[1]勤務表 (2)'!J1</f>
        <v>46088</v>
      </c>
      <c r="K2" s="78">
        <f>'[1]勤務表 (2)'!K1</f>
        <v>46089</v>
      </c>
      <c r="L2" s="78">
        <f>'[1]勤務表 (2)'!L1</f>
        <v>46090</v>
      </c>
      <c r="M2" s="78">
        <f>'[1]勤務表 (2)'!M1</f>
        <v>46091</v>
      </c>
      <c r="N2" s="78">
        <f>'[1]勤務表 (2)'!N1</f>
        <v>46092</v>
      </c>
      <c r="O2" s="78">
        <f>'[1]勤務表 (2)'!O1</f>
        <v>46093</v>
      </c>
      <c r="P2" s="78">
        <f>'[1]勤務表 (2)'!P1</f>
        <v>46094</v>
      </c>
      <c r="Q2" s="78">
        <f>'[1]勤務表 (2)'!Q1</f>
        <v>46095</v>
      </c>
      <c r="R2" s="78">
        <f>'[1]勤務表 (2)'!R1</f>
        <v>46096</v>
      </c>
      <c r="S2" s="78">
        <f>'[1]勤務表 (2)'!S1</f>
        <v>46097</v>
      </c>
      <c r="T2" s="78">
        <f>'[1]勤務表 (2)'!T1</f>
        <v>46098</v>
      </c>
      <c r="U2" s="78">
        <f>'[1]勤務表 (2)'!U1</f>
        <v>46099</v>
      </c>
      <c r="V2" s="78">
        <f>'[1]勤務表 (2)'!V1</f>
        <v>46100</v>
      </c>
      <c r="W2" s="78">
        <f>'[1]勤務表 (2)'!W1</f>
        <v>46101</v>
      </c>
      <c r="X2" s="78">
        <f>'[1]勤務表 (2)'!X1</f>
        <v>46102</v>
      </c>
      <c r="Y2" s="78">
        <f>'[1]勤務表 (2)'!Y1</f>
        <v>46103</v>
      </c>
      <c r="Z2" s="78">
        <f>'[1]勤務表 (2)'!Z1</f>
        <v>46104</v>
      </c>
      <c r="AA2" s="78">
        <f>'[1]勤務表 (2)'!AA1</f>
        <v>46105</v>
      </c>
      <c r="AB2" s="78">
        <f>'[1]勤務表 (2)'!AB1</f>
        <v>46106</v>
      </c>
      <c r="AC2" s="78">
        <f>'[1]勤務表 (2)'!AC1</f>
        <v>46107</v>
      </c>
      <c r="AD2" s="78">
        <f>'[1]勤務表 (2)'!AD1</f>
        <v>46108</v>
      </c>
      <c r="AE2" s="78">
        <f>'[1]勤務表 (2)'!AE1</f>
        <v>46109</v>
      </c>
      <c r="AF2" s="78">
        <f>'[1]勤務表 (2)'!AF1</f>
        <v>46110</v>
      </c>
      <c r="AG2" s="78">
        <f>'[1]勤務表 (2)'!AG1</f>
        <v>46111</v>
      </c>
      <c r="AH2" s="78">
        <f>'[1]勤務表 (2)'!AH1</f>
        <v>46112</v>
      </c>
      <c r="AJ2" s="1">
        <v>43770</v>
      </c>
      <c r="AK2" s="2">
        <v>43771</v>
      </c>
      <c r="AL2" s="2">
        <v>43772</v>
      </c>
      <c r="AM2" s="2">
        <v>43773</v>
      </c>
      <c r="AN2" s="2">
        <v>43774</v>
      </c>
      <c r="AO2" s="2">
        <v>43775</v>
      </c>
      <c r="AP2" s="2">
        <v>43776</v>
      </c>
      <c r="AQ2" s="2">
        <v>43777</v>
      </c>
      <c r="AR2" s="2">
        <v>43778</v>
      </c>
      <c r="AS2" s="2">
        <v>43779</v>
      </c>
      <c r="AT2" s="2">
        <v>43780</v>
      </c>
      <c r="AU2" s="2">
        <v>43781</v>
      </c>
      <c r="AV2" s="2">
        <v>43782</v>
      </c>
      <c r="AW2" s="2">
        <v>43783</v>
      </c>
      <c r="AX2" s="2">
        <v>43784</v>
      </c>
      <c r="AY2" s="2">
        <v>43785</v>
      </c>
      <c r="AZ2" s="2">
        <v>43786</v>
      </c>
      <c r="BA2" s="2">
        <v>43787</v>
      </c>
      <c r="BB2" s="2">
        <v>43788</v>
      </c>
      <c r="BC2" s="2">
        <v>43789</v>
      </c>
      <c r="BD2" s="2">
        <v>43790</v>
      </c>
      <c r="BE2" s="2">
        <v>43791</v>
      </c>
      <c r="BF2" s="2">
        <v>43792</v>
      </c>
      <c r="BG2" s="2">
        <v>43793</v>
      </c>
      <c r="BH2" s="2">
        <v>43794</v>
      </c>
      <c r="BI2" s="2">
        <v>43795</v>
      </c>
      <c r="BJ2" s="2">
        <v>43796</v>
      </c>
      <c r="BK2" s="2">
        <v>43797</v>
      </c>
      <c r="BL2" s="2">
        <v>43798</v>
      </c>
      <c r="BM2" s="2">
        <v>43799</v>
      </c>
      <c r="BN2" s="3" t="s">
        <v>44</v>
      </c>
      <c r="BO2" s="4" t="s">
        <v>3</v>
      </c>
      <c r="BR2" s="4">
        <f>COUNTA(BO4:BO47)-COUNTIF(BO4:BO47,0)</f>
        <v>2</v>
      </c>
    </row>
    <row r="3" spans="1:70" s="8" customFormat="1" ht="13.15" customHeight="1" x14ac:dyDescent="0.2">
      <c r="A3" s="91"/>
      <c r="B3" s="92"/>
      <c r="C3" s="94"/>
      <c r="D3" s="79">
        <f>'[1]勤務表 (2)'!D2</f>
        <v>46082</v>
      </c>
      <c r="E3" s="79">
        <f>'[1]勤務表 (2)'!E2</f>
        <v>46083</v>
      </c>
      <c r="F3" s="79">
        <f>'[1]勤務表 (2)'!F2</f>
        <v>46084</v>
      </c>
      <c r="G3" s="79">
        <f>'[1]勤務表 (2)'!G2</f>
        <v>46085</v>
      </c>
      <c r="H3" s="79">
        <f>'[1]勤務表 (2)'!H2</f>
        <v>46086</v>
      </c>
      <c r="I3" s="79">
        <f>'[1]勤務表 (2)'!I2</f>
        <v>46087</v>
      </c>
      <c r="J3" s="79">
        <f>'[1]勤務表 (2)'!J2</f>
        <v>46088</v>
      </c>
      <c r="K3" s="79">
        <f>'[1]勤務表 (2)'!K2</f>
        <v>46089</v>
      </c>
      <c r="L3" s="79">
        <f>'[1]勤務表 (2)'!L2</f>
        <v>46090</v>
      </c>
      <c r="M3" s="79">
        <f>'[1]勤務表 (2)'!M2</f>
        <v>46091</v>
      </c>
      <c r="N3" s="79">
        <f>'[1]勤務表 (2)'!N2</f>
        <v>46092</v>
      </c>
      <c r="O3" s="79">
        <f>'[1]勤務表 (2)'!O2</f>
        <v>46093</v>
      </c>
      <c r="P3" s="79">
        <f>'[1]勤務表 (2)'!P2</f>
        <v>46094</v>
      </c>
      <c r="Q3" s="79">
        <f>'[1]勤務表 (2)'!Q2</f>
        <v>46095</v>
      </c>
      <c r="R3" s="79">
        <f>'[1]勤務表 (2)'!R2</f>
        <v>46096</v>
      </c>
      <c r="S3" s="79">
        <f>'[1]勤務表 (2)'!S2</f>
        <v>46097</v>
      </c>
      <c r="T3" s="79">
        <f>'[1]勤務表 (2)'!T2</f>
        <v>46098</v>
      </c>
      <c r="U3" s="79">
        <f>'[1]勤務表 (2)'!U2</f>
        <v>46099</v>
      </c>
      <c r="V3" s="79">
        <f>'[1]勤務表 (2)'!V2</f>
        <v>46100</v>
      </c>
      <c r="W3" s="79">
        <f>'[1]勤務表 (2)'!W2</f>
        <v>46101</v>
      </c>
      <c r="X3" s="79">
        <f>'[1]勤務表 (2)'!X2</f>
        <v>46102</v>
      </c>
      <c r="Y3" s="79">
        <f>'[1]勤務表 (2)'!Y2</f>
        <v>46103</v>
      </c>
      <c r="Z3" s="79">
        <f>'[1]勤務表 (2)'!Z2</f>
        <v>46104</v>
      </c>
      <c r="AA3" s="79">
        <f>'[1]勤務表 (2)'!AA2</f>
        <v>46105</v>
      </c>
      <c r="AB3" s="79">
        <f>'[1]勤務表 (2)'!AB2</f>
        <v>46106</v>
      </c>
      <c r="AC3" s="79">
        <f>'[1]勤務表 (2)'!AC2</f>
        <v>46107</v>
      </c>
      <c r="AD3" s="79">
        <f>'[1]勤務表 (2)'!AD2</f>
        <v>46108</v>
      </c>
      <c r="AE3" s="79">
        <f>'[1]勤務表 (2)'!AE2</f>
        <v>46109</v>
      </c>
      <c r="AF3" s="79">
        <f>'[1]勤務表 (2)'!AF2</f>
        <v>46110</v>
      </c>
      <c r="AG3" s="79">
        <f>'[1]勤務表 (2)'!AG2</f>
        <v>46111</v>
      </c>
      <c r="AH3" s="79">
        <f>'[1]勤務表 (2)'!AH2</f>
        <v>46112</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2">
      <c r="A4" s="9">
        <f>'[1]勤務表 (2)'!A3</f>
        <v>1</v>
      </c>
      <c r="B4" s="9" t="str">
        <f>'[1]勤務表 (2)'!B3</f>
        <v>51774</v>
      </c>
      <c r="C4" s="74" t="str">
        <f>'[1]勤務表 (2)'!C3</f>
        <v>山村 博</v>
      </c>
      <c r="D4" s="26" t="str">
        <f>'[1]勤務表 (2)'!D3</f>
        <v>●</v>
      </c>
      <c r="E4" s="26" t="str">
        <f>'[1]勤務表 (2)'!E3</f>
        <v/>
      </c>
      <c r="F4" s="26" t="str">
        <f>'[1]勤務表 (2)'!F3</f>
        <v/>
      </c>
      <c r="G4" s="26" t="str">
        <f>'[1]勤務表 (2)'!G3</f>
        <v/>
      </c>
      <c r="H4" s="26" t="str">
        <f>'[1]勤務表 (2)'!H3</f>
        <v/>
      </c>
      <c r="I4" s="26" t="str">
        <f>'[1]勤務表 (2)'!I3</f>
        <v/>
      </c>
      <c r="J4" s="26" t="str">
        <f>'[1]勤務表 (2)'!J3</f>
        <v>／</v>
      </c>
      <c r="K4" s="26" t="str">
        <f>'[1]勤務表 (2)'!K3</f>
        <v>●</v>
      </c>
      <c r="L4" s="26" t="str">
        <f>'[1]勤務表 (2)'!L3</f>
        <v/>
      </c>
      <c r="M4" s="26" t="str">
        <f>'[1]勤務表 (2)'!M3</f>
        <v/>
      </c>
      <c r="N4" s="26" t="str">
        <f>'[1]勤務表 (2)'!N3</f>
        <v/>
      </c>
      <c r="O4" s="26" t="str">
        <f>'[1]勤務表 (2)'!O3</f>
        <v/>
      </c>
      <c r="P4" s="26" t="str">
        <f>'[1]勤務表 (2)'!P3</f>
        <v/>
      </c>
      <c r="Q4" s="26" t="str">
        <f>'[1]勤務表 (2)'!Q3</f>
        <v>／</v>
      </c>
      <c r="R4" s="26" t="str">
        <f>'[1]勤務表 (2)'!R3</f>
        <v>●</v>
      </c>
      <c r="S4" s="26" t="str">
        <f>'[1]勤務表 (2)'!S3</f>
        <v/>
      </c>
      <c r="T4" s="26" t="str">
        <f>'[1]勤務表 (2)'!T3</f>
        <v/>
      </c>
      <c r="U4" s="26" t="str">
        <f>'[1]勤務表 (2)'!U3</f>
        <v/>
      </c>
      <c r="V4" s="26" t="str">
        <f>'[1]勤務表 (2)'!V3</f>
        <v/>
      </c>
      <c r="W4" s="26" t="str">
        <f>'[1]勤務表 (2)'!W3</f>
        <v/>
      </c>
      <c r="X4" s="26" t="str">
        <f>'[1]勤務表 (2)'!X3</f>
        <v>／</v>
      </c>
      <c r="Y4" s="26" t="str">
        <f>'[1]勤務表 (2)'!Y3</f>
        <v>●</v>
      </c>
      <c r="Z4" s="26" t="str">
        <f>'[1]勤務表 (2)'!Z3</f>
        <v/>
      </c>
      <c r="AA4" s="26" t="str">
        <f>'[1]勤務表 (2)'!AA3</f>
        <v/>
      </c>
      <c r="AB4" s="26" t="str">
        <f>'[1]勤務表 (2)'!AB3</f>
        <v/>
      </c>
      <c r="AC4" s="26" t="str">
        <f>'[1]勤務表 (2)'!AC3</f>
        <v/>
      </c>
      <c r="AD4" s="26" t="str">
        <f>'[1]勤務表 (2)'!AD3</f>
        <v/>
      </c>
      <c r="AE4" s="26" t="str">
        <f>'[1]勤務表 (2)'!AE3</f>
        <v>／</v>
      </c>
      <c r="AF4" s="26" t="str">
        <f>'[1]勤務表 (2)'!AF3</f>
        <v>●</v>
      </c>
      <c r="AG4" s="26" t="str">
        <f>'[1]勤務表 (2)'!AG3</f>
        <v/>
      </c>
      <c r="AH4" s="26" t="str">
        <f>'[1]勤務表 (2)'!AH3</f>
        <v/>
      </c>
      <c r="AJ4" s="12">
        <f>IF(D4&lt;&gt;勤務変更!D4,1,0)</f>
        <v>1</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1</v>
      </c>
      <c r="BP4" s="12">
        <f>IF(BR4="","",COUNTA(BR$4:BR4)-COUNTBLANK(BR$4:BR4))</f>
        <v>1</v>
      </c>
      <c r="BQ4" s="12" t="str">
        <f>IF(BO4&lt;&gt;0,B4,"")</f>
        <v>51774</v>
      </c>
      <c r="BR4" s="12" t="str">
        <f>IF(BO4&lt;&gt;0,C4,"")</f>
        <v>山村 博</v>
      </c>
    </row>
    <row r="5" spans="1:70" ht="13.15" customHeight="1" x14ac:dyDescent="0.2">
      <c r="A5" s="9">
        <f>'[1]勤務表 (2)'!A4</f>
        <v>2</v>
      </c>
      <c r="B5" s="9" t="str">
        <f>'[1]勤務表 (2)'!B4</f>
        <v>35665</v>
      </c>
      <c r="C5" s="74" t="str">
        <f>'[1]勤務表 (2)'!C4</f>
        <v>山下 修</v>
      </c>
      <c r="D5" s="26" t="str">
        <f>'[1]勤務表 (2)'!D4</f>
        <v>●</v>
      </c>
      <c r="E5" s="26" t="str">
        <f>'[1]勤務表 (2)'!E4</f>
        <v/>
      </c>
      <c r="F5" s="26" t="str">
        <f>'[1]勤務表 (2)'!F4</f>
        <v/>
      </c>
      <c r="G5" s="26" t="str">
        <f>'[1]勤務表 (2)'!G4</f>
        <v/>
      </c>
      <c r="H5" s="26" t="str">
        <f>'[1]勤務表 (2)'!H4</f>
        <v/>
      </c>
      <c r="I5" s="26" t="str">
        <f>'[1]勤務表 (2)'!I4</f>
        <v/>
      </c>
      <c r="J5" s="26" t="str">
        <f>'[1]勤務表 (2)'!J4</f>
        <v>／</v>
      </c>
      <c r="K5" s="26" t="str">
        <f>'[1]勤務表 (2)'!K4</f>
        <v>●</v>
      </c>
      <c r="L5" s="26" t="str">
        <f>'[1]勤務表 (2)'!L4</f>
        <v/>
      </c>
      <c r="M5" s="26" t="str">
        <f>'[1]勤務表 (2)'!M4</f>
        <v/>
      </c>
      <c r="N5" s="26" t="str">
        <f>'[1]勤務表 (2)'!N4</f>
        <v/>
      </c>
      <c r="O5" s="26" t="str">
        <f>'[1]勤務表 (2)'!O4</f>
        <v/>
      </c>
      <c r="P5" s="26" t="str">
        <f>'[1]勤務表 (2)'!P4</f>
        <v/>
      </c>
      <c r="Q5" s="26" t="str">
        <f>'[1]勤務表 (2)'!Q4</f>
        <v>○</v>
      </c>
      <c r="R5" s="26" t="str">
        <f>'[1]勤務表 (2)'!R4</f>
        <v>●</v>
      </c>
      <c r="S5" s="26" t="str">
        <f>'[1]勤務表 (2)'!S4</f>
        <v/>
      </c>
      <c r="T5" s="26" t="str">
        <f>'[1]勤務表 (2)'!T4</f>
        <v/>
      </c>
      <c r="U5" s="26" t="str">
        <f>'[1]勤務表 (2)'!U4</f>
        <v/>
      </c>
      <c r="V5" s="26" t="str">
        <f>'[1]勤務表 (2)'!V4</f>
        <v/>
      </c>
      <c r="W5" s="26" t="str">
        <f>'[1]勤務表 (2)'!W4</f>
        <v/>
      </c>
      <c r="X5" s="26" t="str">
        <f>'[1]勤務表 (2)'!X4</f>
        <v>／</v>
      </c>
      <c r="Y5" s="26" t="str">
        <f>'[1]勤務表 (2)'!Y4</f>
        <v>●</v>
      </c>
      <c r="Z5" s="26" t="str">
        <f>'[1]勤務表 (2)'!Z4</f>
        <v/>
      </c>
      <c r="AA5" s="26" t="str">
        <f>'[1]勤務表 (2)'!AA4</f>
        <v/>
      </c>
      <c r="AB5" s="26" t="str">
        <f>'[1]勤務表 (2)'!AB4</f>
        <v/>
      </c>
      <c r="AC5" s="26" t="str">
        <f>'[1]勤務表 (2)'!AC4</f>
        <v/>
      </c>
      <c r="AD5" s="26" t="str">
        <f>'[1]勤務表 (2)'!AD4</f>
        <v/>
      </c>
      <c r="AE5" s="26" t="str">
        <f>'[1]勤務表 (2)'!AE4</f>
        <v>○</v>
      </c>
      <c r="AF5" s="26" t="str">
        <f>'[1]勤務表 (2)'!AF4</f>
        <v>●</v>
      </c>
      <c r="AG5" s="26" t="str">
        <f>'[1]勤務表 (2)'!AG4</f>
        <v/>
      </c>
      <c r="AH5" s="26" t="str">
        <f>'[1]勤務表 (2)'!AH4</f>
        <v/>
      </c>
      <c r="AJ5" s="12">
        <f>IF(D5&lt;&gt;勤務変更!D5,1,0)</f>
        <v>1</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1</v>
      </c>
      <c r="BP5" s="12">
        <f>IF(BR5="","",COUNTA(BR$4:BR5)-COUNTBLANK(BR$4:BR5))</f>
        <v>2</v>
      </c>
      <c r="BQ5" s="12" t="str">
        <f t="shared" ref="BQ5:BQ54" si="2">IF(BO5&lt;&gt;0,B5,"")</f>
        <v>35665</v>
      </c>
      <c r="BR5" s="12" t="str">
        <f t="shared" ref="BR5:BR46" si="3">IF(BO5&lt;&gt;0,C5,"")</f>
        <v>山下 修</v>
      </c>
    </row>
    <row r="6" spans="1:70" ht="13.15" customHeight="1" x14ac:dyDescent="0.2">
      <c r="A6" s="9">
        <f>'[1]勤務表 (2)'!A5</f>
        <v>3</v>
      </c>
      <c r="B6" s="9" t="str">
        <f>'[1]勤務表 (2)'!B5</f>
        <v>62993</v>
      </c>
      <c r="C6" s="74" t="str">
        <f>'[1]勤務表 (2)'!C5</f>
        <v>平田 恵哉</v>
      </c>
      <c r="D6" s="26" t="str">
        <f>'[1]勤務表 (2)'!D5</f>
        <v>●</v>
      </c>
      <c r="E6" s="26" t="str">
        <f>'[1]勤務表 (2)'!E5</f>
        <v>当</v>
      </c>
      <c r="F6" s="26" t="str">
        <f>'[1]勤務表 (2)'!F5</f>
        <v>明</v>
      </c>
      <c r="G6" s="26" t="str">
        <f>'[1]勤務表 (2)'!G5</f>
        <v/>
      </c>
      <c r="H6" s="26" t="str">
        <f>'[1]勤務表 (2)'!H5</f>
        <v/>
      </c>
      <c r="I6" s="26" t="str">
        <f>'[1]勤務表 (2)'!I5</f>
        <v/>
      </c>
      <c r="J6" s="26" t="str">
        <f>'[1]勤務表 (2)'!J5</f>
        <v>／</v>
      </c>
      <c r="K6" s="26" t="str">
        <f>'[1]勤務表 (2)'!K5</f>
        <v>●</v>
      </c>
      <c r="L6" s="26" t="str">
        <f>'[1]勤務表 (2)'!L5</f>
        <v/>
      </c>
      <c r="M6" s="26" t="str">
        <f>'[1]勤務表 (2)'!M5</f>
        <v/>
      </c>
      <c r="N6" s="26" t="str">
        <f>'[1]勤務表 (2)'!N5</f>
        <v/>
      </c>
      <c r="O6" s="26" t="str">
        <f>'[1]勤務表 (2)'!O5</f>
        <v/>
      </c>
      <c r="P6" s="26" t="str">
        <f>'[1]勤務表 (2)'!P5</f>
        <v/>
      </c>
      <c r="Q6" s="26" t="str">
        <f>'[1]勤務表 (2)'!Q5</f>
        <v>／</v>
      </c>
      <c r="R6" s="26" t="str">
        <f>'[1]勤務表 (2)'!R5</f>
        <v>●</v>
      </c>
      <c r="S6" s="26" t="str">
        <f>'[1]勤務表 (2)'!S5</f>
        <v>当</v>
      </c>
      <c r="T6" s="26" t="str">
        <f>'[1]勤務表 (2)'!T5</f>
        <v>明</v>
      </c>
      <c r="U6" s="26" t="str">
        <f>'[1]勤務表 (2)'!U5</f>
        <v/>
      </c>
      <c r="V6" s="26" t="str">
        <f>'[1]勤務表 (2)'!V5</f>
        <v/>
      </c>
      <c r="W6" s="26" t="str">
        <f>'[1]勤務表 (2)'!W5</f>
        <v/>
      </c>
      <c r="X6" s="26" t="str">
        <f>'[1]勤務表 (2)'!X5</f>
        <v>／</v>
      </c>
      <c r="Y6" s="26" t="str">
        <f>'[1]勤務表 (2)'!Y5</f>
        <v>●</v>
      </c>
      <c r="Z6" s="26" t="str">
        <f>'[1]勤務表 (2)'!Z5</f>
        <v/>
      </c>
      <c r="AA6" s="26" t="str">
        <f>'[1]勤務表 (2)'!AA5</f>
        <v/>
      </c>
      <c r="AB6" s="26" t="str">
        <f>'[1]勤務表 (2)'!AB5</f>
        <v/>
      </c>
      <c r="AC6" s="26" t="str">
        <f>'[1]勤務表 (2)'!AC5</f>
        <v/>
      </c>
      <c r="AD6" s="26" t="str">
        <f>'[1]勤務表 (2)'!AD5</f>
        <v/>
      </c>
      <c r="AE6" s="26" t="str">
        <f>'[1]勤務表 (2)'!AE5</f>
        <v>／</v>
      </c>
      <c r="AF6" s="26" t="str">
        <f>'[1]勤務表 (2)'!AF5</f>
        <v>●</v>
      </c>
      <c r="AG6" s="26" t="str">
        <f>'[1]勤務表 (2)'!AG5</f>
        <v/>
      </c>
      <c r="AH6" s="26" t="str">
        <f>'[1]勤務表 (2)'!AH5</f>
        <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2">
      <c r="A7" s="9">
        <f>'[1]勤務表 (2)'!A6</f>
        <v>4</v>
      </c>
      <c r="B7" s="9" t="str">
        <f>'[1]勤務表 (2)'!B6</f>
        <v>88014</v>
      </c>
      <c r="C7" s="74" t="str">
        <f>'[1]勤務表 (2)'!C6</f>
        <v>長田 弘二</v>
      </c>
      <c r="D7" s="26" t="str">
        <f>'[1]勤務表 (2)'!D6</f>
        <v>●</v>
      </c>
      <c r="E7" s="26" t="str">
        <f>'[1]勤務表 (2)'!E6</f>
        <v/>
      </c>
      <c r="F7" s="26" t="str">
        <f>'[1]勤務表 (2)'!F6</f>
        <v/>
      </c>
      <c r="G7" s="26" t="str">
        <f>'[1]勤務表 (2)'!G6</f>
        <v/>
      </c>
      <c r="H7" s="26" t="str">
        <f>'[1]勤務表 (2)'!H6</f>
        <v/>
      </c>
      <c r="I7" s="26" t="str">
        <f>'[1]勤務表 (2)'!I6</f>
        <v/>
      </c>
      <c r="J7" s="26" t="str">
        <f>'[1]勤務表 (2)'!J6</f>
        <v>○</v>
      </c>
      <c r="K7" s="26" t="str">
        <f>'[1]勤務表 (2)'!K6</f>
        <v>●</v>
      </c>
      <c r="L7" s="26" t="str">
        <f>'[1]勤務表 (2)'!L6</f>
        <v/>
      </c>
      <c r="M7" s="26" t="str">
        <f>'[1]勤務表 (2)'!M6</f>
        <v/>
      </c>
      <c r="N7" s="26" t="str">
        <f>'[1]勤務表 (2)'!N6</f>
        <v>当</v>
      </c>
      <c r="O7" s="26" t="str">
        <f>'[1]勤務表 (2)'!O6</f>
        <v>明</v>
      </c>
      <c r="P7" s="26" t="str">
        <f>'[1]勤務表 (2)'!P6</f>
        <v/>
      </c>
      <c r="Q7" s="26" t="str">
        <f>'[1]勤務表 (2)'!Q6</f>
        <v>／</v>
      </c>
      <c r="R7" s="26" t="str">
        <f>'[1]勤務表 (2)'!R6</f>
        <v>●</v>
      </c>
      <c r="S7" s="26" t="str">
        <f>'[1]勤務表 (2)'!S6</f>
        <v/>
      </c>
      <c r="T7" s="26" t="str">
        <f>'[1]勤務表 (2)'!T6</f>
        <v/>
      </c>
      <c r="U7" s="26" t="str">
        <f>'[1]勤務表 (2)'!U6</f>
        <v/>
      </c>
      <c r="V7" s="26" t="str">
        <f>'[1]勤務表 (2)'!V6</f>
        <v/>
      </c>
      <c r="W7" s="26" t="str">
        <f>'[1]勤務表 (2)'!W6</f>
        <v/>
      </c>
      <c r="X7" s="26" t="str">
        <f>'[1]勤務表 (2)'!X6</f>
        <v>○</v>
      </c>
      <c r="Y7" s="26" t="str">
        <f>'[1]勤務表 (2)'!Y6</f>
        <v>●</v>
      </c>
      <c r="Z7" s="26" t="str">
        <f>'[1]勤務表 (2)'!Z6</f>
        <v/>
      </c>
      <c r="AA7" s="26" t="str">
        <f>'[1]勤務表 (2)'!AA6</f>
        <v/>
      </c>
      <c r="AB7" s="26" t="str">
        <f>'[1]勤務表 (2)'!AB6</f>
        <v/>
      </c>
      <c r="AC7" s="26" t="str">
        <f>'[1]勤務表 (2)'!AC6</f>
        <v>当</v>
      </c>
      <c r="AD7" s="26" t="str">
        <f>'[1]勤務表 (2)'!AD6</f>
        <v>明</v>
      </c>
      <c r="AE7" s="26" t="str">
        <f>'[1]勤務表 (2)'!AE6</f>
        <v>／</v>
      </c>
      <c r="AF7" s="26" t="str">
        <f>'[1]勤務表 (2)'!AF6</f>
        <v>●</v>
      </c>
      <c r="AG7" s="26" t="str">
        <f>'[1]勤務表 (2)'!AG6</f>
        <v/>
      </c>
      <c r="AH7" s="26" t="str">
        <f>'[1]勤務表 (2)'!AH6</f>
        <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2">
      <c r="A8" s="9">
        <f>'[1]勤務表 (2)'!A7</f>
        <v>5</v>
      </c>
      <c r="B8" s="9" t="str">
        <f>'[1]勤務表 (2)'!B7</f>
        <v>29056</v>
      </c>
      <c r="C8" s="74" t="str">
        <f>'[1]勤務表 (2)'!C7</f>
        <v>中井 士郎</v>
      </c>
      <c r="D8" s="26" t="str">
        <f>'[1]勤務表 (2)'!D7</f>
        <v>●</v>
      </c>
      <c r="E8" s="26" t="str">
        <f>'[1]勤務表 (2)'!E7</f>
        <v/>
      </c>
      <c r="F8" s="26" t="str">
        <f>'[1]勤務表 (2)'!F7</f>
        <v/>
      </c>
      <c r="G8" s="26" t="str">
        <f>'[1]勤務表 (2)'!G7</f>
        <v/>
      </c>
      <c r="H8" s="26" t="str">
        <f>'[1]勤務表 (2)'!H7</f>
        <v/>
      </c>
      <c r="I8" s="26" t="str">
        <f>'[1]勤務表 (2)'!I7</f>
        <v/>
      </c>
      <c r="J8" s="26" t="str">
        <f>'[1]勤務表 (2)'!J7</f>
        <v>○</v>
      </c>
      <c r="K8" s="26" t="str">
        <f>'[1]勤務表 (2)'!K7</f>
        <v>●</v>
      </c>
      <c r="L8" s="26" t="str">
        <f>'[1]勤務表 (2)'!L7</f>
        <v/>
      </c>
      <c r="M8" s="26" t="str">
        <f>'[1]勤務表 (2)'!M7</f>
        <v/>
      </c>
      <c r="N8" s="26" t="str">
        <f>'[1]勤務表 (2)'!N7</f>
        <v/>
      </c>
      <c r="O8" s="26" t="str">
        <f>'[1]勤務表 (2)'!O7</f>
        <v/>
      </c>
      <c r="P8" s="26" t="str">
        <f>'[1]勤務表 (2)'!P7</f>
        <v/>
      </c>
      <c r="Q8" s="26" t="str">
        <f>'[1]勤務表 (2)'!Q7</f>
        <v>／</v>
      </c>
      <c r="R8" s="26" t="str">
        <f>'[1]勤務表 (2)'!R7</f>
        <v>●</v>
      </c>
      <c r="S8" s="26" t="str">
        <f>'[1]勤務表 (2)'!S7</f>
        <v/>
      </c>
      <c r="T8" s="26" t="str">
        <f>'[1]勤務表 (2)'!T7</f>
        <v/>
      </c>
      <c r="U8" s="26" t="str">
        <f>'[1]勤務表 (2)'!U7</f>
        <v/>
      </c>
      <c r="V8" s="26" t="str">
        <f>'[1]勤務表 (2)'!V7</f>
        <v/>
      </c>
      <c r="W8" s="26" t="str">
        <f>'[1]勤務表 (2)'!W7</f>
        <v/>
      </c>
      <c r="X8" s="26" t="str">
        <f>'[1]勤務表 (2)'!X7</f>
        <v>○</v>
      </c>
      <c r="Y8" s="26" t="str">
        <f>'[1]勤務表 (2)'!Y7</f>
        <v>●</v>
      </c>
      <c r="Z8" s="26" t="str">
        <f>'[1]勤務表 (2)'!Z7</f>
        <v/>
      </c>
      <c r="AA8" s="26" t="str">
        <f>'[1]勤務表 (2)'!AA7</f>
        <v/>
      </c>
      <c r="AB8" s="26" t="str">
        <f>'[1]勤務表 (2)'!AB7</f>
        <v/>
      </c>
      <c r="AC8" s="26" t="str">
        <f>'[1]勤務表 (2)'!AC7</f>
        <v/>
      </c>
      <c r="AD8" s="26" t="str">
        <f>'[1]勤務表 (2)'!AD7</f>
        <v/>
      </c>
      <c r="AE8" s="26" t="str">
        <f>'[1]勤務表 (2)'!AE7</f>
        <v>／</v>
      </c>
      <c r="AF8" s="26" t="str">
        <f>'[1]勤務表 (2)'!AF7</f>
        <v>●</v>
      </c>
      <c r="AG8" s="26" t="str">
        <f>'[1]勤務表 (2)'!AG7</f>
        <v/>
      </c>
      <c r="AH8" s="26" t="str">
        <f>'[1]勤務表 (2)'!AH7</f>
        <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2">
      <c r="A9" s="9">
        <f>'[1]勤務表 (2)'!A8</f>
        <v>6</v>
      </c>
      <c r="B9" s="9" t="str">
        <f>'[1]勤務表 (2)'!B8</f>
        <v>31176</v>
      </c>
      <c r="C9" s="74" t="str">
        <f>'[1]勤務表 (2)'!C8</f>
        <v>北 洋一</v>
      </c>
      <c r="D9" s="26" t="str">
        <f>'[1]勤務表 (2)'!D8</f>
        <v>●</v>
      </c>
      <c r="E9" s="26" t="str">
        <f>'[1]勤務表 (2)'!E8</f>
        <v/>
      </c>
      <c r="F9" s="26" t="str">
        <f>'[1]勤務表 (2)'!F8</f>
        <v/>
      </c>
      <c r="G9" s="26" t="str">
        <f>'[1]勤務表 (2)'!G8</f>
        <v/>
      </c>
      <c r="H9" s="26" t="str">
        <f>'[1]勤務表 (2)'!H8</f>
        <v/>
      </c>
      <c r="I9" s="26" t="str">
        <f>'[1]勤務表 (2)'!I8</f>
        <v/>
      </c>
      <c r="J9" s="26" t="str">
        <f>'[1]勤務表 (2)'!J8</f>
        <v>○</v>
      </c>
      <c r="K9" s="26" t="str">
        <f>'[1]勤務表 (2)'!K8</f>
        <v>●</v>
      </c>
      <c r="L9" s="26" t="str">
        <f>'[1]勤務表 (2)'!L8</f>
        <v/>
      </c>
      <c r="M9" s="26" t="str">
        <f>'[1]勤務表 (2)'!M8</f>
        <v/>
      </c>
      <c r="N9" s="26" t="str">
        <f>'[1]勤務表 (2)'!N8</f>
        <v/>
      </c>
      <c r="O9" s="26" t="str">
        <f>'[1]勤務表 (2)'!O8</f>
        <v/>
      </c>
      <c r="P9" s="26" t="str">
        <f>'[1]勤務表 (2)'!P8</f>
        <v/>
      </c>
      <c r="Q9" s="26" t="str">
        <f>'[1]勤務表 (2)'!Q8</f>
        <v>／</v>
      </c>
      <c r="R9" s="26" t="str">
        <f>'[1]勤務表 (2)'!R8</f>
        <v>●</v>
      </c>
      <c r="S9" s="26" t="str">
        <f>'[1]勤務表 (2)'!S8</f>
        <v/>
      </c>
      <c r="T9" s="26" t="str">
        <f>'[1]勤務表 (2)'!T8</f>
        <v/>
      </c>
      <c r="U9" s="26" t="str">
        <f>'[1]勤務表 (2)'!U8</f>
        <v/>
      </c>
      <c r="V9" s="26" t="str">
        <f>'[1]勤務表 (2)'!V8</f>
        <v/>
      </c>
      <c r="W9" s="26" t="str">
        <f>'[1]勤務表 (2)'!W8</f>
        <v/>
      </c>
      <c r="X9" s="26" t="str">
        <f>'[1]勤務表 (2)'!X8</f>
        <v>○</v>
      </c>
      <c r="Y9" s="26" t="str">
        <f>'[1]勤務表 (2)'!Y8</f>
        <v>●</v>
      </c>
      <c r="Z9" s="26" t="str">
        <f>'[1]勤務表 (2)'!Z8</f>
        <v/>
      </c>
      <c r="AA9" s="26" t="str">
        <f>'[1]勤務表 (2)'!AA8</f>
        <v/>
      </c>
      <c r="AB9" s="26" t="str">
        <f>'[1]勤務表 (2)'!AB8</f>
        <v/>
      </c>
      <c r="AC9" s="26" t="str">
        <f>'[1]勤務表 (2)'!AC8</f>
        <v/>
      </c>
      <c r="AD9" s="26" t="str">
        <f>'[1]勤務表 (2)'!AD8</f>
        <v/>
      </c>
      <c r="AE9" s="26" t="str">
        <f>'[1]勤務表 (2)'!AE8</f>
        <v>／</v>
      </c>
      <c r="AF9" s="26" t="str">
        <f>'[1]勤務表 (2)'!AF8</f>
        <v>●</v>
      </c>
      <c r="AG9" s="26" t="str">
        <f>'[1]勤務表 (2)'!AG8</f>
        <v/>
      </c>
      <c r="AH9" s="26" t="str">
        <f>'[1]勤務表 (2)'!AH8</f>
        <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2">
      <c r="A10" s="9">
        <f>'[1]勤務表 (2)'!A9</f>
        <v>7</v>
      </c>
      <c r="B10" s="9" t="str">
        <f>'[1]勤務表 (2)'!B9</f>
        <v>33473</v>
      </c>
      <c r="C10" s="74" t="str">
        <f>'[1]勤務表 (2)'!C9</f>
        <v>中村 映水</v>
      </c>
      <c r="D10" s="26" t="str">
        <f>'[1]勤務表 (2)'!D9</f>
        <v>●</v>
      </c>
      <c r="E10" s="26" t="str">
        <f>'[1]勤務表 (2)'!E9</f>
        <v/>
      </c>
      <c r="F10" s="26" t="str">
        <f>'[1]勤務表 (2)'!F9</f>
        <v/>
      </c>
      <c r="G10" s="26" t="str">
        <f>'[1]勤務表 (2)'!G9</f>
        <v/>
      </c>
      <c r="H10" s="26" t="str">
        <f>'[1]勤務表 (2)'!H9</f>
        <v/>
      </c>
      <c r="I10" s="26" t="str">
        <f>'[1]勤務表 (2)'!I9</f>
        <v/>
      </c>
      <c r="J10" s="26" t="str">
        <f>'[1]勤務表 (2)'!J9</f>
        <v>○</v>
      </c>
      <c r="K10" s="26" t="str">
        <f>'[1]勤務表 (2)'!K9</f>
        <v>●</v>
      </c>
      <c r="L10" s="26" t="str">
        <f>'[1]勤務表 (2)'!L9</f>
        <v/>
      </c>
      <c r="M10" s="26" t="str">
        <f>'[1]勤務表 (2)'!M9</f>
        <v/>
      </c>
      <c r="N10" s="26" t="str">
        <f>'[1]勤務表 (2)'!N9</f>
        <v/>
      </c>
      <c r="O10" s="26" t="str">
        <f>'[1]勤務表 (2)'!O9</f>
        <v/>
      </c>
      <c r="P10" s="26" t="str">
        <f>'[1]勤務表 (2)'!P9</f>
        <v/>
      </c>
      <c r="Q10" s="26" t="str">
        <f>'[1]勤務表 (2)'!Q9</f>
        <v>／</v>
      </c>
      <c r="R10" s="26" t="str">
        <f>'[1]勤務表 (2)'!R9</f>
        <v>●</v>
      </c>
      <c r="S10" s="26" t="str">
        <f>'[1]勤務表 (2)'!S9</f>
        <v/>
      </c>
      <c r="T10" s="26" t="str">
        <f>'[1]勤務表 (2)'!T9</f>
        <v/>
      </c>
      <c r="U10" s="26" t="str">
        <f>'[1]勤務表 (2)'!U9</f>
        <v/>
      </c>
      <c r="V10" s="26" t="str">
        <f>'[1]勤務表 (2)'!V9</f>
        <v/>
      </c>
      <c r="W10" s="26" t="str">
        <f>'[1]勤務表 (2)'!W9</f>
        <v/>
      </c>
      <c r="X10" s="26" t="str">
        <f>'[1]勤務表 (2)'!X9</f>
        <v>○</v>
      </c>
      <c r="Y10" s="26" t="str">
        <f>'[1]勤務表 (2)'!Y9</f>
        <v>●</v>
      </c>
      <c r="Z10" s="26" t="str">
        <f>'[1]勤務表 (2)'!Z9</f>
        <v/>
      </c>
      <c r="AA10" s="26" t="str">
        <f>'[1]勤務表 (2)'!AA9</f>
        <v/>
      </c>
      <c r="AB10" s="26" t="str">
        <f>'[1]勤務表 (2)'!AB9</f>
        <v/>
      </c>
      <c r="AC10" s="26" t="str">
        <f>'[1]勤務表 (2)'!AC9</f>
        <v/>
      </c>
      <c r="AD10" s="26" t="str">
        <f>'[1]勤務表 (2)'!AD9</f>
        <v/>
      </c>
      <c r="AE10" s="26" t="str">
        <f>'[1]勤務表 (2)'!AE9</f>
        <v>／</v>
      </c>
      <c r="AF10" s="26" t="str">
        <f>'[1]勤務表 (2)'!AF9</f>
        <v>●</v>
      </c>
      <c r="AG10" s="26" t="str">
        <f>'[1]勤務表 (2)'!AG9</f>
        <v/>
      </c>
      <c r="AH10" s="26" t="str">
        <f>'[1]勤務表 (2)'!AH9</f>
        <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2">
      <c r="A11" s="9">
        <f>'[1]勤務表 (2)'!A10</f>
        <v>8</v>
      </c>
      <c r="B11" s="9" t="str">
        <f>'[1]勤務表 (2)'!B10</f>
        <v>33485</v>
      </c>
      <c r="C11" s="74" t="str">
        <f>'[1]勤務表 (2)'!C10</f>
        <v>平田 真奈美</v>
      </c>
      <c r="D11" s="26" t="str">
        <f>'[1]勤務表 (2)'!D10</f>
        <v>●</v>
      </c>
      <c r="E11" s="26" t="str">
        <f>'[1]勤務表 (2)'!E10</f>
        <v/>
      </c>
      <c r="F11" s="26" t="str">
        <f>'[1]勤務表 (2)'!F10</f>
        <v/>
      </c>
      <c r="G11" s="26" t="str">
        <f>'[1]勤務表 (2)'!G10</f>
        <v/>
      </c>
      <c r="H11" s="26" t="str">
        <f>'[1]勤務表 (2)'!H10</f>
        <v/>
      </c>
      <c r="I11" s="26" t="str">
        <f>'[1]勤務表 (2)'!I10</f>
        <v/>
      </c>
      <c r="J11" s="26" t="str">
        <f>'[1]勤務表 (2)'!J10</f>
        <v>／</v>
      </c>
      <c r="K11" s="26" t="str">
        <f>'[1]勤務表 (2)'!K10</f>
        <v>●</v>
      </c>
      <c r="L11" s="26" t="str">
        <f>'[1]勤務表 (2)'!L10</f>
        <v/>
      </c>
      <c r="M11" s="26" t="str">
        <f>'[1]勤務表 (2)'!M10</f>
        <v/>
      </c>
      <c r="N11" s="26" t="str">
        <f>'[1]勤務表 (2)'!N10</f>
        <v/>
      </c>
      <c r="O11" s="26" t="str">
        <f>'[1]勤務表 (2)'!O10</f>
        <v/>
      </c>
      <c r="P11" s="26" t="str">
        <f>'[1]勤務表 (2)'!P10</f>
        <v/>
      </c>
      <c r="Q11" s="26" t="str">
        <f>'[1]勤務表 (2)'!Q10</f>
        <v>○</v>
      </c>
      <c r="R11" s="26" t="str">
        <f>'[1]勤務表 (2)'!R10</f>
        <v>●</v>
      </c>
      <c r="S11" s="26" t="str">
        <f>'[1]勤務表 (2)'!S10</f>
        <v/>
      </c>
      <c r="T11" s="26" t="str">
        <f>'[1]勤務表 (2)'!T10</f>
        <v/>
      </c>
      <c r="U11" s="26" t="str">
        <f>'[1]勤務表 (2)'!U10</f>
        <v/>
      </c>
      <c r="V11" s="26" t="str">
        <f>'[1]勤務表 (2)'!V10</f>
        <v/>
      </c>
      <c r="W11" s="26" t="str">
        <f>'[1]勤務表 (2)'!W10</f>
        <v/>
      </c>
      <c r="X11" s="26" t="str">
        <f>'[1]勤務表 (2)'!X10</f>
        <v>／</v>
      </c>
      <c r="Y11" s="26" t="str">
        <f>'[1]勤務表 (2)'!Y10</f>
        <v>●</v>
      </c>
      <c r="Z11" s="26" t="str">
        <f>'[1]勤務表 (2)'!Z10</f>
        <v/>
      </c>
      <c r="AA11" s="26" t="str">
        <f>'[1]勤務表 (2)'!AA10</f>
        <v/>
      </c>
      <c r="AB11" s="26" t="str">
        <f>'[1]勤務表 (2)'!AB10</f>
        <v/>
      </c>
      <c r="AC11" s="26" t="str">
        <f>'[1]勤務表 (2)'!AC10</f>
        <v/>
      </c>
      <c r="AD11" s="26" t="str">
        <f>'[1]勤務表 (2)'!AD10</f>
        <v/>
      </c>
      <c r="AE11" s="26" t="str">
        <f>'[1]勤務表 (2)'!AE10</f>
        <v>○</v>
      </c>
      <c r="AF11" s="26" t="str">
        <f>'[1]勤務表 (2)'!AF10</f>
        <v>●</v>
      </c>
      <c r="AG11" s="26" t="str">
        <f>'[1]勤務表 (2)'!AG10</f>
        <v/>
      </c>
      <c r="AH11" s="26" t="str">
        <f>'[1]勤務表 (2)'!AH10</f>
        <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2">
      <c r="A12" s="9">
        <f>'[1]勤務表 (2)'!A11</f>
        <v>9</v>
      </c>
      <c r="B12" s="9" t="str">
        <f>'[1]勤務表 (2)'!B11</f>
        <v>37584</v>
      </c>
      <c r="C12" s="74" t="str">
        <f>'[1]勤務表 (2)'!C11</f>
        <v>大橋 効</v>
      </c>
      <c r="D12" s="26" t="str">
        <f>'[1]勤務表 (2)'!D11</f>
        <v>●</v>
      </c>
      <c r="E12" s="26" t="str">
        <f>'[1]勤務表 (2)'!E11</f>
        <v/>
      </c>
      <c r="F12" s="26" t="str">
        <f>'[1]勤務表 (2)'!F11</f>
        <v/>
      </c>
      <c r="G12" s="26" t="str">
        <f>'[1]勤務表 (2)'!G11</f>
        <v/>
      </c>
      <c r="H12" s="26" t="str">
        <f>'[1]勤務表 (2)'!H11</f>
        <v/>
      </c>
      <c r="I12" s="26" t="str">
        <f>'[1]勤務表 (2)'!I11</f>
        <v/>
      </c>
      <c r="J12" s="26" t="str">
        <f>'[1]勤務表 (2)'!J11</f>
        <v>○</v>
      </c>
      <c r="K12" s="26" t="str">
        <f>'[1]勤務表 (2)'!K11</f>
        <v>●</v>
      </c>
      <c r="L12" s="26" t="str">
        <f>'[1]勤務表 (2)'!L11</f>
        <v>当</v>
      </c>
      <c r="M12" s="26" t="str">
        <f>'[1]勤務表 (2)'!M11</f>
        <v>明</v>
      </c>
      <c r="N12" s="26" t="str">
        <f>'[1]勤務表 (2)'!N11</f>
        <v/>
      </c>
      <c r="O12" s="26" t="str">
        <f>'[1]勤務表 (2)'!O11</f>
        <v/>
      </c>
      <c r="P12" s="26" t="str">
        <f>'[1]勤務表 (2)'!P11</f>
        <v>当</v>
      </c>
      <c r="Q12" s="26" t="str">
        <f>'[1]勤務表 (2)'!Q11</f>
        <v>明</v>
      </c>
      <c r="R12" s="26" t="str">
        <f>'[1]勤務表 (2)'!R11</f>
        <v>●</v>
      </c>
      <c r="S12" s="26" t="str">
        <f>'[1]勤務表 (2)'!S11</f>
        <v/>
      </c>
      <c r="T12" s="26" t="str">
        <f>'[1]勤務表 (2)'!T11</f>
        <v/>
      </c>
      <c r="U12" s="26" t="str">
        <f>'[1]勤務表 (2)'!U11</f>
        <v/>
      </c>
      <c r="V12" s="26" t="str">
        <f>'[1]勤務表 (2)'!V11</f>
        <v/>
      </c>
      <c r="W12" s="26" t="str">
        <f>'[1]勤務表 (2)'!W11</f>
        <v/>
      </c>
      <c r="X12" s="26" t="str">
        <f>'[1]勤務表 (2)'!X11</f>
        <v>○</v>
      </c>
      <c r="Y12" s="26" t="str">
        <f>'[1]勤務表 (2)'!Y11</f>
        <v>当</v>
      </c>
      <c r="Z12" s="26" t="str">
        <f>'[1]勤務表 (2)'!Z11</f>
        <v>明</v>
      </c>
      <c r="AA12" s="26" t="str">
        <f>'[1]勤務表 (2)'!AA11</f>
        <v>●</v>
      </c>
      <c r="AB12" s="26" t="str">
        <f>'[1]勤務表 (2)'!AB11</f>
        <v/>
      </c>
      <c r="AC12" s="26" t="str">
        <f>'[1]勤務表 (2)'!AC11</f>
        <v/>
      </c>
      <c r="AD12" s="26" t="str">
        <f>'[1]勤務表 (2)'!AD11</f>
        <v/>
      </c>
      <c r="AE12" s="26" t="str">
        <f>'[1]勤務表 (2)'!AE11</f>
        <v>当</v>
      </c>
      <c r="AF12" s="26" t="str">
        <f>'[1]勤務表 (2)'!AF11</f>
        <v>明</v>
      </c>
      <c r="AG12" s="26" t="str">
        <f>'[1]勤務表 (2)'!AG11</f>
        <v>●</v>
      </c>
      <c r="AH12" s="26" t="str">
        <f>'[1]勤務表 (2)'!AH11</f>
        <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2">
      <c r="A13" s="9">
        <f>'[1]勤務表 (2)'!A12</f>
        <v>10</v>
      </c>
      <c r="B13" s="9" t="str">
        <f>'[1]勤務表 (2)'!B12</f>
        <v>37601</v>
      </c>
      <c r="C13" s="74" t="str">
        <f>'[1]勤務表 (2)'!C12</f>
        <v>山本 浩之</v>
      </c>
      <c r="D13" s="26" t="str">
        <f>'[1]勤務表 (2)'!D12</f>
        <v>●</v>
      </c>
      <c r="E13" s="26" t="str">
        <f>'[1]勤務表 (2)'!E12</f>
        <v/>
      </c>
      <c r="F13" s="26" t="str">
        <f>'[1]勤務表 (2)'!F12</f>
        <v/>
      </c>
      <c r="G13" s="26" t="str">
        <f>'[1]勤務表 (2)'!G12</f>
        <v/>
      </c>
      <c r="H13" s="26" t="str">
        <f>'[1]勤務表 (2)'!H12</f>
        <v/>
      </c>
      <c r="I13" s="26" t="str">
        <f>'[1]勤務表 (2)'!I12</f>
        <v>当</v>
      </c>
      <c r="J13" s="26" t="str">
        <f>'[1]勤務表 (2)'!J12</f>
        <v>明</v>
      </c>
      <c r="K13" s="26" t="str">
        <f>'[1]勤務表 (2)'!K12</f>
        <v>●</v>
      </c>
      <c r="L13" s="26" t="str">
        <f>'[1]勤務表 (2)'!L12</f>
        <v/>
      </c>
      <c r="M13" s="26" t="str">
        <f>'[1]勤務表 (2)'!M12</f>
        <v/>
      </c>
      <c r="N13" s="26" t="str">
        <f>'[1]勤務表 (2)'!N12</f>
        <v/>
      </c>
      <c r="O13" s="26" t="str">
        <f>'[1]勤務表 (2)'!O12</f>
        <v/>
      </c>
      <c r="P13" s="26" t="str">
        <f>'[1]勤務表 (2)'!P12</f>
        <v/>
      </c>
      <c r="Q13" s="26" t="str">
        <f>'[1]勤務表 (2)'!Q12</f>
        <v>○</v>
      </c>
      <c r="R13" s="26" t="str">
        <f>'[1]勤務表 (2)'!R12</f>
        <v>●</v>
      </c>
      <c r="S13" s="26" t="str">
        <f>'[1]勤務表 (2)'!S12</f>
        <v/>
      </c>
      <c r="T13" s="26" t="str">
        <f>'[1]勤務表 (2)'!T12</f>
        <v/>
      </c>
      <c r="U13" s="26" t="str">
        <f>'[1]勤務表 (2)'!U12</f>
        <v/>
      </c>
      <c r="V13" s="26" t="str">
        <f>'[1]勤務表 (2)'!V12</f>
        <v/>
      </c>
      <c r="W13" s="26" t="str">
        <f>'[1]勤務表 (2)'!W12</f>
        <v/>
      </c>
      <c r="X13" s="26" t="str">
        <f>'[1]勤務表 (2)'!X12</f>
        <v>当</v>
      </c>
      <c r="Y13" s="26" t="str">
        <f>'[1]勤務表 (2)'!Y12</f>
        <v>明</v>
      </c>
      <c r="Z13" s="26" t="str">
        <f>'[1]勤務表 (2)'!Z12</f>
        <v>●</v>
      </c>
      <c r="AA13" s="26" t="str">
        <f>'[1]勤務表 (2)'!AA12</f>
        <v/>
      </c>
      <c r="AB13" s="26" t="str">
        <f>'[1]勤務表 (2)'!AB12</f>
        <v/>
      </c>
      <c r="AC13" s="26" t="str">
        <f>'[1]勤務表 (2)'!AC12</f>
        <v/>
      </c>
      <c r="AD13" s="26" t="str">
        <f>'[1]勤務表 (2)'!AD12</f>
        <v/>
      </c>
      <c r="AE13" s="26" t="str">
        <f>'[1]勤務表 (2)'!AE12</f>
        <v>○</v>
      </c>
      <c r="AF13" s="26" t="str">
        <f>'[1]勤務表 (2)'!AF12</f>
        <v/>
      </c>
      <c r="AG13" s="26" t="str">
        <f>'[1]勤務表 (2)'!AG12</f>
        <v/>
      </c>
      <c r="AH13" s="26" t="str">
        <f>'[1]勤務表 (2)'!AH12</f>
        <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2">
      <c r="A14" s="9">
        <f>'[1]勤務表 (2)'!A13</f>
        <v>11</v>
      </c>
      <c r="B14" s="9" t="str">
        <f>'[1]勤務表 (2)'!B13</f>
        <v>39805</v>
      </c>
      <c r="C14" s="74" t="str">
        <f>'[1]勤務表 (2)'!C13</f>
        <v>南 博之</v>
      </c>
      <c r="D14" s="26" t="str">
        <f>'[1]勤務表 (2)'!D13</f>
        <v>●</v>
      </c>
      <c r="E14" s="26" t="str">
        <f>'[1]勤務表 (2)'!E13</f>
        <v/>
      </c>
      <c r="F14" s="26" t="str">
        <f>'[1]勤務表 (2)'!F13</f>
        <v/>
      </c>
      <c r="G14" s="26" t="str">
        <f>'[1]勤務表 (2)'!G13</f>
        <v/>
      </c>
      <c r="H14" s="26" t="str">
        <f>'[1]勤務表 (2)'!H13</f>
        <v/>
      </c>
      <c r="I14" s="26" t="str">
        <f>'[1]勤務表 (2)'!I13</f>
        <v/>
      </c>
      <c r="J14" s="26" t="str">
        <f>'[1]勤務表 (2)'!J13</f>
        <v>当</v>
      </c>
      <c r="K14" s="26" t="str">
        <f>'[1]勤務表 (2)'!K13</f>
        <v>明</v>
      </c>
      <c r="L14" s="26" t="str">
        <f>'[1]勤務表 (2)'!L13</f>
        <v>●</v>
      </c>
      <c r="M14" s="26" t="str">
        <f>'[1]勤務表 (2)'!M13</f>
        <v/>
      </c>
      <c r="N14" s="26" t="str">
        <f>'[1]勤務表 (2)'!N13</f>
        <v/>
      </c>
      <c r="O14" s="26" t="str">
        <f>'[1]勤務表 (2)'!O13</f>
        <v/>
      </c>
      <c r="P14" s="26" t="str">
        <f>'[1]勤務表 (2)'!P13</f>
        <v/>
      </c>
      <c r="Q14" s="26" t="str">
        <f>'[1]勤務表 (2)'!Q13</f>
        <v>○</v>
      </c>
      <c r="R14" s="26" t="str">
        <f>'[1]勤務表 (2)'!R13</f>
        <v/>
      </c>
      <c r="S14" s="26" t="str">
        <f>'[1]勤務表 (2)'!S13</f>
        <v/>
      </c>
      <c r="T14" s="26" t="str">
        <f>'[1]勤務表 (2)'!T13</f>
        <v/>
      </c>
      <c r="U14" s="26" t="str">
        <f>'[1]勤務表 (2)'!U13</f>
        <v/>
      </c>
      <c r="V14" s="26" t="str">
        <f>'[1]勤務表 (2)'!V13</f>
        <v/>
      </c>
      <c r="W14" s="26" t="str">
        <f>'[1]勤務表 (2)'!W13</f>
        <v/>
      </c>
      <c r="X14" s="26" t="str">
        <f>'[1]勤務表 (2)'!X13</f>
        <v>／</v>
      </c>
      <c r="Y14" s="26" t="str">
        <f>'[1]勤務表 (2)'!Y13</f>
        <v>●</v>
      </c>
      <c r="Z14" s="26" t="str">
        <f>'[1]勤務表 (2)'!Z13</f>
        <v/>
      </c>
      <c r="AA14" s="26" t="str">
        <f>'[1]勤務表 (2)'!AA13</f>
        <v/>
      </c>
      <c r="AB14" s="26" t="str">
        <f>'[1]勤務表 (2)'!AB13</f>
        <v>当</v>
      </c>
      <c r="AC14" s="26" t="str">
        <f>'[1]勤務表 (2)'!AC13</f>
        <v>明</v>
      </c>
      <c r="AD14" s="26" t="str">
        <f>'[1]勤務表 (2)'!AD13</f>
        <v/>
      </c>
      <c r="AE14" s="26" t="str">
        <f>'[1]勤務表 (2)'!AE13</f>
        <v>○</v>
      </c>
      <c r="AF14" s="26" t="str">
        <f>'[1]勤務表 (2)'!AF13</f>
        <v>●</v>
      </c>
      <c r="AG14" s="26" t="str">
        <f>'[1]勤務表 (2)'!AG13</f>
        <v>当</v>
      </c>
      <c r="AH14" s="26" t="str">
        <f>'[1]勤務表 (2)'!AH13</f>
        <v>明</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2">
      <c r="A15" s="9">
        <f>'[1]勤務表 (2)'!A14</f>
        <v>12</v>
      </c>
      <c r="B15" s="9" t="str">
        <f>'[1]勤務表 (2)'!B14</f>
        <v>42503</v>
      </c>
      <c r="C15" s="74" t="str">
        <f>'[1]勤務表 (2)'!C14</f>
        <v>澤野 正樹</v>
      </c>
      <c r="D15" s="26" t="str">
        <f>'[1]勤務表 (2)'!D14</f>
        <v/>
      </c>
      <c r="E15" s="26" t="str">
        <f>'[1]勤務表 (2)'!E14</f>
        <v/>
      </c>
      <c r="F15" s="26" t="str">
        <f>'[1]勤務表 (2)'!F14</f>
        <v/>
      </c>
      <c r="G15" s="26" t="str">
        <f>'[1]勤務表 (2)'!G14</f>
        <v>当</v>
      </c>
      <c r="H15" s="26" t="str">
        <f>'[1]勤務表 (2)'!H14</f>
        <v>明</v>
      </c>
      <c r="I15" s="26" t="str">
        <f>'[1]勤務表 (2)'!I14</f>
        <v/>
      </c>
      <c r="J15" s="26" t="str">
        <f>'[1]勤務表 (2)'!J14</f>
        <v>／</v>
      </c>
      <c r="K15" s="26" t="str">
        <f>'[1]勤務表 (2)'!K14</f>
        <v>●</v>
      </c>
      <c r="L15" s="26" t="str">
        <f>'[1]勤務表 (2)'!L14</f>
        <v/>
      </c>
      <c r="M15" s="26" t="str">
        <f>'[1]勤務表 (2)'!M14</f>
        <v/>
      </c>
      <c r="N15" s="26" t="str">
        <f>'[1]勤務表 (2)'!N14</f>
        <v/>
      </c>
      <c r="O15" s="26" t="str">
        <f>'[1]勤務表 (2)'!O14</f>
        <v/>
      </c>
      <c r="P15" s="26" t="str">
        <f>'[1]勤務表 (2)'!P14</f>
        <v/>
      </c>
      <c r="Q15" s="26" t="str">
        <f>'[1]勤務表 (2)'!Q14</f>
        <v>○</v>
      </c>
      <c r="R15" s="26" t="str">
        <f>'[1]勤務表 (2)'!R14</f>
        <v>●</v>
      </c>
      <c r="S15" s="26" t="str">
        <f>'[1]勤務表 (2)'!S14</f>
        <v/>
      </c>
      <c r="T15" s="26" t="str">
        <f>'[1]勤務表 (2)'!T14</f>
        <v/>
      </c>
      <c r="U15" s="26" t="str">
        <f>'[1]勤務表 (2)'!U14</f>
        <v/>
      </c>
      <c r="V15" s="26" t="str">
        <f>'[1]勤務表 (2)'!V14</f>
        <v>当</v>
      </c>
      <c r="W15" s="26" t="str">
        <f>'[1]勤務表 (2)'!W14</f>
        <v>明</v>
      </c>
      <c r="X15" s="26" t="str">
        <f>'[1]勤務表 (2)'!X14</f>
        <v>／</v>
      </c>
      <c r="Y15" s="26" t="str">
        <f>'[1]勤務表 (2)'!Y14</f>
        <v>●</v>
      </c>
      <c r="Z15" s="26" t="str">
        <f>'[1]勤務表 (2)'!Z14</f>
        <v/>
      </c>
      <c r="AA15" s="26" t="str">
        <f>'[1]勤務表 (2)'!AA14</f>
        <v/>
      </c>
      <c r="AB15" s="26" t="str">
        <f>'[1]勤務表 (2)'!AB14</f>
        <v/>
      </c>
      <c r="AC15" s="26" t="str">
        <f>'[1]勤務表 (2)'!AC14</f>
        <v/>
      </c>
      <c r="AD15" s="26" t="str">
        <f>'[1]勤務表 (2)'!AD14</f>
        <v/>
      </c>
      <c r="AE15" s="26" t="str">
        <f>'[1]勤務表 (2)'!AE14</f>
        <v>○</v>
      </c>
      <c r="AF15" s="26" t="str">
        <f>'[1]勤務表 (2)'!AF14</f>
        <v>●</v>
      </c>
      <c r="AG15" s="26" t="str">
        <f>'[1]勤務表 (2)'!AG14</f>
        <v/>
      </c>
      <c r="AH15" s="26" t="str">
        <f>'[1]勤務表 (2)'!AH14</f>
        <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2">
      <c r="A16" s="9">
        <f>'[1]勤務表 (2)'!A15</f>
        <v>13</v>
      </c>
      <c r="B16" s="9" t="str">
        <f>'[1]勤務表 (2)'!B15</f>
        <v>46963</v>
      </c>
      <c r="C16" s="74" t="str">
        <f>'[1]勤務表 (2)'!C15</f>
        <v>清水 和弥</v>
      </c>
      <c r="D16" s="26" t="str">
        <f>'[1]勤務表 (2)'!D15</f>
        <v>●</v>
      </c>
      <c r="E16" s="26" t="str">
        <f>'[1]勤務表 (2)'!E15</f>
        <v/>
      </c>
      <c r="F16" s="26" t="str">
        <f>'[1]勤務表 (2)'!F15</f>
        <v/>
      </c>
      <c r="G16" s="26" t="str">
        <f>'[1]勤務表 (2)'!G15</f>
        <v/>
      </c>
      <c r="H16" s="26" t="str">
        <f>'[1]勤務表 (2)'!H15</f>
        <v/>
      </c>
      <c r="I16" s="26" t="str">
        <f>'[1]勤務表 (2)'!I15</f>
        <v/>
      </c>
      <c r="J16" s="26" t="str">
        <f>'[1]勤務表 (2)'!J15</f>
        <v>○</v>
      </c>
      <c r="K16" s="26" t="str">
        <f>'[1]勤務表 (2)'!K15</f>
        <v>●</v>
      </c>
      <c r="L16" s="26" t="str">
        <f>'[1]勤務表 (2)'!L15</f>
        <v/>
      </c>
      <c r="M16" s="26" t="str">
        <f>'[1]勤務表 (2)'!M15</f>
        <v/>
      </c>
      <c r="N16" s="26" t="str">
        <f>'[1]勤務表 (2)'!N15</f>
        <v/>
      </c>
      <c r="O16" s="26" t="str">
        <f>'[1]勤務表 (2)'!O15</f>
        <v/>
      </c>
      <c r="P16" s="26" t="str">
        <f>'[1]勤務表 (2)'!P15</f>
        <v/>
      </c>
      <c r="Q16" s="26" t="str">
        <f>'[1]勤務表 (2)'!Q15</f>
        <v>／</v>
      </c>
      <c r="R16" s="26" t="str">
        <f>'[1]勤務表 (2)'!R15</f>
        <v>●</v>
      </c>
      <c r="S16" s="26" t="str">
        <f>'[1]勤務表 (2)'!S15</f>
        <v/>
      </c>
      <c r="T16" s="26" t="str">
        <f>'[1]勤務表 (2)'!T15</f>
        <v/>
      </c>
      <c r="U16" s="26" t="str">
        <f>'[1]勤務表 (2)'!U15</f>
        <v/>
      </c>
      <c r="V16" s="26" t="str">
        <f>'[1]勤務表 (2)'!V15</f>
        <v/>
      </c>
      <c r="W16" s="26" t="str">
        <f>'[1]勤務表 (2)'!W15</f>
        <v/>
      </c>
      <c r="X16" s="26" t="str">
        <f>'[1]勤務表 (2)'!X15</f>
        <v>○</v>
      </c>
      <c r="Y16" s="26" t="str">
        <f>'[1]勤務表 (2)'!Y15</f>
        <v>●</v>
      </c>
      <c r="Z16" s="26" t="str">
        <f>'[1]勤務表 (2)'!Z15</f>
        <v/>
      </c>
      <c r="AA16" s="26" t="str">
        <f>'[1]勤務表 (2)'!AA15</f>
        <v/>
      </c>
      <c r="AB16" s="26" t="str">
        <f>'[1]勤務表 (2)'!AB15</f>
        <v/>
      </c>
      <c r="AC16" s="26" t="str">
        <f>'[1]勤務表 (2)'!AC15</f>
        <v/>
      </c>
      <c r="AD16" s="26" t="str">
        <f>'[1]勤務表 (2)'!AD15</f>
        <v/>
      </c>
      <c r="AE16" s="26" t="str">
        <f>'[1]勤務表 (2)'!AE15</f>
        <v>／</v>
      </c>
      <c r="AF16" s="26" t="str">
        <f>'[1]勤務表 (2)'!AF15</f>
        <v>●</v>
      </c>
      <c r="AG16" s="26" t="str">
        <f>'[1]勤務表 (2)'!AG15</f>
        <v/>
      </c>
      <c r="AH16" s="26" t="str">
        <f>'[1]勤務表 (2)'!AH15</f>
        <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2">
      <c r="A17" s="9">
        <f>'[1]勤務表 (2)'!A16</f>
        <v>14</v>
      </c>
      <c r="B17" s="9" t="str">
        <f>'[1]勤務表 (2)'!B16</f>
        <v>52687</v>
      </c>
      <c r="C17" s="74" t="str">
        <f>'[1]勤務表 (2)'!C16</f>
        <v>坪野 寿恵</v>
      </c>
      <c r="D17" s="26" t="str">
        <f>'[1]勤務表 (2)'!D16</f>
        <v>●</v>
      </c>
      <c r="E17" s="26" t="str">
        <f>'[1]勤務表 (2)'!E16</f>
        <v/>
      </c>
      <c r="F17" s="26" t="str">
        <f>'[1]勤務表 (2)'!F16</f>
        <v/>
      </c>
      <c r="G17" s="26" t="str">
        <f>'[1]勤務表 (2)'!G16</f>
        <v/>
      </c>
      <c r="H17" s="26" t="str">
        <f>'[1]勤務表 (2)'!H16</f>
        <v/>
      </c>
      <c r="I17" s="26" t="str">
        <f>'[1]勤務表 (2)'!I16</f>
        <v/>
      </c>
      <c r="J17" s="26" t="str">
        <f>'[1]勤務表 (2)'!J16</f>
        <v>／</v>
      </c>
      <c r="K17" s="26" t="str">
        <f>'[1]勤務表 (2)'!K16</f>
        <v>●</v>
      </c>
      <c r="L17" s="26" t="str">
        <f>'[1]勤務表 (2)'!L16</f>
        <v/>
      </c>
      <c r="M17" s="26" t="str">
        <f>'[1]勤務表 (2)'!M16</f>
        <v/>
      </c>
      <c r="N17" s="26" t="str">
        <f>'[1]勤務表 (2)'!N16</f>
        <v/>
      </c>
      <c r="O17" s="26" t="str">
        <f>'[1]勤務表 (2)'!O16</f>
        <v/>
      </c>
      <c r="P17" s="26" t="str">
        <f>'[1]勤務表 (2)'!P16</f>
        <v/>
      </c>
      <c r="Q17" s="26" t="str">
        <f>'[1]勤務表 (2)'!Q16</f>
        <v>○</v>
      </c>
      <c r="R17" s="26" t="str">
        <f>'[1]勤務表 (2)'!R16</f>
        <v>●</v>
      </c>
      <c r="S17" s="26" t="str">
        <f>'[1]勤務表 (2)'!S16</f>
        <v/>
      </c>
      <c r="T17" s="26" t="str">
        <f>'[1]勤務表 (2)'!T16</f>
        <v/>
      </c>
      <c r="U17" s="26" t="str">
        <f>'[1]勤務表 (2)'!U16</f>
        <v/>
      </c>
      <c r="V17" s="26" t="str">
        <f>'[1]勤務表 (2)'!V16</f>
        <v/>
      </c>
      <c r="W17" s="26" t="str">
        <f>'[1]勤務表 (2)'!W16</f>
        <v/>
      </c>
      <c r="X17" s="26" t="str">
        <f>'[1]勤務表 (2)'!X16</f>
        <v>／</v>
      </c>
      <c r="Y17" s="26" t="str">
        <f>'[1]勤務表 (2)'!Y16</f>
        <v>●</v>
      </c>
      <c r="Z17" s="26" t="str">
        <f>'[1]勤務表 (2)'!Z16</f>
        <v/>
      </c>
      <c r="AA17" s="26" t="str">
        <f>'[1]勤務表 (2)'!AA16</f>
        <v/>
      </c>
      <c r="AB17" s="26" t="str">
        <f>'[1]勤務表 (2)'!AB16</f>
        <v/>
      </c>
      <c r="AC17" s="26" t="str">
        <f>'[1]勤務表 (2)'!AC16</f>
        <v/>
      </c>
      <c r="AD17" s="26" t="str">
        <f>'[1]勤務表 (2)'!AD16</f>
        <v/>
      </c>
      <c r="AE17" s="26" t="str">
        <f>'[1]勤務表 (2)'!AE16</f>
        <v>○</v>
      </c>
      <c r="AF17" s="26" t="str">
        <f>'[1]勤務表 (2)'!AF16</f>
        <v>●</v>
      </c>
      <c r="AG17" s="26" t="str">
        <f>'[1]勤務表 (2)'!AG16</f>
        <v/>
      </c>
      <c r="AH17" s="26" t="str">
        <f>'[1]勤務表 (2)'!AH16</f>
        <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2">
      <c r="A18" s="9">
        <f>'[1]勤務表 (2)'!A17</f>
        <v>15</v>
      </c>
      <c r="B18" s="9" t="str">
        <f>'[1]勤務表 (2)'!B17</f>
        <v>56712</v>
      </c>
      <c r="C18" s="74" t="str">
        <f>'[1]勤務表 (2)'!C17</f>
        <v>山田 正則</v>
      </c>
      <c r="D18" s="26" t="str">
        <f>'[1]勤務表 (2)'!D17</f>
        <v>●</v>
      </c>
      <c r="E18" s="26" t="str">
        <f>'[1]勤務表 (2)'!E17</f>
        <v/>
      </c>
      <c r="F18" s="26" t="str">
        <f>'[1]勤務表 (2)'!F17</f>
        <v/>
      </c>
      <c r="G18" s="26" t="str">
        <f>'[1]勤務表 (2)'!G17</f>
        <v/>
      </c>
      <c r="H18" s="26" t="str">
        <f>'[1]勤務表 (2)'!H17</f>
        <v/>
      </c>
      <c r="I18" s="26" t="str">
        <f>'[1]勤務表 (2)'!I17</f>
        <v/>
      </c>
      <c r="J18" s="26" t="str">
        <f>'[1]勤務表 (2)'!J17</f>
        <v>／</v>
      </c>
      <c r="K18" s="26" t="str">
        <f>'[1]勤務表 (2)'!K17</f>
        <v>●</v>
      </c>
      <c r="L18" s="26" t="str">
        <f>'[1]勤務表 (2)'!L17</f>
        <v/>
      </c>
      <c r="M18" s="26" t="str">
        <f>'[1]勤務表 (2)'!M17</f>
        <v>当</v>
      </c>
      <c r="N18" s="26" t="str">
        <f>'[1]勤務表 (2)'!N17</f>
        <v>明</v>
      </c>
      <c r="O18" s="26" t="str">
        <f>'[1]勤務表 (2)'!O17</f>
        <v/>
      </c>
      <c r="P18" s="26" t="str">
        <f>'[1]勤務表 (2)'!P17</f>
        <v/>
      </c>
      <c r="Q18" s="26" t="str">
        <f>'[1]勤務表 (2)'!Q17</f>
        <v>○</v>
      </c>
      <c r="R18" s="26" t="str">
        <f>'[1]勤務表 (2)'!R17</f>
        <v>●</v>
      </c>
      <c r="S18" s="26" t="str">
        <f>'[1]勤務表 (2)'!S17</f>
        <v/>
      </c>
      <c r="T18" s="26" t="str">
        <f>'[1]勤務表 (2)'!T17</f>
        <v/>
      </c>
      <c r="U18" s="26" t="str">
        <f>'[1]勤務表 (2)'!U17</f>
        <v/>
      </c>
      <c r="V18" s="26" t="str">
        <f>'[1]勤務表 (2)'!V17</f>
        <v/>
      </c>
      <c r="W18" s="26" t="str">
        <f>'[1]勤務表 (2)'!W17</f>
        <v>当</v>
      </c>
      <c r="X18" s="26" t="str">
        <f>'[1]勤務表 (2)'!X17</f>
        <v>明</v>
      </c>
      <c r="Y18" s="26" t="str">
        <f>'[1]勤務表 (2)'!Y17</f>
        <v>●</v>
      </c>
      <c r="Z18" s="26" t="str">
        <f>'[1]勤務表 (2)'!Z17</f>
        <v/>
      </c>
      <c r="AA18" s="26" t="str">
        <f>'[1]勤務表 (2)'!AA17</f>
        <v/>
      </c>
      <c r="AB18" s="26" t="str">
        <f>'[1]勤務表 (2)'!AB17</f>
        <v/>
      </c>
      <c r="AC18" s="26" t="str">
        <f>'[1]勤務表 (2)'!AC17</f>
        <v/>
      </c>
      <c r="AD18" s="26" t="str">
        <f>'[1]勤務表 (2)'!AD17</f>
        <v/>
      </c>
      <c r="AE18" s="26" t="str">
        <f>'[1]勤務表 (2)'!AE17</f>
        <v>○</v>
      </c>
      <c r="AF18" s="26" t="str">
        <f>'[1]勤務表 (2)'!AF17</f>
        <v>●</v>
      </c>
      <c r="AG18" s="26" t="str">
        <f>'[1]勤務表 (2)'!AG17</f>
        <v/>
      </c>
      <c r="AH18" s="26" t="str">
        <f>'[1]勤務表 (2)'!AH17</f>
        <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2">
      <c r="A19" s="9">
        <f>'[1]勤務表 (2)'!A18</f>
        <v>16</v>
      </c>
      <c r="B19" s="9" t="str">
        <f>'[1]勤務表 (2)'!B18</f>
        <v>97962</v>
      </c>
      <c r="C19" s="74" t="str">
        <f>'[1]勤務表 (2)'!C18</f>
        <v>林 亮子</v>
      </c>
      <c r="D19" s="26" t="str">
        <f>'[1]勤務表 (2)'!D18</f>
        <v>●</v>
      </c>
      <c r="E19" s="26" t="str">
        <f>'[1]勤務表 (2)'!E18</f>
        <v/>
      </c>
      <c r="F19" s="26" t="str">
        <f>'[1]勤務表 (2)'!F18</f>
        <v/>
      </c>
      <c r="G19" s="26" t="str">
        <f>'[1]勤務表 (2)'!G18</f>
        <v/>
      </c>
      <c r="H19" s="26" t="str">
        <f>'[1]勤務表 (2)'!H18</f>
        <v/>
      </c>
      <c r="I19" s="26" t="str">
        <f>'[1]勤務表 (2)'!I18</f>
        <v/>
      </c>
      <c r="J19" s="26" t="str">
        <f>'[1]勤務表 (2)'!J18</f>
        <v>○</v>
      </c>
      <c r="K19" s="26" t="str">
        <f>'[1]勤務表 (2)'!K18</f>
        <v>当</v>
      </c>
      <c r="L19" s="26" t="str">
        <f>'[1]勤務表 (2)'!L18</f>
        <v>明</v>
      </c>
      <c r="M19" s="26" t="str">
        <f>'[1]勤務表 (2)'!M18</f>
        <v>●</v>
      </c>
      <c r="N19" s="26" t="str">
        <f>'[1]勤務表 (2)'!N18</f>
        <v/>
      </c>
      <c r="O19" s="26" t="str">
        <f>'[1]勤務表 (2)'!O18</f>
        <v/>
      </c>
      <c r="P19" s="26" t="str">
        <f>'[1]勤務表 (2)'!P18</f>
        <v/>
      </c>
      <c r="Q19" s="26" t="str">
        <f>'[1]勤務表 (2)'!Q18</f>
        <v>／</v>
      </c>
      <c r="R19" s="26" t="str">
        <f>'[1]勤務表 (2)'!R18</f>
        <v>●</v>
      </c>
      <c r="S19" s="26" t="str">
        <f>'[1]勤務表 (2)'!S18</f>
        <v/>
      </c>
      <c r="T19" s="26" t="str">
        <f>'[1]勤務表 (2)'!T18</f>
        <v/>
      </c>
      <c r="U19" s="26" t="str">
        <f>'[1]勤務表 (2)'!U18</f>
        <v/>
      </c>
      <c r="V19" s="26" t="str">
        <f>'[1]勤務表 (2)'!V18</f>
        <v/>
      </c>
      <c r="W19" s="26" t="str">
        <f>'[1]勤務表 (2)'!W18</f>
        <v/>
      </c>
      <c r="X19" s="26" t="str">
        <f>'[1]勤務表 (2)'!X18</f>
        <v>○</v>
      </c>
      <c r="Y19" s="26" t="str">
        <f>'[1]勤務表 (2)'!Y18</f>
        <v>●</v>
      </c>
      <c r="Z19" s="26" t="str">
        <f>'[1]勤務表 (2)'!Z18</f>
        <v/>
      </c>
      <c r="AA19" s="26" t="str">
        <f>'[1]勤務表 (2)'!AA18</f>
        <v/>
      </c>
      <c r="AB19" s="26" t="str">
        <f>'[1]勤務表 (2)'!AB18</f>
        <v/>
      </c>
      <c r="AC19" s="26" t="str">
        <f>'[1]勤務表 (2)'!AC18</f>
        <v/>
      </c>
      <c r="AD19" s="26" t="str">
        <f>'[1]勤務表 (2)'!AD18</f>
        <v/>
      </c>
      <c r="AE19" s="26" t="str">
        <f>'[1]勤務表 (2)'!AE18</f>
        <v>当</v>
      </c>
      <c r="AF19" s="26" t="str">
        <f>'[1]勤務表 (2)'!AF18</f>
        <v>明</v>
      </c>
      <c r="AG19" s="26" t="str">
        <f>'[1]勤務表 (2)'!AG18</f>
        <v>●</v>
      </c>
      <c r="AH19" s="26" t="str">
        <f>'[1]勤務表 (2)'!AH18</f>
        <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2">
      <c r="A20" s="9">
        <f>'[1]勤務表 (2)'!A19</f>
        <v>17</v>
      </c>
      <c r="B20" s="9" t="str">
        <f>'[1]勤務表 (2)'!B19</f>
        <v>103814</v>
      </c>
      <c r="C20" s="74" t="str">
        <f>'[1]勤務表 (2)'!C19</f>
        <v>田村 能之</v>
      </c>
      <c r="D20" s="26" t="str">
        <f>'[1]勤務表 (2)'!D19</f>
        <v>当</v>
      </c>
      <c r="E20" s="26" t="str">
        <f>'[1]勤務表 (2)'!E19</f>
        <v>明</v>
      </c>
      <c r="F20" s="26" t="str">
        <f>'[1]勤務表 (2)'!F19</f>
        <v>●</v>
      </c>
      <c r="G20" s="26" t="str">
        <f>'[1]勤務表 (2)'!G19</f>
        <v/>
      </c>
      <c r="H20" s="26" t="str">
        <f>'[1]勤務表 (2)'!H19</f>
        <v/>
      </c>
      <c r="I20" s="26" t="str">
        <f>'[1]勤務表 (2)'!I19</f>
        <v/>
      </c>
      <c r="J20" s="26" t="str">
        <f>'[1]勤務表 (2)'!J19</f>
        <v>／</v>
      </c>
      <c r="K20" s="26" t="str">
        <f>'[1]勤務表 (2)'!K19</f>
        <v>●</v>
      </c>
      <c r="L20" s="26" t="str">
        <f>'[1]勤務表 (2)'!L19</f>
        <v/>
      </c>
      <c r="M20" s="26" t="str">
        <f>'[1]勤務表 (2)'!M19</f>
        <v/>
      </c>
      <c r="N20" s="26" t="str">
        <f>'[1]勤務表 (2)'!N19</f>
        <v/>
      </c>
      <c r="O20" s="26" t="str">
        <f>'[1]勤務表 (2)'!O19</f>
        <v/>
      </c>
      <c r="P20" s="26" t="str">
        <f>'[1]勤務表 (2)'!P19</f>
        <v/>
      </c>
      <c r="Q20" s="26" t="str">
        <f>'[1]勤務表 (2)'!Q19</f>
        <v>○</v>
      </c>
      <c r="R20" s="26" t="str">
        <f>'[1]勤務表 (2)'!R19</f>
        <v>当</v>
      </c>
      <c r="S20" s="26" t="str">
        <f>'[1]勤務表 (2)'!S19</f>
        <v>明</v>
      </c>
      <c r="T20" s="26" t="str">
        <f>'[1]勤務表 (2)'!T19</f>
        <v>●</v>
      </c>
      <c r="U20" s="26" t="str">
        <f>'[1]勤務表 (2)'!U19</f>
        <v/>
      </c>
      <c r="V20" s="26" t="str">
        <f>'[1]勤務表 (2)'!V19</f>
        <v/>
      </c>
      <c r="W20" s="26" t="str">
        <f>'[1]勤務表 (2)'!W19</f>
        <v>当</v>
      </c>
      <c r="X20" s="26" t="str">
        <f>'[1]勤務表 (2)'!X19</f>
        <v>明</v>
      </c>
      <c r="Y20" s="26" t="str">
        <f>'[1]勤務表 (2)'!Y19</f>
        <v>●</v>
      </c>
      <c r="Z20" s="26" t="str">
        <f>'[1]勤務表 (2)'!Z19</f>
        <v/>
      </c>
      <c r="AA20" s="26" t="str">
        <f>'[1]勤務表 (2)'!AA19</f>
        <v/>
      </c>
      <c r="AB20" s="26" t="str">
        <f>'[1]勤務表 (2)'!AB19</f>
        <v/>
      </c>
      <c r="AC20" s="26" t="str">
        <f>'[1]勤務表 (2)'!AC19</f>
        <v/>
      </c>
      <c r="AD20" s="26" t="str">
        <f>'[1]勤務表 (2)'!AD19</f>
        <v/>
      </c>
      <c r="AE20" s="26" t="str">
        <f>'[1]勤務表 (2)'!AE19</f>
        <v>○</v>
      </c>
      <c r="AF20" s="26" t="str">
        <f>'[1]勤務表 (2)'!AF19</f>
        <v>●</v>
      </c>
      <c r="AG20" s="26" t="str">
        <f>'[1]勤務表 (2)'!AG19</f>
        <v/>
      </c>
      <c r="AH20" s="26" t="str">
        <f>'[1]勤務表 (2)'!AH19</f>
        <v>当</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2">
      <c r="A21" s="9">
        <f>'[1]勤務表 (2)'!A20</f>
        <v>18</v>
      </c>
      <c r="B21" s="9" t="str">
        <f>'[1]勤務表 (2)'!B20</f>
        <v>109997</v>
      </c>
      <c r="C21" s="74" t="str">
        <f>'[1]勤務表 (2)'!C20</f>
        <v>庵 緋沙子</v>
      </c>
      <c r="D21" s="26" t="str">
        <f>'[1]勤務表 (2)'!D20</f>
        <v>●</v>
      </c>
      <c r="E21" s="26" t="str">
        <f>'[1]勤務表 (2)'!E20</f>
        <v/>
      </c>
      <c r="F21" s="26" t="str">
        <f>'[1]勤務表 (2)'!F20</f>
        <v/>
      </c>
      <c r="G21" s="26" t="str">
        <f>'[1]勤務表 (2)'!G20</f>
        <v/>
      </c>
      <c r="H21" s="26" t="str">
        <f>'[1]勤務表 (2)'!H20</f>
        <v/>
      </c>
      <c r="I21" s="26" t="str">
        <f>'[1]勤務表 (2)'!I20</f>
        <v/>
      </c>
      <c r="J21" s="26" t="str">
        <f>'[1]勤務表 (2)'!J20</f>
        <v>○</v>
      </c>
      <c r="K21" s="26" t="str">
        <f>'[1]勤務表 (2)'!K20</f>
        <v>当</v>
      </c>
      <c r="L21" s="26" t="str">
        <f>'[1]勤務表 (2)'!L20</f>
        <v>明</v>
      </c>
      <c r="M21" s="26" t="str">
        <f>'[1]勤務表 (2)'!M20</f>
        <v>●</v>
      </c>
      <c r="N21" s="26" t="str">
        <f>'[1]勤務表 (2)'!N20</f>
        <v/>
      </c>
      <c r="O21" s="26" t="str">
        <f>'[1]勤務表 (2)'!O20</f>
        <v/>
      </c>
      <c r="P21" s="26" t="str">
        <f>'[1]勤務表 (2)'!P20</f>
        <v/>
      </c>
      <c r="Q21" s="26" t="str">
        <f>'[1]勤務表 (2)'!Q20</f>
        <v>／</v>
      </c>
      <c r="R21" s="26" t="str">
        <f>'[1]勤務表 (2)'!R20</f>
        <v>●</v>
      </c>
      <c r="S21" s="26" t="str">
        <f>'[1]勤務表 (2)'!S20</f>
        <v/>
      </c>
      <c r="T21" s="26" t="str">
        <f>'[1]勤務表 (2)'!T20</f>
        <v>当</v>
      </c>
      <c r="U21" s="26" t="str">
        <f>'[1]勤務表 (2)'!U20</f>
        <v>明</v>
      </c>
      <c r="V21" s="26" t="str">
        <f>'[1]勤務表 (2)'!V20</f>
        <v/>
      </c>
      <c r="W21" s="26" t="str">
        <f>'[1]勤務表 (2)'!W20</f>
        <v/>
      </c>
      <c r="X21" s="26" t="str">
        <f>'[1]勤務表 (2)'!X20</f>
        <v>○</v>
      </c>
      <c r="Y21" s="26" t="str">
        <f>'[1]勤務表 (2)'!Y20</f>
        <v>●</v>
      </c>
      <c r="Z21" s="26" t="str">
        <f>'[1]勤務表 (2)'!Z20</f>
        <v>当</v>
      </c>
      <c r="AA21" s="26" t="str">
        <f>'[1]勤務表 (2)'!AA20</f>
        <v>明</v>
      </c>
      <c r="AB21" s="26" t="str">
        <f>'[1]勤務表 (2)'!AB20</f>
        <v/>
      </c>
      <c r="AC21" s="26" t="str">
        <f>'[1]勤務表 (2)'!AC20</f>
        <v/>
      </c>
      <c r="AD21" s="26" t="str">
        <f>'[1]勤務表 (2)'!AD20</f>
        <v>当</v>
      </c>
      <c r="AE21" s="26" t="str">
        <f>'[1]勤務表 (2)'!AE20</f>
        <v>明</v>
      </c>
      <c r="AF21" s="26" t="str">
        <f>'[1]勤務表 (2)'!AF20</f>
        <v>●</v>
      </c>
      <c r="AG21" s="26" t="str">
        <f>'[1]勤務表 (2)'!AG20</f>
        <v/>
      </c>
      <c r="AH21" s="26" t="str">
        <f>'[1]勤務表 (2)'!AH20</f>
        <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2">
      <c r="A22" s="9">
        <f>'[1]勤務表 (2)'!A21</f>
        <v>19</v>
      </c>
      <c r="B22" s="9" t="str">
        <f>'[1]勤務表 (2)'!B21</f>
        <v>79269</v>
      </c>
      <c r="C22" s="74" t="str">
        <f>'[1]勤務表 (2)'!C21</f>
        <v>冨田 紗詠子</v>
      </c>
      <c r="D22" s="26" t="str">
        <f>'[1]勤務表 (2)'!D21</f>
        <v>●</v>
      </c>
      <c r="E22" s="26" t="str">
        <f>'[1]勤務表 (2)'!E21</f>
        <v/>
      </c>
      <c r="F22" s="26" t="str">
        <f>'[1]勤務表 (2)'!F21</f>
        <v/>
      </c>
      <c r="G22" s="26" t="str">
        <f>'[1]勤務表 (2)'!G21</f>
        <v/>
      </c>
      <c r="H22" s="26" t="str">
        <f>'[1]勤務表 (2)'!H21</f>
        <v/>
      </c>
      <c r="I22" s="26" t="str">
        <f>'[1]勤務表 (2)'!I21</f>
        <v/>
      </c>
      <c r="J22" s="26" t="str">
        <f>'[1]勤務表 (2)'!J21</f>
        <v>○</v>
      </c>
      <c r="K22" s="26" t="str">
        <f>'[1]勤務表 (2)'!K21</f>
        <v>●</v>
      </c>
      <c r="L22" s="26" t="str">
        <f>'[1]勤務表 (2)'!L21</f>
        <v/>
      </c>
      <c r="M22" s="26" t="str">
        <f>'[1]勤務表 (2)'!M21</f>
        <v/>
      </c>
      <c r="N22" s="26" t="str">
        <f>'[1]勤務表 (2)'!N21</f>
        <v/>
      </c>
      <c r="O22" s="26" t="str">
        <f>'[1]勤務表 (2)'!O21</f>
        <v/>
      </c>
      <c r="P22" s="26" t="str">
        <f>'[1]勤務表 (2)'!P21</f>
        <v/>
      </c>
      <c r="Q22" s="26" t="str">
        <f>'[1]勤務表 (2)'!Q21</f>
        <v>○</v>
      </c>
      <c r="R22" s="26" t="str">
        <f>'[1]勤務表 (2)'!R21</f>
        <v>●</v>
      </c>
      <c r="S22" s="26" t="str">
        <f>'[1]勤務表 (2)'!S21</f>
        <v/>
      </c>
      <c r="T22" s="26" t="str">
        <f>'[1]勤務表 (2)'!T21</f>
        <v/>
      </c>
      <c r="U22" s="26" t="str">
        <f>'[1]勤務表 (2)'!U21</f>
        <v/>
      </c>
      <c r="V22" s="26" t="str">
        <f>'[1]勤務表 (2)'!V21</f>
        <v/>
      </c>
      <c r="W22" s="26" t="str">
        <f>'[1]勤務表 (2)'!W21</f>
        <v/>
      </c>
      <c r="X22" s="26" t="str">
        <f>'[1]勤務表 (2)'!X21</f>
        <v>○</v>
      </c>
      <c r="Y22" s="26" t="str">
        <f>'[1]勤務表 (2)'!Y21</f>
        <v>●</v>
      </c>
      <c r="Z22" s="26" t="str">
        <f>'[1]勤務表 (2)'!Z21</f>
        <v/>
      </c>
      <c r="AA22" s="26" t="str">
        <f>'[1]勤務表 (2)'!AA21</f>
        <v/>
      </c>
      <c r="AB22" s="26" t="str">
        <f>'[1]勤務表 (2)'!AB21</f>
        <v/>
      </c>
      <c r="AC22" s="26" t="str">
        <f>'[1]勤務表 (2)'!AC21</f>
        <v/>
      </c>
      <c r="AD22" s="26" t="str">
        <f>'[1]勤務表 (2)'!AD21</f>
        <v/>
      </c>
      <c r="AE22" s="26" t="str">
        <f>'[1]勤務表 (2)'!AE21</f>
        <v>○</v>
      </c>
      <c r="AF22" s="26" t="str">
        <f>'[1]勤務表 (2)'!AF21</f>
        <v>●</v>
      </c>
      <c r="AG22" s="26" t="str">
        <f>'[1]勤務表 (2)'!AG21</f>
        <v/>
      </c>
      <c r="AH22" s="26" t="str">
        <f>'[1]勤務表 (2)'!AH21</f>
        <v/>
      </c>
      <c r="AJ22" s="12">
        <f>IF(D22&lt;&gt;勤務変更!D22,1,0)</f>
        <v>0</v>
      </c>
      <c r="AK22" s="12">
        <f>IF(E22&lt;&gt;勤務変更!E22,1,0)</f>
        <v>0</v>
      </c>
      <c r="AL22" s="12">
        <f>IF(F22&lt;&gt;勤務変更!F22,1,0)</f>
        <v>0</v>
      </c>
      <c r="AM22" s="12">
        <f>IF(G22&lt;&gt;勤務変更!G22,1,0)</f>
        <v>0</v>
      </c>
      <c r="AN22" s="12">
        <f>IF(H22&lt;&gt;勤務変更!H22,1,0)</f>
        <v>0</v>
      </c>
      <c r="AO22" s="12">
        <f>IF(I22&lt;&gt;勤務変更!I22,1,0)</f>
        <v>0</v>
      </c>
      <c r="AP22" s="12">
        <f>IF(J22&lt;&gt;勤務変更!J22,1,0)</f>
        <v>0</v>
      </c>
      <c r="AQ22" s="12">
        <f>IF(K22&lt;&gt;勤務変更!K22,1,0)</f>
        <v>0</v>
      </c>
      <c r="AR22" s="12">
        <f>IF(L22&lt;&gt;勤務変更!L22,1,0)</f>
        <v>0</v>
      </c>
      <c r="AS22" s="12">
        <f>IF(M22&lt;&gt;勤務変更!M22,1,0)</f>
        <v>0</v>
      </c>
      <c r="AT22" s="12">
        <f>IF(N22&lt;&gt;勤務変更!N22,1,0)</f>
        <v>0</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0</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0</v>
      </c>
      <c r="BP22" s="12" t="str">
        <f>IF(BR22="","",COUNTA(BR$4:BR22)-COUNTBLANK(BR$4:BR22))</f>
        <v/>
      </c>
      <c r="BQ22" s="12" t="str">
        <f t="shared" si="2"/>
        <v/>
      </c>
      <c r="BR22" s="12" t="str">
        <f t="shared" si="3"/>
        <v/>
      </c>
    </row>
    <row r="23" spans="1:70" ht="13.15" customHeight="1" x14ac:dyDescent="0.2">
      <c r="A23" s="9">
        <f>'[1]勤務表 (2)'!A22</f>
        <v>20</v>
      </c>
      <c r="B23" s="9" t="str">
        <f>'[1]勤務表 (2)'!B22</f>
        <v>88777</v>
      </c>
      <c r="C23" s="74" t="str">
        <f>'[1]勤務表 (2)'!C22</f>
        <v>黒田 奈菜子</v>
      </c>
      <c r="D23" s="26" t="str">
        <f>'[1]勤務表 (2)'!D22</f>
        <v>●</v>
      </c>
      <c r="E23" s="26" t="str">
        <f>'[1]勤務表 (2)'!E22</f>
        <v/>
      </c>
      <c r="F23" s="26" t="str">
        <f>'[1]勤務表 (2)'!F22</f>
        <v/>
      </c>
      <c r="G23" s="26" t="str">
        <f>'[1]勤務表 (2)'!G22</f>
        <v/>
      </c>
      <c r="H23" s="26" t="str">
        <f>'[1]勤務表 (2)'!H22</f>
        <v/>
      </c>
      <c r="I23" s="26" t="str">
        <f>'[1]勤務表 (2)'!I22</f>
        <v/>
      </c>
      <c r="J23" s="26" t="str">
        <f>'[1]勤務表 (2)'!J22</f>
        <v>○</v>
      </c>
      <c r="K23" s="26" t="str">
        <f>'[1]勤務表 (2)'!K22</f>
        <v>●</v>
      </c>
      <c r="L23" s="26" t="str">
        <f>'[1]勤務表 (2)'!L22</f>
        <v/>
      </c>
      <c r="M23" s="26" t="str">
        <f>'[1]勤務表 (2)'!M22</f>
        <v/>
      </c>
      <c r="N23" s="26" t="str">
        <f>'[1]勤務表 (2)'!N22</f>
        <v/>
      </c>
      <c r="O23" s="26" t="str">
        <f>'[1]勤務表 (2)'!O22</f>
        <v/>
      </c>
      <c r="P23" s="26" t="str">
        <f>'[1]勤務表 (2)'!P22</f>
        <v/>
      </c>
      <c r="Q23" s="26" t="str">
        <f>'[1]勤務表 (2)'!Q22</f>
        <v>○</v>
      </c>
      <c r="R23" s="26" t="str">
        <f>'[1]勤務表 (2)'!R22</f>
        <v>●</v>
      </c>
      <c r="S23" s="26" t="str">
        <f>'[1]勤務表 (2)'!S22</f>
        <v/>
      </c>
      <c r="T23" s="26" t="str">
        <f>'[1]勤務表 (2)'!T22</f>
        <v/>
      </c>
      <c r="U23" s="26" t="str">
        <f>'[1]勤務表 (2)'!U22</f>
        <v/>
      </c>
      <c r="V23" s="26" t="str">
        <f>'[1]勤務表 (2)'!V22</f>
        <v/>
      </c>
      <c r="W23" s="26" t="str">
        <f>'[1]勤務表 (2)'!W22</f>
        <v/>
      </c>
      <c r="X23" s="26" t="str">
        <f>'[1]勤務表 (2)'!X22</f>
        <v>○</v>
      </c>
      <c r="Y23" s="26" t="str">
        <f>'[1]勤務表 (2)'!Y22</f>
        <v>●</v>
      </c>
      <c r="Z23" s="26" t="str">
        <f>'[1]勤務表 (2)'!Z22</f>
        <v/>
      </c>
      <c r="AA23" s="26" t="str">
        <f>'[1]勤務表 (2)'!AA22</f>
        <v/>
      </c>
      <c r="AB23" s="26" t="str">
        <f>'[1]勤務表 (2)'!AB22</f>
        <v/>
      </c>
      <c r="AC23" s="26" t="str">
        <f>'[1]勤務表 (2)'!AC22</f>
        <v/>
      </c>
      <c r="AD23" s="26" t="str">
        <f>'[1]勤務表 (2)'!AD22</f>
        <v/>
      </c>
      <c r="AE23" s="26" t="str">
        <f>'[1]勤務表 (2)'!AE22</f>
        <v>○</v>
      </c>
      <c r="AF23" s="26" t="str">
        <f>'[1]勤務表 (2)'!AF22</f>
        <v>●</v>
      </c>
      <c r="AG23" s="26" t="str">
        <f>'[1]勤務表 (2)'!AG22</f>
        <v/>
      </c>
      <c r="AH23" s="26" t="str">
        <f>'[1]勤務表 (2)'!AH22</f>
        <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2">
      <c r="A24" s="9">
        <f>'[1]勤務表 (2)'!A23</f>
        <v>21</v>
      </c>
      <c r="B24" s="9" t="str">
        <f>'[1]勤務表 (2)'!B23</f>
        <v>94908</v>
      </c>
      <c r="C24" s="74" t="str">
        <f>'[1]勤務表 (2)'!C23</f>
        <v>長迫 千寛</v>
      </c>
      <c r="D24" s="26" t="str">
        <f>'[1]勤務表 (2)'!D23</f>
        <v>●</v>
      </c>
      <c r="E24" s="26" t="str">
        <f>'[1]勤務表 (2)'!E23</f>
        <v/>
      </c>
      <c r="F24" s="26" t="str">
        <f>'[1]勤務表 (2)'!F23</f>
        <v/>
      </c>
      <c r="G24" s="26" t="str">
        <f>'[1]勤務表 (2)'!G23</f>
        <v/>
      </c>
      <c r="H24" s="26" t="str">
        <f>'[1]勤務表 (2)'!H23</f>
        <v/>
      </c>
      <c r="I24" s="26" t="str">
        <f>'[1]勤務表 (2)'!I23</f>
        <v/>
      </c>
      <c r="J24" s="26" t="str">
        <f>'[1]勤務表 (2)'!J23</f>
        <v>○</v>
      </c>
      <c r="K24" s="26" t="str">
        <f>'[1]勤務表 (2)'!K23</f>
        <v>●</v>
      </c>
      <c r="L24" s="26" t="str">
        <f>'[1]勤務表 (2)'!L23</f>
        <v/>
      </c>
      <c r="M24" s="26" t="str">
        <f>'[1]勤務表 (2)'!M23</f>
        <v/>
      </c>
      <c r="N24" s="26" t="str">
        <f>'[1]勤務表 (2)'!N23</f>
        <v/>
      </c>
      <c r="O24" s="26" t="str">
        <f>'[1]勤務表 (2)'!O23</f>
        <v/>
      </c>
      <c r="P24" s="26" t="str">
        <f>'[1]勤務表 (2)'!P23</f>
        <v/>
      </c>
      <c r="Q24" s="26" t="str">
        <f>'[1]勤務表 (2)'!Q23</f>
        <v>○</v>
      </c>
      <c r="R24" s="26" t="str">
        <f>'[1]勤務表 (2)'!R23</f>
        <v>●</v>
      </c>
      <c r="S24" s="26" t="str">
        <f>'[1]勤務表 (2)'!S23</f>
        <v/>
      </c>
      <c r="T24" s="26" t="str">
        <f>'[1]勤務表 (2)'!T23</f>
        <v/>
      </c>
      <c r="U24" s="26" t="str">
        <f>'[1]勤務表 (2)'!U23</f>
        <v/>
      </c>
      <c r="V24" s="26" t="str">
        <f>'[1]勤務表 (2)'!V23</f>
        <v/>
      </c>
      <c r="W24" s="26" t="str">
        <f>'[1]勤務表 (2)'!W23</f>
        <v/>
      </c>
      <c r="X24" s="26" t="str">
        <f>'[1]勤務表 (2)'!X23</f>
        <v>○</v>
      </c>
      <c r="Y24" s="26" t="str">
        <f>'[1]勤務表 (2)'!Y23</f>
        <v>●</v>
      </c>
      <c r="Z24" s="26" t="str">
        <f>'[1]勤務表 (2)'!Z23</f>
        <v/>
      </c>
      <c r="AA24" s="26" t="str">
        <f>'[1]勤務表 (2)'!AA23</f>
        <v/>
      </c>
      <c r="AB24" s="26" t="str">
        <f>'[1]勤務表 (2)'!AB23</f>
        <v/>
      </c>
      <c r="AC24" s="26" t="str">
        <f>'[1]勤務表 (2)'!AC23</f>
        <v/>
      </c>
      <c r="AD24" s="26" t="str">
        <f>'[1]勤務表 (2)'!AD23</f>
        <v/>
      </c>
      <c r="AE24" s="26" t="str">
        <f>'[1]勤務表 (2)'!AE23</f>
        <v>○</v>
      </c>
      <c r="AF24" s="26" t="str">
        <f>'[1]勤務表 (2)'!AF23</f>
        <v>●</v>
      </c>
      <c r="AG24" s="26" t="str">
        <f>'[1]勤務表 (2)'!AG23</f>
        <v/>
      </c>
      <c r="AH24" s="26" t="str">
        <f>'[1]勤務表 (2)'!AH23</f>
        <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2">
      <c r="A25" s="9">
        <f>'[1]勤務表 (2)'!A24</f>
        <v>22</v>
      </c>
      <c r="B25" s="9" t="str">
        <f>'[1]勤務表 (2)'!B24</f>
        <v>97974</v>
      </c>
      <c r="C25" s="74" t="e">
        <v>#REF!</v>
      </c>
      <c r="D25" s="26" t="str">
        <f>'[1]勤務表 (2)'!D24</f>
        <v>●</v>
      </c>
      <c r="E25" s="26" t="str">
        <f>'[1]勤務表 (2)'!E24</f>
        <v/>
      </c>
      <c r="F25" s="26" t="str">
        <f>'[1]勤務表 (2)'!F24</f>
        <v/>
      </c>
      <c r="G25" s="26" t="str">
        <f>'[1]勤務表 (2)'!G24</f>
        <v/>
      </c>
      <c r="H25" s="26" t="str">
        <f>'[1]勤務表 (2)'!H24</f>
        <v/>
      </c>
      <c r="I25" s="26" t="str">
        <f>'[1]勤務表 (2)'!I24</f>
        <v/>
      </c>
      <c r="J25" s="26" t="str">
        <f>'[1]勤務表 (2)'!J24</f>
        <v>○</v>
      </c>
      <c r="K25" s="26" t="str">
        <f>'[1]勤務表 (2)'!K24</f>
        <v>●</v>
      </c>
      <c r="L25" s="26" t="str">
        <f>'[1]勤務表 (2)'!L24</f>
        <v/>
      </c>
      <c r="M25" s="26" t="str">
        <f>'[1]勤務表 (2)'!M24</f>
        <v/>
      </c>
      <c r="N25" s="26" t="str">
        <f>'[1]勤務表 (2)'!N24</f>
        <v/>
      </c>
      <c r="O25" s="26" t="str">
        <f>'[1]勤務表 (2)'!O24</f>
        <v/>
      </c>
      <c r="P25" s="26" t="str">
        <f>'[1]勤務表 (2)'!P24</f>
        <v/>
      </c>
      <c r="Q25" s="26" t="str">
        <f>'[1]勤務表 (2)'!Q24</f>
        <v>○</v>
      </c>
      <c r="R25" s="26" t="str">
        <f>'[1]勤務表 (2)'!R24</f>
        <v>●</v>
      </c>
      <c r="S25" s="26" t="str">
        <f>'[1]勤務表 (2)'!S24</f>
        <v/>
      </c>
      <c r="T25" s="26" t="str">
        <f>'[1]勤務表 (2)'!T24</f>
        <v/>
      </c>
      <c r="U25" s="26" t="str">
        <f>'[1]勤務表 (2)'!U24</f>
        <v/>
      </c>
      <c r="V25" s="26" t="str">
        <f>'[1]勤務表 (2)'!V24</f>
        <v/>
      </c>
      <c r="W25" s="26" t="str">
        <f>'[1]勤務表 (2)'!W24</f>
        <v/>
      </c>
      <c r="X25" s="26" t="str">
        <f>'[1]勤務表 (2)'!X24</f>
        <v>○</v>
      </c>
      <c r="Y25" s="26" t="str">
        <f>'[1]勤務表 (2)'!Y24</f>
        <v>●</v>
      </c>
      <c r="Z25" s="26" t="str">
        <f>'[1]勤務表 (2)'!Z24</f>
        <v/>
      </c>
      <c r="AA25" s="26" t="str">
        <f>'[1]勤務表 (2)'!AA24</f>
        <v/>
      </c>
      <c r="AB25" s="26" t="str">
        <f>'[1]勤務表 (2)'!AB24</f>
        <v/>
      </c>
      <c r="AC25" s="26" t="str">
        <f>'[1]勤務表 (2)'!AC24</f>
        <v/>
      </c>
      <c r="AD25" s="26" t="str">
        <f>'[1]勤務表 (2)'!AD24</f>
        <v/>
      </c>
      <c r="AE25" s="26" t="str">
        <f>'[1]勤務表 (2)'!AE24</f>
        <v>○</v>
      </c>
      <c r="AF25" s="26" t="str">
        <f>'[1]勤務表 (2)'!AF24</f>
        <v>●</v>
      </c>
      <c r="AG25" s="26" t="str">
        <f>'[1]勤務表 (2)'!AG24</f>
        <v/>
      </c>
      <c r="AH25" s="26" t="str">
        <f>'[1]勤務表 (2)'!AH24</f>
        <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2">
      <c r="A26" s="9">
        <f>'[1]勤務表 (2)'!A25</f>
        <v>23</v>
      </c>
      <c r="B26" s="9" t="str">
        <f>'[1]勤務表 (2)'!B25</f>
        <v>109272</v>
      </c>
      <c r="C26" s="74" t="str">
        <f>'[1]勤務表 (2)'!C25</f>
        <v>齊藤 久紘</v>
      </c>
      <c r="D26" s="26" t="str">
        <f>'[1]勤務表 (2)'!D25</f>
        <v>●</v>
      </c>
      <c r="E26" s="26" t="str">
        <f>'[1]勤務表 (2)'!E25</f>
        <v/>
      </c>
      <c r="F26" s="26" t="str">
        <f>'[1]勤務表 (2)'!F25</f>
        <v/>
      </c>
      <c r="G26" s="26" t="str">
        <f>'[1]勤務表 (2)'!G25</f>
        <v/>
      </c>
      <c r="H26" s="26" t="str">
        <f>'[1]勤務表 (2)'!H25</f>
        <v/>
      </c>
      <c r="I26" s="26" t="str">
        <f>'[1]勤務表 (2)'!I25</f>
        <v/>
      </c>
      <c r="J26" s="26" t="str">
        <f>'[1]勤務表 (2)'!J25</f>
        <v>○</v>
      </c>
      <c r="K26" s="26" t="str">
        <f>'[1]勤務表 (2)'!K25</f>
        <v>●</v>
      </c>
      <c r="L26" s="26" t="str">
        <f>'[1]勤務表 (2)'!L25</f>
        <v/>
      </c>
      <c r="M26" s="26" t="str">
        <f>'[1]勤務表 (2)'!M25</f>
        <v/>
      </c>
      <c r="N26" s="26" t="str">
        <f>'[1]勤務表 (2)'!N25</f>
        <v/>
      </c>
      <c r="O26" s="26" t="str">
        <f>'[1]勤務表 (2)'!O25</f>
        <v/>
      </c>
      <c r="P26" s="26" t="str">
        <f>'[1]勤務表 (2)'!P25</f>
        <v/>
      </c>
      <c r="Q26" s="26" t="str">
        <f>'[1]勤務表 (2)'!Q25</f>
        <v>／</v>
      </c>
      <c r="R26" s="26" t="str">
        <f>'[1]勤務表 (2)'!R25</f>
        <v>●</v>
      </c>
      <c r="S26" s="26" t="str">
        <f>'[1]勤務表 (2)'!S25</f>
        <v/>
      </c>
      <c r="T26" s="26" t="str">
        <f>'[1]勤務表 (2)'!T25</f>
        <v/>
      </c>
      <c r="U26" s="26" t="str">
        <f>'[1]勤務表 (2)'!U25</f>
        <v/>
      </c>
      <c r="V26" s="26" t="str">
        <f>'[1]勤務表 (2)'!V25</f>
        <v/>
      </c>
      <c r="W26" s="26" t="str">
        <f>'[1]勤務表 (2)'!W25</f>
        <v/>
      </c>
      <c r="X26" s="26" t="str">
        <f>'[1]勤務表 (2)'!X25</f>
        <v>○</v>
      </c>
      <c r="Y26" s="26" t="str">
        <f>'[1]勤務表 (2)'!Y25</f>
        <v>●</v>
      </c>
      <c r="Z26" s="26" t="str">
        <f>'[1]勤務表 (2)'!Z25</f>
        <v/>
      </c>
      <c r="AA26" s="26" t="str">
        <f>'[1]勤務表 (2)'!AA25</f>
        <v/>
      </c>
      <c r="AB26" s="26" t="str">
        <f>'[1]勤務表 (2)'!AB25</f>
        <v/>
      </c>
      <c r="AC26" s="26" t="str">
        <f>'[1]勤務表 (2)'!AC25</f>
        <v/>
      </c>
      <c r="AD26" s="26" t="str">
        <f>'[1]勤務表 (2)'!AD25</f>
        <v/>
      </c>
      <c r="AE26" s="26" t="str">
        <f>'[1]勤務表 (2)'!AE25</f>
        <v>／</v>
      </c>
      <c r="AF26" s="26" t="str">
        <f>'[1]勤務表 (2)'!AF25</f>
        <v>●</v>
      </c>
      <c r="AG26" s="26" t="str">
        <f>'[1]勤務表 (2)'!AG25</f>
        <v/>
      </c>
      <c r="AH26" s="26" t="str">
        <f>'[1]勤務表 (2)'!AH25</f>
        <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2">
      <c r="A27" s="9">
        <f>'[1]勤務表 (2)'!A26</f>
        <v>24</v>
      </c>
      <c r="B27" s="9" t="str">
        <f>'[1]勤務表 (2)'!B26</f>
        <v>112499</v>
      </c>
      <c r="C27" s="74" t="str">
        <f>'[1]勤務表 (2)'!C26</f>
        <v>佐藤 恵梨子</v>
      </c>
      <c r="D27" s="26" t="str">
        <f>'[1]勤務表 (2)'!D26</f>
        <v>●</v>
      </c>
      <c r="E27" s="26" t="str">
        <f>'[1]勤務表 (2)'!E26</f>
        <v>当</v>
      </c>
      <c r="F27" s="26" t="str">
        <f>'[1]勤務表 (2)'!F26</f>
        <v>明</v>
      </c>
      <c r="G27" s="26" t="str">
        <f>'[1]勤務表 (2)'!G26</f>
        <v/>
      </c>
      <c r="H27" s="26" t="str">
        <f>'[1]勤務表 (2)'!H26</f>
        <v/>
      </c>
      <c r="I27" s="26" t="str">
        <f>'[1]勤務表 (2)'!I26</f>
        <v/>
      </c>
      <c r="J27" s="26" t="str">
        <f>'[1]勤務表 (2)'!J26</f>
        <v>／</v>
      </c>
      <c r="K27" s="26" t="str">
        <f>'[1]勤務表 (2)'!K26</f>
        <v>●</v>
      </c>
      <c r="L27" s="26" t="str">
        <f>'[1]勤務表 (2)'!L26</f>
        <v/>
      </c>
      <c r="M27" s="26" t="str">
        <f>'[1]勤務表 (2)'!M26</f>
        <v/>
      </c>
      <c r="N27" s="26" t="str">
        <f>'[1]勤務表 (2)'!N26</f>
        <v>当</v>
      </c>
      <c r="O27" s="26" t="str">
        <f>'[1]勤務表 (2)'!O26</f>
        <v>明</v>
      </c>
      <c r="P27" s="26" t="str">
        <f>'[1]勤務表 (2)'!P26</f>
        <v/>
      </c>
      <c r="Q27" s="26" t="str">
        <f>'[1]勤務表 (2)'!Q26</f>
        <v>○</v>
      </c>
      <c r="R27" s="26" t="str">
        <f>'[1]勤務表 (2)'!R26</f>
        <v>●</v>
      </c>
      <c r="S27" s="26" t="str">
        <f>'[1]勤務表 (2)'!S26</f>
        <v/>
      </c>
      <c r="T27" s="26" t="str">
        <f>'[1]勤務表 (2)'!T26</f>
        <v/>
      </c>
      <c r="U27" s="26" t="str">
        <f>'[1]勤務表 (2)'!U26</f>
        <v/>
      </c>
      <c r="V27" s="26" t="str">
        <f>'[1]勤務表 (2)'!V26</f>
        <v/>
      </c>
      <c r="W27" s="26" t="str">
        <f>'[1]勤務表 (2)'!W26</f>
        <v/>
      </c>
      <c r="X27" s="26" t="str">
        <f>'[1]勤務表 (2)'!X26</f>
        <v>／</v>
      </c>
      <c r="Y27" s="26" t="str">
        <f>'[1]勤務表 (2)'!Y26</f>
        <v>●</v>
      </c>
      <c r="Z27" s="26" t="str">
        <f>'[1]勤務表 (2)'!Z26</f>
        <v/>
      </c>
      <c r="AA27" s="26" t="str">
        <f>'[1]勤務表 (2)'!AA26</f>
        <v>当</v>
      </c>
      <c r="AB27" s="26" t="str">
        <f>'[1]勤務表 (2)'!AB26</f>
        <v>明</v>
      </c>
      <c r="AC27" s="26" t="str">
        <f>'[1]勤務表 (2)'!AC26</f>
        <v/>
      </c>
      <c r="AD27" s="26" t="str">
        <f>'[1]勤務表 (2)'!AD26</f>
        <v/>
      </c>
      <c r="AE27" s="26" t="str">
        <f>'[1]勤務表 (2)'!AE26</f>
        <v>○</v>
      </c>
      <c r="AF27" s="26" t="str">
        <f>'[1]勤務表 (2)'!AF26</f>
        <v>●</v>
      </c>
      <c r="AG27" s="26" t="str">
        <f>'[1]勤務表 (2)'!AG26</f>
        <v/>
      </c>
      <c r="AH27" s="26" t="str">
        <f>'[1]勤務表 (2)'!AH26</f>
        <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2">
      <c r="A28" s="9">
        <f>'[1]勤務表 (2)'!A27</f>
        <v>25</v>
      </c>
      <c r="B28" s="9" t="str">
        <f>'[1]勤務表 (2)'!B27</f>
        <v>114863</v>
      </c>
      <c r="C28" s="74" t="str">
        <f>'[1]勤務表 (2)'!C27</f>
        <v>加藤 靖博</v>
      </c>
      <c r="D28" s="26" t="str">
        <f>'[1]勤務表 (2)'!D27</f>
        <v>●</v>
      </c>
      <c r="E28" s="26" t="str">
        <f>'[1]勤務表 (2)'!E27</f>
        <v/>
      </c>
      <c r="F28" s="26" t="str">
        <f>'[1]勤務表 (2)'!F27</f>
        <v/>
      </c>
      <c r="G28" s="26" t="str">
        <f>'[1]勤務表 (2)'!G27</f>
        <v/>
      </c>
      <c r="H28" s="26" t="str">
        <f>'[1]勤務表 (2)'!H27</f>
        <v>当</v>
      </c>
      <c r="I28" s="26" t="str">
        <f>'[1]勤務表 (2)'!I27</f>
        <v>明</v>
      </c>
      <c r="J28" s="26" t="str">
        <f>'[1]勤務表 (2)'!J27</f>
        <v>○</v>
      </c>
      <c r="K28" s="26" t="str">
        <f>'[1]勤務表 (2)'!K27</f>
        <v>●</v>
      </c>
      <c r="L28" s="26" t="str">
        <f>'[1]勤務表 (2)'!L27</f>
        <v/>
      </c>
      <c r="M28" s="26" t="str">
        <f>'[1]勤務表 (2)'!M27</f>
        <v/>
      </c>
      <c r="N28" s="26" t="str">
        <f>'[1]勤務表 (2)'!N27</f>
        <v/>
      </c>
      <c r="O28" s="26" t="str">
        <f>'[1]勤務表 (2)'!O27</f>
        <v/>
      </c>
      <c r="P28" s="26" t="str">
        <f>'[1]勤務表 (2)'!P27</f>
        <v/>
      </c>
      <c r="Q28" s="26" t="str">
        <f>'[1]勤務表 (2)'!Q27</f>
        <v>当</v>
      </c>
      <c r="R28" s="26" t="str">
        <f>'[1]勤務表 (2)'!R27</f>
        <v>明</v>
      </c>
      <c r="S28" s="26" t="str">
        <f>'[1]勤務表 (2)'!S27</f>
        <v>●</v>
      </c>
      <c r="T28" s="26" t="str">
        <f>'[1]勤務表 (2)'!T27</f>
        <v/>
      </c>
      <c r="U28" s="26" t="str">
        <f>'[1]勤務表 (2)'!U27</f>
        <v/>
      </c>
      <c r="V28" s="26" t="str">
        <f>'[1]勤務表 (2)'!V27</f>
        <v>当</v>
      </c>
      <c r="W28" s="26" t="str">
        <f>'[1]勤務表 (2)'!W27</f>
        <v>明</v>
      </c>
      <c r="X28" s="26" t="str">
        <f>'[1]勤務表 (2)'!X27</f>
        <v>○</v>
      </c>
      <c r="Y28" s="26" t="str">
        <f>'[1]勤務表 (2)'!Y27</f>
        <v>●</v>
      </c>
      <c r="Z28" s="26" t="str">
        <f>'[1]勤務表 (2)'!Z27</f>
        <v/>
      </c>
      <c r="AA28" s="26" t="str">
        <f>'[1]勤務表 (2)'!AA27</f>
        <v/>
      </c>
      <c r="AB28" s="26" t="str">
        <f>'[1]勤務表 (2)'!AB27</f>
        <v/>
      </c>
      <c r="AC28" s="26" t="str">
        <f>'[1]勤務表 (2)'!AC27</f>
        <v/>
      </c>
      <c r="AD28" s="26" t="str">
        <f>'[1]勤務表 (2)'!AD27</f>
        <v/>
      </c>
      <c r="AE28" s="26" t="str">
        <f>'[1]勤務表 (2)'!AE27</f>
        <v>／</v>
      </c>
      <c r="AF28" s="26" t="str">
        <f>'[1]勤務表 (2)'!AF27</f>
        <v>●</v>
      </c>
      <c r="AG28" s="26" t="str">
        <f>'[1]勤務表 (2)'!AG27</f>
        <v/>
      </c>
      <c r="AH28" s="26" t="str">
        <f>'[1]勤務表 (2)'!AH27</f>
        <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2">
      <c r="A29" s="9">
        <f>'[1]勤務表 (2)'!A28</f>
        <v>26</v>
      </c>
      <c r="B29" s="9" t="str">
        <f>'[1]勤務表 (2)'!B28</f>
        <v>118857</v>
      </c>
      <c r="C29" s="74" t="str">
        <f>'[1]勤務表 (2)'!C28</f>
        <v>小川 穂波</v>
      </c>
      <c r="D29" s="26" t="str">
        <f>'[1]勤務表 (2)'!D28</f>
        <v>●</v>
      </c>
      <c r="E29" s="26" t="str">
        <f>'[1]勤務表 (2)'!E28</f>
        <v/>
      </c>
      <c r="F29" s="26" t="str">
        <f>'[1]勤務表 (2)'!F28</f>
        <v>当</v>
      </c>
      <c r="G29" s="26" t="str">
        <f>'[1]勤務表 (2)'!G28</f>
        <v>明</v>
      </c>
      <c r="H29" s="26" t="str">
        <f>'[1]勤務表 (2)'!H28</f>
        <v/>
      </c>
      <c r="I29" s="26" t="str">
        <f>'[1]勤務表 (2)'!I28</f>
        <v/>
      </c>
      <c r="J29" s="26" t="str">
        <f>'[1]勤務表 (2)'!J28</f>
        <v>／</v>
      </c>
      <c r="K29" s="26" t="str">
        <f>'[1]勤務表 (2)'!K28</f>
        <v>●</v>
      </c>
      <c r="L29" s="26" t="str">
        <f>'[1]勤務表 (2)'!L28</f>
        <v/>
      </c>
      <c r="M29" s="26" t="str">
        <f>'[1]勤務表 (2)'!M28</f>
        <v/>
      </c>
      <c r="N29" s="26" t="str">
        <f>'[1]勤務表 (2)'!N28</f>
        <v/>
      </c>
      <c r="O29" s="26" t="str">
        <f>'[1]勤務表 (2)'!O28</f>
        <v/>
      </c>
      <c r="P29" s="26" t="str">
        <f>'[1]勤務表 (2)'!P28</f>
        <v/>
      </c>
      <c r="Q29" s="26" t="str">
        <f>'[1]勤務表 (2)'!Q28</f>
        <v>○</v>
      </c>
      <c r="R29" s="26" t="str">
        <f>'[1]勤務表 (2)'!R28</f>
        <v>●</v>
      </c>
      <c r="S29" s="26" t="str">
        <f>'[1]勤務表 (2)'!S28</f>
        <v/>
      </c>
      <c r="T29" s="26" t="str">
        <f>'[1]勤務表 (2)'!T28</f>
        <v/>
      </c>
      <c r="U29" s="26" t="str">
        <f>'[1]勤務表 (2)'!U28</f>
        <v>当</v>
      </c>
      <c r="V29" s="26" t="str">
        <f>'[1]勤務表 (2)'!V28</f>
        <v>明</v>
      </c>
      <c r="W29" s="26" t="str">
        <f>'[1]勤務表 (2)'!W28</f>
        <v/>
      </c>
      <c r="X29" s="26" t="str">
        <f>'[1]勤務表 (2)'!X28</f>
        <v>／</v>
      </c>
      <c r="Y29" s="26" t="str">
        <f>'[1]勤務表 (2)'!Y28</f>
        <v>●</v>
      </c>
      <c r="Z29" s="26" t="str">
        <f>'[1]勤務表 (2)'!Z28</f>
        <v/>
      </c>
      <c r="AA29" s="26" t="str">
        <f>'[1]勤務表 (2)'!AA28</f>
        <v/>
      </c>
      <c r="AB29" s="26" t="str">
        <f>'[1]勤務表 (2)'!AB28</f>
        <v/>
      </c>
      <c r="AC29" s="26" t="str">
        <f>'[1]勤務表 (2)'!AC28</f>
        <v/>
      </c>
      <c r="AD29" s="26" t="str">
        <f>'[1]勤務表 (2)'!AD28</f>
        <v/>
      </c>
      <c r="AE29" s="26" t="str">
        <f>'[1]勤務表 (2)'!AE28</f>
        <v>○</v>
      </c>
      <c r="AF29" s="26" t="str">
        <f>'[1]勤務表 (2)'!AF28</f>
        <v>当</v>
      </c>
      <c r="AG29" s="26" t="str">
        <f>'[1]勤務表 (2)'!AG28</f>
        <v>明</v>
      </c>
      <c r="AH29" s="26" t="str">
        <f>'[1]勤務表 (2)'!AH28</f>
        <v>●</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2">
      <c r="A30" s="9">
        <f>'[1]勤務表 (2)'!A29</f>
        <v>27</v>
      </c>
      <c r="B30" s="9" t="str">
        <f>'[1]勤務表 (2)'!B29</f>
        <v>118869</v>
      </c>
      <c r="C30" s="74" t="str">
        <f>'[1]勤務表 (2)'!C29</f>
        <v>薬司 康平</v>
      </c>
      <c r="D30" s="26" t="str">
        <f>'[1]勤務表 (2)'!D29</f>
        <v>●</v>
      </c>
      <c r="E30" s="26" t="str">
        <f>'[1]勤務表 (2)'!E29</f>
        <v/>
      </c>
      <c r="F30" s="26" t="str">
        <f>'[1]勤務表 (2)'!F29</f>
        <v/>
      </c>
      <c r="G30" s="26" t="str">
        <f>'[1]勤務表 (2)'!G29</f>
        <v/>
      </c>
      <c r="H30" s="26" t="str">
        <f>'[1]勤務表 (2)'!H29</f>
        <v/>
      </c>
      <c r="I30" s="26" t="str">
        <f>'[1]勤務表 (2)'!I29</f>
        <v/>
      </c>
      <c r="J30" s="26" t="str">
        <f>'[1]勤務表 (2)'!J29</f>
        <v>○</v>
      </c>
      <c r="K30" s="26" t="str">
        <f>'[1]勤務表 (2)'!K29</f>
        <v>●</v>
      </c>
      <c r="L30" s="26" t="str">
        <f>'[1]勤務表 (2)'!L29</f>
        <v>当</v>
      </c>
      <c r="M30" s="26" t="str">
        <f>'[1]勤務表 (2)'!M29</f>
        <v>明</v>
      </c>
      <c r="N30" s="26" t="str">
        <f>'[1]勤務表 (2)'!N29</f>
        <v/>
      </c>
      <c r="O30" s="26" t="str">
        <f>'[1]勤務表 (2)'!O29</f>
        <v/>
      </c>
      <c r="P30" s="26" t="str">
        <f>'[1]勤務表 (2)'!P29</f>
        <v/>
      </c>
      <c r="Q30" s="26" t="str">
        <f>'[1]勤務表 (2)'!Q29</f>
        <v>／</v>
      </c>
      <c r="R30" s="26" t="str">
        <f>'[1]勤務表 (2)'!R29</f>
        <v>●</v>
      </c>
      <c r="S30" s="26" t="str">
        <f>'[1]勤務表 (2)'!S29</f>
        <v/>
      </c>
      <c r="T30" s="26" t="str">
        <f>'[1]勤務表 (2)'!T29</f>
        <v/>
      </c>
      <c r="U30" s="26" t="str">
        <f>'[1]勤務表 (2)'!U29</f>
        <v/>
      </c>
      <c r="V30" s="26" t="str">
        <f>'[1]勤務表 (2)'!V29</f>
        <v/>
      </c>
      <c r="W30" s="26" t="str">
        <f>'[1]勤務表 (2)'!W29</f>
        <v/>
      </c>
      <c r="X30" s="26" t="str">
        <f>'[1]勤務表 (2)'!X29</f>
        <v>○</v>
      </c>
      <c r="Y30" s="26" t="str">
        <f>'[1]勤務表 (2)'!Y29</f>
        <v>●</v>
      </c>
      <c r="Z30" s="26" t="str">
        <f>'[1]勤務表 (2)'!Z29</f>
        <v/>
      </c>
      <c r="AA30" s="26" t="str">
        <f>'[1]勤務表 (2)'!AA29</f>
        <v>当</v>
      </c>
      <c r="AB30" s="26" t="str">
        <f>'[1]勤務表 (2)'!AB29</f>
        <v>明</v>
      </c>
      <c r="AC30" s="26" t="str">
        <f>'[1]勤務表 (2)'!AC29</f>
        <v/>
      </c>
      <c r="AD30" s="26" t="str">
        <f>'[1]勤務表 (2)'!AD29</f>
        <v/>
      </c>
      <c r="AE30" s="26" t="str">
        <f>'[1]勤務表 (2)'!AE29</f>
        <v>／</v>
      </c>
      <c r="AF30" s="26" t="str">
        <f>'[1]勤務表 (2)'!AF29</f>
        <v>●</v>
      </c>
      <c r="AG30" s="26" t="str">
        <f>'[1]勤務表 (2)'!AG29</f>
        <v/>
      </c>
      <c r="AH30" s="26" t="str">
        <f>'[1]勤務表 (2)'!AH29</f>
        <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2">
      <c r="A31" s="9">
        <f>'[1]勤務表 (2)'!A30</f>
        <v>28</v>
      </c>
      <c r="B31" s="9" t="str">
        <f>'[1]勤務表 (2)'!B30</f>
        <v>122339</v>
      </c>
      <c r="C31" s="74" t="str">
        <f>'[1]勤務表 (2)'!C30</f>
        <v>西郡 健太</v>
      </c>
      <c r="D31" s="26" t="str">
        <f>'[1]勤務表 (2)'!D30</f>
        <v>●</v>
      </c>
      <c r="E31" s="26" t="str">
        <f>'[1]勤務表 (2)'!E30</f>
        <v/>
      </c>
      <c r="F31" s="26" t="str">
        <f>'[1]勤務表 (2)'!F30</f>
        <v/>
      </c>
      <c r="G31" s="26" t="str">
        <f>'[1]勤務表 (2)'!G30</f>
        <v/>
      </c>
      <c r="H31" s="26" t="str">
        <f>'[1]勤務表 (2)'!H30</f>
        <v/>
      </c>
      <c r="I31" s="26" t="str">
        <f>'[1]勤務表 (2)'!I30</f>
        <v>当</v>
      </c>
      <c r="J31" s="26" t="str">
        <f>'[1]勤務表 (2)'!J30</f>
        <v>明</v>
      </c>
      <c r="K31" s="26" t="str">
        <f>'[1]勤務表 (2)'!K30</f>
        <v>●</v>
      </c>
      <c r="L31" s="26" t="str">
        <f>'[1]勤務表 (2)'!L30</f>
        <v/>
      </c>
      <c r="M31" s="26" t="str">
        <f>'[1]勤務表 (2)'!M30</f>
        <v>当</v>
      </c>
      <c r="N31" s="26" t="str">
        <f>'[1]勤務表 (2)'!N30</f>
        <v>明</v>
      </c>
      <c r="O31" s="26" t="str">
        <f>'[1]勤務表 (2)'!O30</f>
        <v/>
      </c>
      <c r="P31" s="26" t="str">
        <f>'[1]勤務表 (2)'!P30</f>
        <v/>
      </c>
      <c r="Q31" s="26" t="str">
        <f>'[1]勤務表 (2)'!Q30</f>
        <v>○</v>
      </c>
      <c r="R31" s="26" t="str">
        <f>'[1]勤務表 (2)'!R30</f>
        <v>●</v>
      </c>
      <c r="S31" s="26" t="str">
        <f>'[1]勤務表 (2)'!S30</f>
        <v/>
      </c>
      <c r="T31" s="26" t="str">
        <f>'[1]勤務表 (2)'!T30</f>
        <v/>
      </c>
      <c r="U31" s="26" t="str">
        <f>'[1]勤務表 (2)'!U30</f>
        <v/>
      </c>
      <c r="V31" s="26" t="str">
        <f>'[1]勤務表 (2)'!V30</f>
        <v/>
      </c>
      <c r="W31" s="26" t="str">
        <f>'[1]勤務表 (2)'!W30</f>
        <v/>
      </c>
      <c r="X31" s="26" t="str">
        <f>'[1]勤務表 (2)'!X30</f>
        <v>当</v>
      </c>
      <c r="Y31" s="26" t="str">
        <f>'[1]勤務表 (2)'!Y30</f>
        <v>明</v>
      </c>
      <c r="Z31" s="26" t="str">
        <f>'[1]勤務表 (2)'!Z30</f>
        <v>●</v>
      </c>
      <c r="AA31" s="26" t="str">
        <f>'[1]勤務表 (2)'!AA30</f>
        <v/>
      </c>
      <c r="AB31" s="26" t="str">
        <f>'[1]勤務表 (2)'!AB30</f>
        <v/>
      </c>
      <c r="AC31" s="26" t="str">
        <f>'[1]勤務表 (2)'!AC30</f>
        <v/>
      </c>
      <c r="AD31" s="26" t="str">
        <f>'[1]勤務表 (2)'!AD30</f>
        <v/>
      </c>
      <c r="AE31" s="26" t="str">
        <f>'[1]勤務表 (2)'!AE30</f>
        <v>○</v>
      </c>
      <c r="AF31" s="26" t="str">
        <f>'[1]勤務表 (2)'!AF30</f>
        <v>●</v>
      </c>
      <c r="AG31" s="26" t="str">
        <f>'[1]勤務表 (2)'!AG30</f>
        <v/>
      </c>
      <c r="AH31" s="26" t="str">
        <f>'[1]勤務表 (2)'!AH30</f>
        <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2">
      <c r="A32" s="9">
        <f>'[1]勤務表 (2)'!A31</f>
        <v>29</v>
      </c>
      <c r="B32" s="9" t="str">
        <f>'[1]勤務表 (2)'!B31</f>
        <v>125642</v>
      </c>
      <c r="C32" s="74" t="str">
        <f>'[1]勤務表 (2)'!C31</f>
        <v>諸田 悠也</v>
      </c>
      <c r="D32" s="26" t="str">
        <f>'[1]勤務表 (2)'!D31</f>
        <v>●</v>
      </c>
      <c r="E32" s="26" t="str">
        <f>'[1]勤務表 (2)'!E31</f>
        <v/>
      </c>
      <c r="F32" s="26" t="str">
        <f>'[1]勤務表 (2)'!F31</f>
        <v/>
      </c>
      <c r="G32" s="26" t="str">
        <f>'[1]勤務表 (2)'!G31</f>
        <v/>
      </c>
      <c r="H32" s="26" t="str">
        <f>'[1]勤務表 (2)'!H31</f>
        <v>当</v>
      </c>
      <c r="I32" s="26" t="str">
        <f>'[1]勤務表 (2)'!I31</f>
        <v>明</v>
      </c>
      <c r="J32" s="26" t="str">
        <f>'[1]勤務表 (2)'!J31</f>
        <v>○</v>
      </c>
      <c r="K32" s="26" t="str">
        <f>'[1]勤務表 (2)'!K31</f>
        <v>●</v>
      </c>
      <c r="L32" s="26" t="str">
        <f>'[1]勤務表 (2)'!L31</f>
        <v/>
      </c>
      <c r="M32" s="26" t="str">
        <f>'[1]勤務表 (2)'!M31</f>
        <v/>
      </c>
      <c r="N32" s="26" t="str">
        <f>'[1]勤務表 (2)'!N31</f>
        <v/>
      </c>
      <c r="O32" s="26" t="str">
        <f>'[1]勤務表 (2)'!O31</f>
        <v/>
      </c>
      <c r="P32" s="26" t="str">
        <f>'[1]勤務表 (2)'!P31</f>
        <v/>
      </c>
      <c r="Q32" s="26" t="str">
        <f>'[1]勤務表 (2)'!Q31</f>
        <v>／</v>
      </c>
      <c r="R32" s="26" t="str">
        <f>'[1]勤務表 (2)'!R31</f>
        <v>●</v>
      </c>
      <c r="S32" s="26" t="str">
        <f>'[1]勤務表 (2)'!S31</f>
        <v/>
      </c>
      <c r="T32" s="26" t="str">
        <f>'[1]勤務表 (2)'!T31</f>
        <v>当</v>
      </c>
      <c r="U32" s="26" t="str">
        <f>'[1]勤務表 (2)'!U31</f>
        <v>明</v>
      </c>
      <c r="V32" s="26" t="str">
        <f>'[1]勤務表 (2)'!V31</f>
        <v/>
      </c>
      <c r="W32" s="26" t="str">
        <f>'[1]勤務表 (2)'!W31</f>
        <v/>
      </c>
      <c r="X32" s="26" t="str">
        <f>'[1]勤務表 (2)'!X31</f>
        <v>○</v>
      </c>
      <c r="Y32" s="26" t="str">
        <f>'[1]勤務表 (2)'!Y31</f>
        <v>●</v>
      </c>
      <c r="Z32" s="26" t="str">
        <f>'[1]勤務表 (2)'!Z31</f>
        <v/>
      </c>
      <c r="AA32" s="26" t="str">
        <f>'[1]勤務表 (2)'!AA31</f>
        <v/>
      </c>
      <c r="AB32" s="26" t="str">
        <f>'[1]勤務表 (2)'!AB31</f>
        <v/>
      </c>
      <c r="AC32" s="26" t="str">
        <f>'[1]勤務表 (2)'!AC31</f>
        <v/>
      </c>
      <c r="AD32" s="26" t="str">
        <f>'[1]勤務表 (2)'!AD31</f>
        <v/>
      </c>
      <c r="AE32" s="26" t="str">
        <f>'[1]勤務表 (2)'!AE31</f>
        <v>／</v>
      </c>
      <c r="AF32" s="26" t="str">
        <f>'[1]勤務表 (2)'!AF31</f>
        <v>●</v>
      </c>
      <c r="AG32" s="26" t="str">
        <f>'[1]勤務表 (2)'!AG31</f>
        <v/>
      </c>
      <c r="AH32" s="26" t="str">
        <f>'[1]勤務表 (2)'!AH31</f>
        <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0</v>
      </c>
      <c r="AY32" s="12">
        <f>IF(S32&lt;&gt;勤務変更!S32,1,0)</f>
        <v>0</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0</v>
      </c>
      <c r="BF32" s="12">
        <f>IF(Z32&lt;&gt;勤務変更!Z32,1,0)</f>
        <v>0</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0</v>
      </c>
      <c r="BP32" s="12" t="str">
        <f>IF(BR32="","",COUNTA(BR$4:BR32)-COUNTBLANK(BR$4:BR32))</f>
        <v/>
      </c>
      <c r="BQ32" s="12" t="str">
        <f t="shared" si="2"/>
        <v/>
      </c>
      <c r="BR32" s="12" t="str">
        <f t="shared" si="3"/>
        <v/>
      </c>
    </row>
    <row r="33" spans="1:70" ht="13.15" customHeight="1" x14ac:dyDescent="0.2">
      <c r="A33" s="9">
        <f>'[1]勤務表 (2)'!A32</f>
        <v>30</v>
      </c>
      <c r="B33" s="9" t="str">
        <f>'[1]勤務表 (2)'!B32</f>
        <v>130415</v>
      </c>
      <c r="C33" s="74" t="str">
        <f>'[1]勤務表 (2)'!C32</f>
        <v>樫田 尚</v>
      </c>
      <c r="D33" s="26" t="str">
        <f>'[1]勤務表 (2)'!D32</f>
        <v>●</v>
      </c>
      <c r="E33" s="26" t="str">
        <f>'[1]勤務表 (2)'!E32</f>
        <v/>
      </c>
      <c r="F33" s="26" t="str">
        <f>'[1]勤務表 (2)'!F32</f>
        <v/>
      </c>
      <c r="G33" s="26" t="str">
        <f>'[1]勤務表 (2)'!G32</f>
        <v/>
      </c>
      <c r="H33" s="26" t="str">
        <f>'[1]勤務表 (2)'!H32</f>
        <v/>
      </c>
      <c r="I33" s="26" t="str">
        <f>'[1]勤務表 (2)'!I32</f>
        <v/>
      </c>
      <c r="J33" s="26" t="str">
        <f>'[1]勤務表 (2)'!J32</f>
        <v>○</v>
      </c>
      <c r="K33" s="26" t="str">
        <f>'[1]勤務表 (2)'!K32</f>
        <v/>
      </c>
      <c r="L33" s="26" t="str">
        <f>'[1]勤務表 (2)'!L32</f>
        <v/>
      </c>
      <c r="M33" s="26" t="str">
        <f>'[1]勤務表 (2)'!M32</f>
        <v/>
      </c>
      <c r="N33" s="26" t="str">
        <f>'[1]勤務表 (2)'!N32</f>
        <v/>
      </c>
      <c r="O33" s="26" t="str">
        <f>'[1]勤務表 (2)'!O32</f>
        <v>当</v>
      </c>
      <c r="P33" s="26" t="str">
        <f>'[1]勤務表 (2)'!P32</f>
        <v>明</v>
      </c>
      <c r="Q33" s="26" t="str">
        <f>'[1]勤務表 (2)'!Q32</f>
        <v>／</v>
      </c>
      <c r="R33" s="26" t="str">
        <f>'[1]勤務表 (2)'!R32</f>
        <v>●</v>
      </c>
      <c r="S33" s="26" t="str">
        <f>'[1]勤務表 (2)'!S32</f>
        <v/>
      </c>
      <c r="T33" s="26" t="str">
        <f>'[1]勤務表 (2)'!T32</f>
        <v/>
      </c>
      <c r="U33" s="26" t="str">
        <f>'[1]勤務表 (2)'!U32</f>
        <v/>
      </c>
      <c r="V33" s="26" t="str">
        <f>'[1]勤務表 (2)'!V32</f>
        <v/>
      </c>
      <c r="W33" s="26" t="str">
        <f>'[1]勤務表 (2)'!W32</f>
        <v/>
      </c>
      <c r="X33" s="26" t="str">
        <f>'[1]勤務表 (2)'!X32</f>
        <v>○</v>
      </c>
      <c r="Y33" s="26" t="str">
        <f>'[1]勤務表 (2)'!Y32</f>
        <v>●</v>
      </c>
      <c r="Z33" s="26" t="str">
        <f>'[1]勤務表 (2)'!Z32</f>
        <v>当</v>
      </c>
      <c r="AA33" s="26" t="str">
        <f>'[1]勤務表 (2)'!AA32</f>
        <v>明</v>
      </c>
      <c r="AB33" s="26" t="str">
        <f>'[1]勤務表 (2)'!AB32</f>
        <v/>
      </c>
      <c r="AC33" s="26" t="str">
        <f>'[1]勤務表 (2)'!AC32</f>
        <v/>
      </c>
      <c r="AD33" s="26" t="str">
        <f>'[1]勤務表 (2)'!AD32</f>
        <v/>
      </c>
      <c r="AE33" s="26" t="str">
        <f>'[1]勤務表 (2)'!AE32</f>
        <v>／</v>
      </c>
      <c r="AF33" s="26" t="str">
        <f>'[1]勤務表 (2)'!AF32</f>
        <v>●</v>
      </c>
      <c r="AG33" s="26" t="str">
        <f>'[1]勤務表 (2)'!AG32</f>
        <v/>
      </c>
      <c r="AH33" s="26" t="str">
        <f>'[1]勤務表 (2)'!AH32</f>
        <v>当</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2">
      <c r="A34" s="9">
        <f>'[1]勤務表 (2)'!A33</f>
        <v>31</v>
      </c>
      <c r="B34" s="9" t="str">
        <f>'[1]勤務表 (2)'!B33</f>
        <v>130439</v>
      </c>
      <c r="C34" s="74" t="str">
        <f>'[1]勤務表 (2)'!C33</f>
        <v>福知 千佳</v>
      </c>
      <c r="D34" s="26" t="str">
        <f>'[1]勤務表 (2)'!D33</f>
        <v>●</v>
      </c>
      <c r="E34" s="26" t="str">
        <f>'[1]勤務表 (2)'!E33</f>
        <v/>
      </c>
      <c r="F34" s="26" t="str">
        <f>'[1]勤務表 (2)'!F33</f>
        <v/>
      </c>
      <c r="G34" s="26" t="str">
        <f>'[1]勤務表 (2)'!G33</f>
        <v/>
      </c>
      <c r="H34" s="26" t="str">
        <f>'[1]勤務表 (2)'!H33</f>
        <v/>
      </c>
      <c r="I34" s="26" t="str">
        <f>'[1]勤務表 (2)'!I33</f>
        <v/>
      </c>
      <c r="J34" s="26" t="str">
        <f>'[1]勤務表 (2)'!J33</f>
        <v>○</v>
      </c>
      <c r="K34" s="26" t="str">
        <f>'[1]勤務表 (2)'!K33</f>
        <v>●</v>
      </c>
      <c r="L34" s="26" t="str">
        <f>'[1]勤務表 (2)'!L33</f>
        <v/>
      </c>
      <c r="M34" s="26" t="str">
        <f>'[1]勤務表 (2)'!M33</f>
        <v/>
      </c>
      <c r="N34" s="26" t="str">
        <f>'[1]勤務表 (2)'!N33</f>
        <v/>
      </c>
      <c r="O34" s="26" t="str">
        <f>'[1]勤務表 (2)'!O33</f>
        <v/>
      </c>
      <c r="P34" s="26" t="str">
        <f>'[1]勤務表 (2)'!P33</f>
        <v/>
      </c>
      <c r="Q34" s="26" t="str">
        <f>'[1]勤務表 (2)'!Q33</f>
        <v>当</v>
      </c>
      <c r="R34" s="26" t="str">
        <f>'[1]勤務表 (2)'!R33</f>
        <v>明</v>
      </c>
      <c r="S34" s="26" t="str">
        <f>'[1]勤務表 (2)'!S33</f>
        <v>●</v>
      </c>
      <c r="T34" s="26" t="str">
        <f>'[1]勤務表 (2)'!T33</f>
        <v/>
      </c>
      <c r="U34" s="26" t="str">
        <f>'[1]勤務表 (2)'!U33</f>
        <v/>
      </c>
      <c r="V34" s="26" t="str">
        <f>'[1]勤務表 (2)'!V33</f>
        <v/>
      </c>
      <c r="W34" s="26" t="str">
        <f>'[1]勤務表 (2)'!W33</f>
        <v/>
      </c>
      <c r="X34" s="26" t="str">
        <f>'[1]勤務表 (2)'!X33</f>
        <v>○</v>
      </c>
      <c r="Y34" s="26" t="str">
        <f>'[1]勤務表 (2)'!Y33</f>
        <v>当</v>
      </c>
      <c r="Z34" s="26" t="str">
        <f>'[1]勤務表 (2)'!Z33</f>
        <v>明</v>
      </c>
      <c r="AA34" s="26" t="str">
        <f>'[1]勤務表 (2)'!AA33</f>
        <v>●</v>
      </c>
      <c r="AB34" s="26" t="str">
        <f>'[1]勤務表 (2)'!AB33</f>
        <v/>
      </c>
      <c r="AC34" s="26" t="str">
        <f>'[1]勤務表 (2)'!AC33</f>
        <v/>
      </c>
      <c r="AD34" s="26" t="str">
        <f>'[1]勤務表 (2)'!AD33</f>
        <v/>
      </c>
      <c r="AE34" s="26" t="str">
        <f>'[1]勤務表 (2)'!AE33</f>
        <v>／</v>
      </c>
      <c r="AF34" s="26" t="str">
        <f>'[1]勤務表 (2)'!AF33</f>
        <v>●</v>
      </c>
      <c r="AG34" s="26" t="str">
        <f>'[1]勤務表 (2)'!AG33</f>
        <v/>
      </c>
      <c r="AH34" s="26" t="str">
        <f>'[1]勤務表 (2)'!AH33</f>
        <v/>
      </c>
      <c r="AJ34" s="12">
        <f>IF(D34&lt;&gt;勤務変更!D34,1,0)</f>
        <v>0</v>
      </c>
      <c r="AK34" s="12">
        <f>IF(E34&lt;&gt;勤務変更!E34,1,0)</f>
        <v>0</v>
      </c>
      <c r="AL34" s="12">
        <f>IF(F34&lt;&gt;勤務変更!F34,1,0)</f>
        <v>0</v>
      </c>
      <c r="AM34" s="12">
        <f>IF(G34&lt;&gt;勤務変更!G34,1,0)</f>
        <v>0</v>
      </c>
      <c r="AN34" s="12">
        <f>IF(H34&lt;&gt;勤務変更!H34,1,0)</f>
        <v>0</v>
      </c>
      <c r="AO34" s="12">
        <f>IF(I34&lt;&gt;勤務変更!I34,1,0)</f>
        <v>0</v>
      </c>
      <c r="AP34" s="12">
        <f>IF(J34&lt;&gt;勤務変更!J34,1,0)</f>
        <v>0</v>
      </c>
      <c r="AQ34" s="12">
        <f>IF(K34&lt;&gt;勤務変更!K34,1,0)</f>
        <v>0</v>
      </c>
      <c r="AR34" s="12">
        <f>IF(L34&lt;&gt;勤務変更!L34,1,0)</f>
        <v>0</v>
      </c>
      <c r="AS34" s="12">
        <f>IF(M34&lt;&gt;勤務変更!M34,1,0)</f>
        <v>0</v>
      </c>
      <c r="AT34" s="12">
        <f>IF(N34&lt;&gt;勤務変更!N34,1,0)</f>
        <v>0</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0</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0</v>
      </c>
      <c r="BP34" s="12" t="str">
        <f>IF(BR34="","",COUNTA(BR$4:BR34)-COUNTBLANK(BR$4:BR34))</f>
        <v/>
      </c>
      <c r="BQ34" s="12" t="str">
        <f t="shared" si="2"/>
        <v/>
      </c>
      <c r="BR34" s="12" t="str">
        <f t="shared" si="3"/>
        <v/>
      </c>
    </row>
    <row r="35" spans="1:70" ht="13.15" customHeight="1" x14ac:dyDescent="0.2">
      <c r="A35" s="9">
        <f>'[1]勤務表 (2)'!A34</f>
        <v>32</v>
      </c>
      <c r="B35" s="9" t="str">
        <f>'[1]勤務表 (2)'!B34</f>
        <v>130441</v>
      </c>
      <c r="C35" s="74" t="str">
        <f>'[1]勤務表 (2)'!C34</f>
        <v>袋 隼哉</v>
      </c>
      <c r="D35" s="26" t="str">
        <f>'[1]勤務表 (2)'!D34</f>
        <v>●</v>
      </c>
      <c r="E35" s="26" t="str">
        <f>'[1]勤務表 (2)'!E34</f>
        <v/>
      </c>
      <c r="F35" s="26" t="str">
        <f>'[1]勤務表 (2)'!F34</f>
        <v/>
      </c>
      <c r="G35" s="26" t="str">
        <f>'[1]勤務表 (2)'!G34</f>
        <v>当</v>
      </c>
      <c r="H35" s="26" t="str">
        <f>'[1]勤務表 (2)'!H34</f>
        <v>明</v>
      </c>
      <c r="I35" s="26" t="str">
        <f>'[1]勤務表 (2)'!I34</f>
        <v/>
      </c>
      <c r="J35" s="26" t="str">
        <f>'[1]勤務表 (2)'!J34</f>
        <v>／</v>
      </c>
      <c r="K35" s="26" t="str">
        <f>'[1]勤務表 (2)'!K34</f>
        <v>●</v>
      </c>
      <c r="L35" s="26" t="str">
        <f>'[1]勤務表 (2)'!L34</f>
        <v/>
      </c>
      <c r="M35" s="26" t="str">
        <f>'[1]勤務表 (2)'!M34</f>
        <v/>
      </c>
      <c r="N35" s="26" t="str">
        <f>'[1]勤務表 (2)'!N34</f>
        <v/>
      </c>
      <c r="O35" s="26" t="str">
        <f>'[1]勤務表 (2)'!O34</f>
        <v/>
      </c>
      <c r="P35" s="26" t="str">
        <f>'[1]勤務表 (2)'!P34</f>
        <v/>
      </c>
      <c r="Q35" s="26" t="str">
        <f>'[1]勤務表 (2)'!Q34</f>
        <v>○</v>
      </c>
      <c r="R35" s="26" t="str">
        <f>'[1]勤務表 (2)'!R34</f>
        <v>●</v>
      </c>
      <c r="S35" s="26" t="str">
        <f>'[1]勤務表 (2)'!S34</f>
        <v>当</v>
      </c>
      <c r="T35" s="26" t="str">
        <f>'[1]勤務表 (2)'!T34</f>
        <v>明</v>
      </c>
      <c r="U35" s="26" t="str">
        <f>'[1]勤務表 (2)'!U34</f>
        <v/>
      </c>
      <c r="V35" s="26" t="str">
        <f>'[1]勤務表 (2)'!V34</f>
        <v/>
      </c>
      <c r="W35" s="26" t="str">
        <f>'[1]勤務表 (2)'!W34</f>
        <v/>
      </c>
      <c r="X35" s="26" t="str">
        <f>'[1]勤務表 (2)'!X34</f>
        <v>／</v>
      </c>
      <c r="Y35" s="26" t="str">
        <f>'[1]勤務表 (2)'!Y34</f>
        <v>●</v>
      </c>
      <c r="Z35" s="26" t="str">
        <f>'[1]勤務表 (2)'!Z34</f>
        <v/>
      </c>
      <c r="AA35" s="26" t="str">
        <f>'[1]勤務表 (2)'!AA34</f>
        <v/>
      </c>
      <c r="AB35" s="26" t="str">
        <f>'[1]勤務表 (2)'!AB34</f>
        <v/>
      </c>
      <c r="AC35" s="26" t="str">
        <f>'[1]勤務表 (2)'!AC34</f>
        <v/>
      </c>
      <c r="AD35" s="26" t="str">
        <f>'[1]勤務表 (2)'!AD34</f>
        <v/>
      </c>
      <c r="AE35" s="26" t="str">
        <f>'[1]勤務表 (2)'!AE34</f>
        <v>○</v>
      </c>
      <c r="AF35" s="26" t="str">
        <f>'[1]勤務表 (2)'!AF34</f>
        <v>当</v>
      </c>
      <c r="AG35" s="26" t="str">
        <f>'[1]勤務表 (2)'!AG34</f>
        <v>明</v>
      </c>
      <c r="AH35" s="26" t="str">
        <f>'[1]勤務表 (2)'!AH34</f>
        <v>●</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2">
      <c r="A36" s="9">
        <f>'[1]勤務表 (2)'!A35</f>
        <v>33</v>
      </c>
      <c r="B36" s="9" t="str">
        <f>'[1]勤務表 (2)'!B35</f>
        <v>130831</v>
      </c>
      <c r="C36" s="74" t="str">
        <f>'[1]勤務表 (2)'!C35</f>
        <v>雨池 凌也</v>
      </c>
      <c r="D36" s="26" t="str">
        <f>'[1]勤務表 (2)'!D35</f>
        <v>●</v>
      </c>
      <c r="E36" s="26" t="str">
        <f>'[1]勤務表 (2)'!E35</f>
        <v/>
      </c>
      <c r="F36" s="26" t="str">
        <f>'[1]勤務表 (2)'!F35</f>
        <v>当</v>
      </c>
      <c r="G36" s="26" t="str">
        <f>'[1]勤務表 (2)'!G35</f>
        <v>明</v>
      </c>
      <c r="H36" s="26" t="str">
        <f>'[1]勤務表 (2)'!H35</f>
        <v/>
      </c>
      <c r="I36" s="26" t="str">
        <f>'[1]勤務表 (2)'!I35</f>
        <v/>
      </c>
      <c r="J36" s="26" t="str">
        <f>'[1]勤務表 (2)'!J35</f>
        <v>○</v>
      </c>
      <c r="K36" s="26" t="str">
        <f>'[1]勤務表 (2)'!K35</f>
        <v>●</v>
      </c>
      <c r="L36" s="26" t="str">
        <f>'[1]勤務表 (2)'!L35</f>
        <v/>
      </c>
      <c r="M36" s="26" t="str">
        <f>'[1]勤務表 (2)'!M35</f>
        <v/>
      </c>
      <c r="N36" s="26" t="str">
        <f>'[1]勤務表 (2)'!N35</f>
        <v/>
      </c>
      <c r="O36" s="26" t="str">
        <f>'[1]勤務表 (2)'!O35</f>
        <v>当</v>
      </c>
      <c r="P36" s="26" t="str">
        <f>'[1]勤務表 (2)'!P35</f>
        <v>明</v>
      </c>
      <c r="Q36" s="26" t="str">
        <f>'[1]勤務表 (2)'!Q35</f>
        <v>／</v>
      </c>
      <c r="R36" s="26" t="str">
        <f>'[1]勤務表 (2)'!R35</f>
        <v>●</v>
      </c>
      <c r="S36" s="26" t="str">
        <f>'[1]勤務表 (2)'!S35</f>
        <v/>
      </c>
      <c r="T36" s="26" t="str">
        <f>'[1]勤務表 (2)'!T35</f>
        <v/>
      </c>
      <c r="U36" s="26" t="str">
        <f>'[1]勤務表 (2)'!U35</f>
        <v/>
      </c>
      <c r="V36" s="26" t="str">
        <f>'[1]勤務表 (2)'!V35</f>
        <v/>
      </c>
      <c r="W36" s="26" t="str">
        <f>'[1]勤務表 (2)'!W35</f>
        <v/>
      </c>
      <c r="X36" s="26" t="str">
        <f>'[1]勤務表 (2)'!X35</f>
        <v>○</v>
      </c>
      <c r="Y36" s="26" t="str">
        <f>'[1]勤務表 (2)'!Y35</f>
        <v>●</v>
      </c>
      <c r="Z36" s="26" t="str">
        <f>'[1]勤務表 (2)'!Z35</f>
        <v/>
      </c>
      <c r="AA36" s="26" t="str">
        <f>'[1]勤務表 (2)'!AA35</f>
        <v/>
      </c>
      <c r="AB36" s="26" t="str">
        <f>'[1]勤務表 (2)'!AB35</f>
        <v/>
      </c>
      <c r="AC36" s="26" t="str">
        <f>'[1]勤務表 (2)'!AC35</f>
        <v>当</v>
      </c>
      <c r="AD36" s="26" t="str">
        <f>'[1]勤務表 (2)'!AD35</f>
        <v>明</v>
      </c>
      <c r="AE36" s="26" t="str">
        <f>'[1]勤務表 (2)'!AE35</f>
        <v>／</v>
      </c>
      <c r="AF36" s="26" t="str">
        <f>'[1]勤務表 (2)'!AF35</f>
        <v>●</v>
      </c>
      <c r="AG36" s="26" t="str">
        <f>'[1]勤務表 (2)'!AG35</f>
        <v/>
      </c>
      <c r="AH36" s="26" t="str">
        <f>'[1]勤務表 (2)'!AH35</f>
        <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0</v>
      </c>
      <c r="AY36" s="12">
        <f>IF(S36&lt;&gt;勤務変更!S36,1,0)</f>
        <v>0</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0</v>
      </c>
      <c r="BF36" s="12">
        <f>IF(Z36&lt;&gt;勤務変更!Z36,1,0)</f>
        <v>0</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0</v>
      </c>
      <c r="BP36" s="12" t="str">
        <f>IF(BR36="","",COUNTA(BR$4:BR36)-COUNTBLANK(BR$4:BR36))</f>
        <v/>
      </c>
      <c r="BQ36" s="12" t="str">
        <f t="shared" si="2"/>
        <v/>
      </c>
      <c r="BR36" s="12" t="str">
        <f t="shared" si="3"/>
        <v/>
      </c>
    </row>
    <row r="37" spans="1:70" ht="13.15" customHeight="1" x14ac:dyDescent="0.2">
      <c r="A37" s="9">
        <f>'[1]勤務表 (2)'!A36</f>
        <v>34</v>
      </c>
      <c r="B37" s="9" t="str">
        <f>'[1]勤務表 (2)'!B36</f>
        <v>131603</v>
      </c>
      <c r="C37" s="74" t="str">
        <f>'[1]勤務表 (2)'!C36</f>
        <v>中川 大誠</v>
      </c>
      <c r="D37" s="26" t="str">
        <f>'[1]勤務表 (2)'!D36</f>
        <v>●</v>
      </c>
      <c r="E37" s="26" t="str">
        <f>'[1]勤務表 (2)'!E36</f>
        <v/>
      </c>
      <c r="F37" s="26" t="str">
        <f>'[1]勤務表 (2)'!F36</f>
        <v/>
      </c>
      <c r="G37" s="26" t="str">
        <f>'[1]勤務表 (2)'!G36</f>
        <v/>
      </c>
      <c r="H37" s="26" t="str">
        <f>'[1]勤務表 (2)'!H36</f>
        <v/>
      </c>
      <c r="I37" s="26" t="str">
        <f>'[1]勤務表 (2)'!I36</f>
        <v/>
      </c>
      <c r="J37" s="26" t="str">
        <f>'[1]勤務表 (2)'!J36</f>
        <v>○</v>
      </c>
      <c r="K37" s="26" t="str">
        <f>'[1]勤務表 (2)'!K36</f>
        <v>●</v>
      </c>
      <c r="L37" s="26" t="str">
        <f>'[1]勤務表 (2)'!L36</f>
        <v/>
      </c>
      <c r="M37" s="26" t="str">
        <f>'[1]勤務表 (2)'!M36</f>
        <v/>
      </c>
      <c r="N37" s="26" t="str">
        <f>'[1]勤務表 (2)'!N36</f>
        <v/>
      </c>
      <c r="O37" s="26" t="str">
        <f>'[1]勤務表 (2)'!O36</f>
        <v/>
      </c>
      <c r="P37" s="26" t="str">
        <f>'[1]勤務表 (2)'!P36</f>
        <v/>
      </c>
      <c r="Q37" s="26" t="str">
        <f>'[1]勤務表 (2)'!Q36</f>
        <v>○</v>
      </c>
      <c r="R37" s="26" t="str">
        <f>'[1]勤務表 (2)'!R36</f>
        <v>●</v>
      </c>
      <c r="S37" s="26" t="str">
        <f>'[1]勤務表 (2)'!S36</f>
        <v/>
      </c>
      <c r="T37" s="26" t="str">
        <f>'[1]勤務表 (2)'!T36</f>
        <v/>
      </c>
      <c r="U37" s="26" t="str">
        <f>'[1]勤務表 (2)'!U36</f>
        <v/>
      </c>
      <c r="V37" s="26" t="str">
        <f>'[1]勤務表 (2)'!V36</f>
        <v/>
      </c>
      <c r="W37" s="26" t="str">
        <f>'[1]勤務表 (2)'!W36</f>
        <v/>
      </c>
      <c r="X37" s="26" t="str">
        <f>'[1]勤務表 (2)'!X36</f>
        <v>○</v>
      </c>
      <c r="Y37" s="26" t="str">
        <f>'[1]勤務表 (2)'!Y36</f>
        <v>●</v>
      </c>
      <c r="Z37" s="26" t="str">
        <f>'[1]勤務表 (2)'!Z36</f>
        <v/>
      </c>
      <c r="AA37" s="26" t="str">
        <f>'[1]勤務表 (2)'!AA36</f>
        <v/>
      </c>
      <c r="AB37" s="26" t="str">
        <f>'[1]勤務表 (2)'!AB36</f>
        <v/>
      </c>
      <c r="AC37" s="26" t="str">
        <f>'[1]勤務表 (2)'!AC36</f>
        <v/>
      </c>
      <c r="AD37" s="26" t="str">
        <f>'[1]勤務表 (2)'!AD36</f>
        <v/>
      </c>
      <c r="AE37" s="26" t="str">
        <f>'[1]勤務表 (2)'!AE36</f>
        <v>○</v>
      </c>
      <c r="AF37" s="26" t="str">
        <f>'[1]勤務表 (2)'!AF36</f>
        <v>●</v>
      </c>
      <c r="AG37" s="26" t="str">
        <f>'[1]勤務表 (2)'!AG36</f>
        <v/>
      </c>
      <c r="AH37" s="26" t="str">
        <f>'[1]勤務表 (2)'!AH36</f>
        <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2">
      <c r="A38" s="9">
        <f>'[1]勤務表 (2)'!A37</f>
        <v>35</v>
      </c>
      <c r="B38" s="9" t="str">
        <f>'[1]勤務表 (2)'!B37</f>
        <v>138041</v>
      </c>
      <c r="C38" s="74" t="str">
        <f>'[1]勤務表 (2)'!C37</f>
        <v>清水 正生</v>
      </c>
      <c r="D38" s="26" t="str">
        <f>'[1]勤務表 (2)'!D37</f>
        <v>当</v>
      </c>
      <c r="E38" s="26" t="str">
        <f>'[1]勤務表 (2)'!E37</f>
        <v>明</v>
      </c>
      <c r="F38" s="26" t="str">
        <f>'[1]勤務表 (2)'!F37</f>
        <v>●</v>
      </c>
      <c r="G38" s="26" t="str">
        <f>'[1]勤務表 (2)'!G37</f>
        <v/>
      </c>
      <c r="H38" s="26" t="str">
        <f>'[1]勤務表 (2)'!H37</f>
        <v/>
      </c>
      <c r="I38" s="26" t="str">
        <f>'[1]勤務表 (2)'!I37</f>
        <v/>
      </c>
      <c r="J38" s="26" t="str">
        <f>'[1]勤務表 (2)'!J37</f>
        <v>／</v>
      </c>
      <c r="K38" s="26" t="str">
        <f>'[1]勤務表 (2)'!K37</f>
        <v>●</v>
      </c>
      <c r="L38" s="26" t="str">
        <f>'[1]勤務表 (2)'!L37</f>
        <v/>
      </c>
      <c r="M38" s="26" t="str">
        <f>'[1]勤務表 (2)'!M37</f>
        <v/>
      </c>
      <c r="N38" s="26" t="str">
        <f>'[1]勤務表 (2)'!N37</f>
        <v/>
      </c>
      <c r="O38" s="26" t="str">
        <f>'[1]勤務表 (2)'!O37</f>
        <v/>
      </c>
      <c r="P38" s="26" t="str">
        <f>'[1]勤務表 (2)'!P37</f>
        <v/>
      </c>
      <c r="Q38" s="26" t="str">
        <f>'[1]勤務表 (2)'!Q37</f>
        <v>○</v>
      </c>
      <c r="R38" s="26" t="str">
        <f>'[1]勤務表 (2)'!R37</f>
        <v>当</v>
      </c>
      <c r="S38" s="26" t="str">
        <f>'[1]勤務表 (2)'!S37</f>
        <v>明</v>
      </c>
      <c r="T38" s="26" t="str">
        <f>'[1]勤務表 (2)'!T37</f>
        <v>●</v>
      </c>
      <c r="U38" s="26" t="str">
        <f>'[1]勤務表 (2)'!U37</f>
        <v/>
      </c>
      <c r="V38" s="26" t="str">
        <f>'[1]勤務表 (2)'!V37</f>
        <v/>
      </c>
      <c r="W38" s="26" t="str">
        <f>'[1]勤務表 (2)'!W37</f>
        <v/>
      </c>
      <c r="X38" s="26" t="str">
        <f>'[1]勤務表 (2)'!X37</f>
        <v>／</v>
      </c>
      <c r="Y38" s="26" t="str">
        <f>'[1]勤務表 (2)'!Y37</f>
        <v>●</v>
      </c>
      <c r="Z38" s="26" t="str">
        <f>'[1]勤務表 (2)'!Z37</f>
        <v/>
      </c>
      <c r="AA38" s="26" t="str">
        <f>'[1]勤務表 (2)'!AA37</f>
        <v/>
      </c>
      <c r="AB38" s="26" t="str">
        <f>'[1]勤務表 (2)'!AB37</f>
        <v/>
      </c>
      <c r="AC38" s="26" t="str">
        <f>'[1]勤務表 (2)'!AC37</f>
        <v/>
      </c>
      <c r="AD38" s="26" t="str">
        <f>'[1]勤務表 (2)'!AD37</f>
        <v/>
      </c>
      <c r="AE38" s="26" t="str">
        <f>'[1]勤務表 (2)'!AE37</f>
        <v>○</v>
      </c>
      <c r="AF38" s="26" t="str">
        <f>'[1]勤務表 (2)'!AF37</f>
        <v>●</v>
      </c>
      <c r="AG38" s="26" t="str">
        <f>'[1]勤務表 (2)'!AG37</f>
        <v/>
      </c>
      <c r="AH38" s="26" t="str">
        <f>'[1]勤務表 (2)'!AH37</f>
        <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2">
      <c r="A39" s="9">
        <f>'[1]勤務表 (2)'!A38</f>
        <v>36</v>
      </c>
      <c r="B39" s="9" t="str">
        <f>'[1]勤務表 (2)'!B38</f>
        <v>138053</v>
      </c>
      <c r="C39" s="74" t="str">
        <f>'[1]勤務表 (2)'!C38</f>
        <v>菅野 祐萌</v>
      </c>
      <c r="D39" s="26" t="str">
        <f>'[1]勤務表 (2)'!D38</f>
        <v>●</v>
      </c>
      <c r="E39" s="26" t="str">
        <f>'[1]勤務表 (2)'!E38</f>
        <v/>
      </c>
      <c r="F39" s="26" t="str">
        <f>'[1]勤務表 (2)'!F38</f>
        <v/>
      </c>
      <c r="G39" s="26" t="str">
        <f>'[1]勤務表 (2)'!G38</f>
        <v/>
      </c>
      <c r="H39" s="26" t="str">
        <f>'[1]勤務表 (2)'!H38</f>
        <v/>
      </c>
      <c r="I39" s="26" t="str">
        <f>'[1]勤務表 (2)'!I38</f>
        <v/>
      </c>
      <c r="J39" s="26" t="str">
        <f>'[1]勤務表 (2)'!J38</f>
        <v>○</v>
      </c>
      <c r="K39" s="26" t="str">
        <f>'[1]勤務表 (2)'!K38</f>
        <v>●</v>
      </c>
      <c r="L39" s="26" t="str">
        <f>'[1]勤務表 (2)'!L38</f>
        <v/>
      </c>
      <c r="M39" s="26" t="str">
        <f>'[1]勤務表 (2)'!M38</f>
        <v/>
      </c>
      <c r="N39" s="26" t="str">
        <f>'[1]勤務表 (2)'!N38</f>
        <v/>
      </c>
      <c r="O39" s="26" t="str">
        <f>'[1]勤務表 (2)'!O38</f>
        <v/>
      </c>
      <c r="P39" s="26" t="str">
        <f>'[1]勤務表 (2)'!P38</f>
        <v>当</v>
      </c>
      <c r="Q39" s="26" t="str">
        <f>'[1]勤務表 (2)'!Q38</f>
        <v>明</v>
      </c>
      <c r="R39" s="26" t="str">
        <f>'[1]勤務表 (2)'!R38</f>
        <v>●</v>
      </c>
      <c r="S39" s="26" t="str">
        <f>'[1]勤務表 (2)'!S38</f>
        <v/>
      </c>
      <c r="T39" s="26" t="str">
        <f>'[1]勤務表 (2)'!T38</f>
        <v/>
      </c>
      <c r="U39" s="26" t="str">
        <f>'[1]勤務表 (2)'!U38</f>
        <v/>
      </c>
      <c r="V39" s="26" t="str">
        <f>'[1]勤務表 (2)'!V38</f>
        <v/>
      </c>
      <c r="W39" s="26" t="str">
        <f>'[1]勤務表 (2)'!W38</f>
        <v/>
      </c>
      <c r="X39" s="26" t="str">
        <f>'[1]勤務表 (2)'!X38</f>
        <v>○</v>
      </c>
      <c r="Y39" s="26" t="str">
        <f>'[1]勤務表 (2)'!Y38</f>
        <v/>
      </c>
      <c r="Z39" s="26" t="str">
        <f>'[1]勤務表 (2)'!Z38</f>
        <v/>
      </c>
      <c r="AA39" s="26" t="str">
        <f>'[1]勤務表 (2)'!AA38</f>
        <v/>
      </c>
      <c r="AB39" s="26" t="str">
        <f>'[1]勤務表 (2)'!AB38</f>
        <v/>
      </c>
      <c r="AC39" s="26" t="str">
        <f>'[1]勤務表 (2)'!AC38</f>
        <v/>
      </c>
      <c r="AD39" s="26" t="str">
        <f>'[1]勤務表 (2)'!AD38</f>
        <v>当</v>
      </c>
      <c r="AE39" s="26" t="str">
        <f>'[1]勤務表 (2)'!AE38</f>
        <v>明</v>
      </c>
      <c r="AF39" s="26" t="str">
        <f>'[1]勤務表 (2)'!AF38</f>
        <v>●</v>
      </c>
      <c r="AG39" s="26" t="str">
        <f>'[1]勤務表 (2)'!AG38</f>
        <v/>
      </c>
      <c r="AH39" s="26" t="str">
        <f>'[1]勤務表 (2)'!AH38</f>
        <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2">
      <c r="A40" s="9">
        <f>'[1]勤務表 (2)'!A39</f>
        <v>37</v>
      </c>
      <c r="B40" s="9" t="str">
        <f>'[1]勤務表 (2)'!B39</f>
        <v>142042</v>
      </c>
      <c r="C40" s="74" t="str">
        <f>'[1]勤務表 (2)'!C39</f>
        <v>別所 貴仁</v>
      </c>
      <c r="D40" s="26" t="str">
        <f>'[1]勤務表 (2)'!D39</f>
        <v>●</v>
      </c>
      <c r="E40" s="26" t="str">
        <f>'[1]勤務表 (2)'!E39</f>
        <v/>
      </c>
      <c r="F40" s="26" t="str">
        <f>'[1]勤務表 (2)'!F39</f>
        <v/>
      </c>
      <c r="G40" s="26" t="str">
        <f>'[1]勤務表 (2)'!G39</f>
        <v/>
      </c>
      <c r="H40" s="26" t="str">
        <f>'[1]勤務表 (2)'!H39</f>
        <v/>
      </c>
      <c r="I40" s="26" t="str">
        <f>'[1]勤務表 (2)'!I39</f>
        <v/>
      </c>
      <c r="J40" s="26" t="str">
        <f>'[1]勤務表 (2)'!J39</f>
        <v>当</v>
      </c>
      <c r="K40" s="26" t="str">
        <f>'[1]勤務表 (2)'!K39</f>
        <v>明</v>
      </c>
      <c r="L40" s="26" t="str">
        <f>'[1]勤務表 (2)'!L39</f>
        <v>●</v>
      </c>
      <c r="M40" s="26" t="str">
        <f>'[1]勤務表 (2)'!M39</f>
        <v/>
      </c>
      <c r="N40" s="26" t="str">
        <f>'[1]勤務表 (2)'!N39</f>
        <v/>
      </c>
      <c r="O40" s="26" t="str">
        <f>'[1]勤務表 (2)'!O39</f>
        <v/>
      </c>
      <c r="P40" s="26" t="str">
        <f>'[1]勤務表 (2)'!P39</f>
        <v/>
      </c>
      <c r="Q40" s="26" t="str">
        <f>'[1]勤務表 (2)'!Q39</f>
        <v>○</v>
      </c>
      <c r="R40" s="26" t="str">
        <f>'[1]勤務表 (2)'!R39</f>
        <v>●</v>
      </c>
      <c r="S40" s="26" t="str">
        <f>'[1]勤務表 (2)'!S39</f>
        <v/>
      </c>
      <c r="T40" s="26" t="str">
        <f>'[1]勤務表 (2)'!T39</f>
        <v/>
      </c>
      <c r="U40" s="26" t="str">
        <f>'[1]勤務表 (2)'!U39</f>
        <v>当</v>
      </c>
      <c r="V40" s="26" t="str">
        <f>'[1]勤務表 (2)'!V39</f>
        <v>明</v>
      </c>
      <c r="W40" s="26" t="str">
        <f>'[1]勤務表 (2)'!W39</f>
        <v/>
      </c>
      <c r="X40" s="26" t="str">
        <f>'[1]勤務表 (2)'!X39</f>
        <v>／</v>
      </c>
      <c r="Y40" s="26" t="str">
        <f>'[1]勤務表 (2)'!Y39</f>
        <v>●</v>
      </c>
      <c r="Z40" s="26" t="str">
        <f>'[1]勤務表 (2)'!Z39</f>
        <v/>
      </c>
      <c r="AA40" s="26" t="str">
        <f>'[1]勤務表 (2)'!AA39</f>
        <v/>
      </c>
      <c r="AB40" s="26" t="str">
        <f>'[1]勤務表 (2)'!AB39</f>
        <v>当</v>
      </c>
      <c r="AC40" s="26" t="str">
        <f>'[1]勤務表 (2)'!AC39</f>
        <v>明</v>
      </c>
      <c r="AD40" s="26" t="str">
        <f>'[1]勤務表 (2)'!AD39</f>
        <v/>
      </c>
      <c r="AE40" s="26" t="str">
        <f>'[1]勤務表 (2)'!AE39</f>
        <v>○</v>
      </c>
      <c r="AF40" s="26" t="str">
        <f>'[1]勤務表 (2)'!AF39</f>
        <v>●</v>
      </c>
      <c r="AG40" s="26" t="str">
        <f>'[1]勤務表 (2)'!AG39</f>
        <v>当</v>
      </c>
      <c r="AH40" s="26" t="str">
        <f>'[1]勤務表 (2)'!AH39</f>
        <v>明</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2">
      <c r="A41" s="9">
        <f>'[1]勤務表 (2)'!A40</f>
        <v>38</v>
      </c>
      <c r="B41" s="9" t="str">
        <f>'[1]勤務表 (2)'!B40</f>
        <v>145410</v>
      </c>
      <c r="C41" s="74" t="str">
        <f>'[1]勤務表 (2)'!C40</f>
        <v>坂下 大知</v>
      </c>
      <c r="D41" s="26" t="str">
        <f>'[1]勤務表 (2)'!D40</f>
        <v>●</v>
      </c>
      <c r="E41" s="26" t="str">
        <f>'[1]勤務表 (2)'!E40</f>
        <v/>
      </c>
      <c r="F41" s="26" t="str">
        <f>'[1]勤務表 (2)'!F40</f>
        <v/>
      </c>
      <c r="G41" s="26" t="str">
        <f>'[1]勤務表 (2)'!G40</f>
        <v/>
      </c>
      <c r="H41" s="26" t="str">
        <f>'[1]勤務表 (2)'!H40</f>
        <v/>
      </c>
      <c r="I41" s="26" t="str">
        <f>'[1]勤務表 (2)'!I40</f>
        <v/>
      </c>
      <c r="J41" s="26" t="str">
        <f>'[1]勤務表 (2)'!J40</f>
        <v>／</v>
      </c>
      <c r="K41" s="26" t="str">
        <f>'[1]勤務表 (2)'!K40</f>
        <v>●</v>
      </c>
      <c r="L41" s="26" t="str">
        <f>'[1]勤務表 (2)'!L40</f>
        <v/>
      </c>
      <c r="M41" s="26" t="str">
        <f>'[1]勤務表 (2)'!M40</f>
        <v/>
      </c>
      <c r="N41" s="26" t="str">
        <f>'[1]勤務表 (2)'!N40</f>
        <v/>
      </c>
      <c r="O41" s="26" t="str">
        <f>'[1]勤務表 (2)'!O40</f>
        <v/>
      </c>
      <c r="P41" s="26" t="str">
        <f>'[1]勤務表 (2)'!P40</f>
        <v/>
      </c>
      <c r="Q41" s="26" t="str">
        <f>'[1]勤務表 (2)'!Q40</f>
        <v>○</v>
      </c>
      <c r="R41" s="26" t="str">
        <f>'[1]勤務表 (2)'!R40</f>
        <v>●</v>
      </c>
      <c r="S41" s="26" t="str">
        <f>'[1]勤務表 (2)'!S40</f>
        <v/>
      </c>
      <c r="T41" s="26" t="str">
        <f>'[1]勤務表 (2)'!T40</f>
        <v/>
      </c>
      <c r="U41" s="26" t="str">
        <f>'[1]勤務表 (2)'!U40</f>
        <v/>
      </c>
      <c r="V41" s="26" t="str">
        <f>'[1]勤務表 (2)'!V40</f>
        <v/>
      </c>
      <c r="W41" s="26" t="str">
        <f>'[1]勤務表 (2)'!W40</f>
        <v/>
      </c>
      <c r="X41" s="26" t="str">
        <f>'[1]勤務表 (2)'!X40</f>
        <v>／</v>
      </c>
      <c r="Y41" s="26" t="str">
        <f>'[1]勤務表 (2)'!Y40</f>
        <v>●</v>
      </c>
      <c r="Z41" s="26" t="str">
        <f>'[1]勤務表 (2)'!Z40</f>
        <v/>
      </c>
      <c r="AA41" s="26" t="str">
        <f>'[1]勤務表 (2)'!AA40</f>
        <v/>
      </c>
      <c r="AB41" s="26" t="str">
        <f>'[1]勤務表 (2)'!AB40</f>
        <v/>
      </c>
      <c r="AC41" s="26" t="str">
        <f>'[1]勤務表 (2)'!AC40</f>
        <v/>
      </c>
      <c r="AD41" s="26" t="str">
        <f>'[1]勤務表 (2)'!AD40</f>
        <v/>
      </c>
      <c r="AE41" s="26" t="str">
        <f>'[1]勤務表 (2)'!AE40</f>
        <v>○</v>
      </c>
      <c r="AF41" s="26" t="str">
        <f>'[1]勤務表 (2)'!AF40</f>
        <v>●</v>
      </c>
      <c r="AG41" s="26" t="str">
        <f>'[1]勤務表 (2)'!AG40</f>
        <v/>
      </c>
      <c r="AH41" s="26" t="str">
        <f>'[1]勤務表 (2)'!AH40</f>
        <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2">
      <c r="A42" s="9" t="str">
        <f>'[1]勤務表 (2)'!A41</f>
        <v/>
      </c>
      <c r="B42" s="9">
        <f>'[1]勤務表 (2)'!B41</f>
        <v>0</v>
      </c>
      <c r="C42" s="74">
        <f>'[1]勤務表 (2)'!C41</f>
        <v>0</v>
      </c>
      <c r="D42" s="26" t="str">
        <f>'[1]勤務表 (2)'!D41</f>
        <v/>
      </c>
      <c r="E42" s="26" t="str">
        <f>'[1]勤務表 (2)'!E41</f>
        <v/>
      </c>
      <c r="F42" s="26" t="str">
        <f>'[1]勤務表 (2)'!F41</f>
        <v/>
      </c>
      <c r="G42" s="26" t="str">
        <f>'[1]勤務表 (2)'!G41</f>
        <v/>
      </c>
      <c r="H42" s="26" t="str">
        <f>'[1]勤務表 (2)'!H41</f>
        <v/>
      </c>
      <c r="I42" s="26" t="str">
        <f>'[1]勤務表 (2)'!I41</f>
        <v/>
      </c>
      <c r="J42" s="26" t="str">
        <f>'[1]勤務表 (2)'!J41</f>
        <v/>
      </c>
      <c r="K42" s="26" t="str">
        <f>'[1]勤務表 (2)'!K41</f>
        <v/>
      </c>
      <c r="L42" s="26" t="str">
        <f>'[1]勤務表 (2)'!L41</f>
        <v/>
      </c>
      <c r="M42" s="26" t="str">
        <f>'[1]勤務表 (2)'!M41</f>
        <v/>
      </c>
      <c r="N42" s="26" t="str">
        <f>'[1]勤務表 (2)'!N41</f>
        <v/>
      </c>
      <c r="O42" s="26" t="str">
        <f>'[1]勤務表 (2)'!O41</f>
        <v/>
      </c>
      <c r="P42" s="26" t="str">
        <f>'[1]勤務表 (2)'!P41</f>
        <v/>
      </c>
      <c r="Q42" s="26" t="str">
        <f>'[1]勤務表 (2)'!Q41</f>
        <v/>
      </c>
      <c r="R42" s="26" t="str">
        <f>'[1]勤務表 (2)'!R41</f>
        <v/>
      </c>
      <c r="S42" s="26" t="str">
        <f>'[1]勤務表 (2)'!S41</f>
        <v/>
      </c>
      <c r="T42" s="26" t="str">
        <f>'[1]勤務表 (2)'!T41</f>
        <v/>
      </c>
      <c r="U42" s="26" t="str">
        <f>'[1]勤務表 (2)'!U41</f>
        <v/>
      </c>
      <c r="V42" s="26" t="str">
        <f>'[1]勤務表 (2)'!V41</f>
        <v/>
      </c>
      <c r="W42" s="26" t="str">
        <f>'[1]勤務表 (2)'!W41</f>
        <v/>
      </c>
      <c r="X42" s="26" t="str">
        <f>'[1]勤務表 (2)'!X41</f>
        <v/>
      </c>
      <c r="Y42" s="26" t="str">
        <f>'[1]勤務表 (2)'!Y41</f>
        <v/>
      </c>
      <c r="Z42" s="26" t="str">
        <f>'[1]勤務表 (2)'!Z41</f>
        <v/>
      </c>
      <c r="AA42" s="26" t="str">
        <f>'[1]勤務表 (2)'!AA41</f>
        <v/>
      </c>
      <c r="AB42" s="26" t="str">
        <f>'[1]勤務表 (2)'!AB41</f>
        <v/>
      </c>
      <c r="AC42" s="26" t="str">
        <f>'[1]勤務表 (2)'!AC41</f>
        <v/>
      </c>
      <c r="AD42" s="26" t="str">
        <f>'[1]勤務表 (2)'!AD41</f>
        <v/>
      </c>
      <c r="AE42" s="26" t="str">
        <f>'[1]勤務表 (2)'!AE41</f>
        <v/>
      </c>
      <c r="AF42" s="26" t="str">
        <f>'[1]勤務表 (2)'!AF41</f>
        <v/>
      </c>
      <c r="AG42" s="26" t="str">
        <f>'[1]勤務表 (2)'!AG41</f>
        <v/>
      </c>
      <c r="AH42" s="26" t="str">
        <f>'[1]勤務表 (2)'!AH41</f>
        <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2">
      <c r="A43" s="9" t="str">
        <f>'[1]勤務表 (2)'!A42</f>
        <v/>
      </c>
      <c r="B43" s="9">
        <f>'[1]勤務表 (2)'!B42</f>
        <v>0</v>
      </c>
      <c r="C43" s="74">
        <f>'[1]勤務表 (2)'!C42</f>
        <v>0</v>
      </c>
      <c r="D43" s="26" t="str">
        <f>'[1]勤務表 (2)'!D42</f>
        <v/>
      </c>
      <c r="E43" s="26" t="str">
        <f>'[1]勤務表 (2)'!E42</f>
        <v/>
      </c>
      <c r="F43" s="26" t="str">
        <f>'[1]勤務表 (2)'!F42</f>
        <v/>
      </c>
      <c r="G43" s="26" t="str">
        <f>'[1]勤務表 (2)'!G42</f>
        <v/>
      </c>
      <c r="H43" s="26" t="str">
        <f>'[1]勤務表 (2)'!H42</f>
        <v/>
      </c>
      <c r="I43" s="26" t="str">
        <f>'[1]勤務表 (2)'!I42</f>
        <v/>
      </c>
      <c r="J43" s="26" t="str">
        <f>'[1]勤務表 (2)'!J42</f>
        <v/>
      </c>
      <c r="K43" s="26" t="str">
        <f>'[1]勤務表 (2)'!K42</f>
        <v/>
      </c>
      <c r="L43" s="26" t="str">
        <f>'[1]勤務表 (2)'!L42</f>
        <v/>
      </c>
      <c r="M43" s="26" t="str">
        <f>'[1]勤務表 (2)'!M42</f>
        <v/>
      </c>
      <c r="N43" s="26">
        <f>'[1]勤務表 (2)'!N42</f>
        <v>0</v>
      </c>
      <c r="O43" s="26" t="str">
        <f>'[1]勤務表 (2)'!O42</f>
        <v/>
      </c>
      <c r="P43" s="26" t="str">
        <f>'[1]勤務表 (2)'!P42</f>
        <v/>
      </c>
      <c r="Q43" s="26" t="str">
        <f>'[1]勤務表 (2)'!Q42</f>
        <v/>
      </c>
      <c r="R43" s="26" t="str">
        <f>'[1]勤務表 (2)'!R42</f>
        <v/>
      </c>
      <c r="S43" s="26" t="str">
        <f>'[1]勤務表 (2)'!S42</f>
        <v/>
      </c>
      <c r="T43" s="26" t="str">
        <f>'[1]勤務表 (2)'!T42</f>
        <v/>
      </c>
      <c r="U43" s="26" t="str">
        <f>'[1]勤務表 (2)'!U42</f>
        <v/>
      </c>
      <c r="V43" s="26" t="str">
        <f>'[1]勤務表 (2)'!V42</f>
        <v/>
      </c>
      <c r="W43" s="26" t="str">
        <f>'[1]勤務表 (2)'!W42</f>
        <v/>
      </c>
      <c r="X43" s="26" t="str">
        <f>'[1]勤務表 (2)'!X42</f>
        <v/>
      </c>
      <c r="Y43" s="26" t="str">
        <f>'[1]勤務表 (2)'!Y42</f>
        <v/>
      </c>
      <c r="Z43" s="26" t="str">
        <f>'[1]勤務表 (2)'!Z42</f>
        <v/>
      </c>
      <c r="AA43" s="26" t="str">
        <f>'[1]勤務表 (2)'!AA42</f>
        <v/>
      </c>
      <c r="AB43" s="26" t="str">
        <f>'[1]勤務表 (2)'!AB42</f>
        <v/>
      </c>
      <c r="AC43" s="26" t="str">
        <f>'[1]勤務表 (2)'!AC42</f>
        <v/>
      </c>
      <c r="AD43" s="26" t="str">
        <f>'[1]勤務表 (2)'!AD42</f>
        <v/>
      </c>
      <c r="AE43" s="26" t="str">
        <f>'[1]勤務表 (2)'!AE42</f>
        <v/>
      </c>
      <c r="AF43" s="26" t="str">
        <f>'[1]勤務表 (2)'!AF42</f>
        <v/>
      </c>
      <c r="AG43" s="26" t="str">
        <f>'[1]勤務表 (2)'!AG42</f>
        <v/>
      </c>
      <c r="AH43" s="26" t="str">
        <f>'[1]勤務表 (2)'!AH42</f>
        <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2">
      <c r="A44" s="9" t="str">
        <f>'[1]勤務表 (2)'!A43</f>
        <v/>
      </c>
      <c r="B44" s="9">
        <f>'[1]勤務表 (2)'!B43</f>
        <v>0</v>
      </c>
      <c r="C44" s="74">
        <f>'[1]勤務表 (2)'!C43</f>
        <v>0</v>
      </c>
      <c r="D44" s="26" t="str">
        <f>'[1]勤務表 (2)'!D43</f>
        <v/>
      </c>
      <c r="E44" s="26" t="str">
        <f>'[1]勤務表 (2)'!E43</f>
        <v/>
      </c>
      <c r="F44" s="26" t="str">
        <f>'[1]勤務表 (2)'!F43</f>
        <v/>
      </c>
      <c r="G44" s="26" t="str">
        <f>'[1]勤務表 (2)'!G43</f>
        <v/>
      </c>
      <c r="H44" s="26" t="str">
        <f>'[1]勤務表 (2)'!H43</f>
        <v/>
      </c>
      <c r="I44" s="26" t="str">
        <f>'[1]勤務表 (2)'!I43</f>
        <v/>
      </c>
      <c r="J44" s="26" t="str">
        <f>'[1]勤務表 (2)'!J43</f>
        <v/>
      </c>
      <c r="K44" s="26" t="str">
        <f>'[1]勤務表 (2)'!K43</f>
        <v/>
      </c>
      <c r="L44" s="26" t="str">
        <f>'[1]勤務表 (2)'!L43</f>
        <v/>
      </c>
      <c r="M44" s="26" t="str">
        <f>'[1]勤務表 (2)'!M43</f>
        <v/>
      </c>
      <c r="N44" s="26">
        <f>'[1]勤務表 (2)'!N43</f>
        <v>0</v>
      </c>
      <c r="O44" s="26" t="str">
        <f>'[1]勤務表 (2)'!O43</f>
        <v/>
      </c>
      <c r="P44" s="26" t="str">
        <f>'[1]勤務表 (2)'!P43</f>
        <v/>
      </c>
      <c r="Q44" s="26" t="str">
        <f>'[1]勤務表 (2)'!Q43</f>
        <v/>
      </c>
      <c r="R44" s="26" t="str">
        <f>'[1]勤務表 (2)'!R43</f>
        <v/>
      </c>
      <c r="S44" s="26" t="str">
        <f>'[1]勤務表 (2)'!S43</f>
        <v/>
      </c>
      <c r="T44" s="26" t="str">
        <f>'[1]勤務表 (2)'!T43</f>
        <v/>
      </c>
      <c r="U44" s="26" t="str">
        <f>'[1]勤務表 (2)'!U43</f>
        <v/>
      </c>
      <c r="V44" s="26" t="str">
        <f>'[1]勤務表 (2)'!V43</f>
        <v/>
      </c>
      <c r="W44" s="26" t="str">
        <f>'[1]勤務表 (2)'!W43</f>
        <v/>
      </c>
      <c r="X44" s="26" t="str">
        <f>'[1]勤務表 (2)'!X43</f>
        <v/>
      </c>
      <c r="Y44" s="26" t="str">
        <f>'[1]勤務表 (2)'!Y43</f>
        <v/>
      </c>
      <c r="Z44" s="26" t="str">
        <f>'[1]勤務表 (2)'!Z43</f>
        <v/>
      </c>
      <c r="AA44" s="26" t="str">
        <f>'[1]勤務表 (2)'!AA43</f>
        <v/>
      </c>
      <c r="AB44" s="26" t="str">
        <f>'[1]勤務表 (2)'!AB43</f>
        <v/>
      </c>
      <c r="AC44" s="26" t="str">
        <f>'[1]勤務表 (2)'!AC43</f>
        <v/>
      </c>
      <c r="AD44" s="26" t="str">
        <f>'[1]勤務表 (2)'!AD43</f>
        <v/>
      </c>
      <c r="AE44" s="26" t="str">
        <f>'[1]勤務表 (2)'!AE43</f>
        <v/>
      </c>
      <c r="AF44" s="26" t="str">
        <f>'[1]勤務表 (2)'!AF43</f>
        <v/>
      </c>
      <c r="AG44" s="26" t="str">
        <f>'[1]勤務表 (2)'!AG43</f>
        <v/>
      </c>
      <c r="AH44" s="26" t="str">
        <f>'[1]勤務表 (2)'!AH43</f>
        <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2">
      <c r="A45" s="9" t="str">
        <f>'[1]勤務表 (2)'!A44</f>
        <v/>
      </c>
      <c r="B45" s="9">
        <f>'[1]勤務表 (2)'!B44</f>
        <v>0</v>
      </c>
      <c r="C45" s="74">
        <f>'[1]勤務表 (2)'!C44</f>
        <v>0</v>
      </c>
      <c r="D45" s="26" t="str">
        <f>'[1]勤務表 (2)'!D44</f>
        <v/>
      </c>
      <c r="E45" s="26" t="str">
        <f>'[1]勤務表 (2)'!E44</f>
        <v/>
      </c>
      <c r="F45" s="26" t="str">
        <f>'[1]勤務表 (2)'!F44</f>
        <v/>
      </c>
      <c r="G45" s="26" t="str">
        <f>'[1]勤務表 (2)'!G44</f>
        <v/>
      </c>
      <c r="H45" s="26" t="str">
        <f>'[1]勤務表 (2)'!H44</f>
        <v/>
      </c>
      <c r="I45" s="26" t="str">
        <f>'[1]勤務表 (2)'!I44</f>
        <v/>
      </c>
      <c r="J45" s="26" t="str">
        <f>'[1]勤務表 (2)'!J44</f>
        <v/>
      </c>
      <c r="K45" s="26" t="str">
        <f>'[1]勤務表 (2)'!K44</f>
        <v/>
      </c>
      <c r="L45" s="26" t="str">
        <f>'[1]勤務表 (2)'!L44</f>
        <v/>
      </c>
      <c r="M45" s="26" t="str">
        <f>'[1]勤務表 (2)'!M44</f>
        <v/>
      </c>
      <c r="N45" s="26">
        <f>'[1]勤務表 (2)'!N44</f>
        <v>0</v>
      </c>
      <c r="O45" s="26" t="str">
        <f>'[1]勤務表 (2)'!O44</f>
        <v/>
      </c>
      <c r="P45" s="26" t="str">
        <f>'[1]勤務表 (2)'!P44</f>
        <v/>
      </c>
      <c r="Q45" s="26" t="str">
        <f>'[1]勤務表 (2)'!Q44</f>
        <v/>
      </c>
      <c r="R45" s="26" t="str">
        <f>'[1]勤務表 (2)'!R44</f>
        <v/>
      </c>
      <c r="S45" s="26" t="str">
        <f>'[1]勤務表 (2)'!S44</f>
        <v/>
      </c>
      <c r="T45" s="26" t="str">
        <f>'[1]勤務表 (2)'!T44</f>
        <v/>
      </c>
      <c r="U45" s="26" t="str">
        <f>'[1]勤務表 (2)'!U44</f>
        <v/>
      </c>
      <c r="V45" s="26" t="str">
        <f>'[1]勤務表 (2)'!V44</f>
        <v/>
      </c>
      <c r="W45" s="26" t="str">
        <f>'[1]勤務表 (2)'!W44</f>
        <v/>
      </c>
      <c r="X45" s="26" t="str">
        <f>'[1]勤務表 (2)'!X44</f>
        <v/>
      </c>
      <c r="Y45" s="26" t="str">
        <f>'[1]勤務表 (2)'!Y44</f>
        <v/>
      </c>
      <c r="Z45" s="26" t="str">
        <f>'[1]勤務表 (2)'!Z44</f>
        <v/>
      </c>
      <c r="AA45" s="26" t="str">
        <f>'[1]勤務表 (2)'!AA44</f>
        <v/>
      </c>
      <c r="AB45" s="26" t="str">
        <f>'[1]勤務表 (2)'!AB44</f>
        <v/>
      </c>
      <c r="AC45" s="26" t="str">
        <f>'[1]勤務表 (2)'!AC44</f>
        <v/>
      </c>
      <c r="AD45" s="26" t="str">
        <f>'[1]勤務表 (2)'!AD44</f>
        <v/>
      </c>
      <c r="AE45" s="26" t="str">
        <f>'[1]勤務表 (2)'!AE44</f>
        <v/>
      </c>
      <c r="AF45" s="26" t="str">
        <f>'[1]勤務表 (2)'!AF44</f>
        <v/>
      </c>
      <c r="AG45" s="26" t="str">
        <f>'[1]勤務表 (2)'!AG44</f>
        <v/>
      </c>
      <c r="AH45" s="26" t="str">
        <f>'[1]勤務表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2">
      <c r="A46" s="9" t="str">
        <f>'[1]勤務表 (2)'!A45</f>
        <v/>
      </c>
      <c r="B46" s="9">
        <f>'[1]勤務表 (2)'!B45</f>
        <v>0</v>
      </c>
      <c r="C46" s="74">
        <f>'[1]勤務表 (2)'!C45</f>
        <v>0</v>
      </c>
      <c r="D46" s="24" t="str">
        <f>'[1]勤務表 (2)'!D45</f>
        <v/>
      </c>
      <c r="E46" s="18" t="str">
        <f>'[1]勤務表 (2)'!E45</f>
        <v/>
      </c>
      <c r="F46" s="18" t="str">
        <f>'[1]勤務表 (2)'!F45</f>
        <v/>
      </c>
      <c r="G46" s="18" t="str">
        <f>'[1]勤務表 (2)'!G45</f>
        <v/>
      </c>
      <c r="H46" s="18" t="str">
        <f>'[1]勤務表 (2)'!H45</f>
        <v/>
      </c>
      <c r="I46" s="26" t="str">
        <f>'[1]勤務表 (2)'!I45</f>
        <v/>
      </c>
      <c r="J46" s="18" t="str">
        <f>'[1]勤務表 (2)'!J45</f>
        <v/>
      </c>
      <c r="K46" s="18" t="str">
        <f>'[1]勤務表 (2)'!K45</f>
        <v/>
      </c>
      <c r="L46" s="18" t="str">
        <f>'[1]勤務表 (2)'!L45</f>
        <v/>
      </c>
      <c r="M46" s="18" t="str">
        <f>'[1]勤務表 (2)'!M45</f>
        <v/>
      </c>
      <c r="N46" s="18">
        <f>'[1]勤務表 (2)'!N45</f>
        <v>0</v>
      </c>
      <c r="O46" s="18" t="str">
        <f>'[1]勤務表 (2)'!O45</f>
        <v/>
      </c>
      <c r="P46" s="18" t="str">
        <f>'[1]勤務表 (2)'!P45</f>
        <v/>
      </c>
      <c r="Q46" s="18" t="str">
        <f>'[1]勤務表 (2)'!Q45</f>
        <v/>
      </c>
      <c r="R46" s="18" t="str">
        <f>'[1]勤務表 (2)'!R45</f>
        <v/>
      </c>
      <c r="S46" s="18" t="str">
        <f>'[1]勤務表 (2)'!S45</f>
        <v/>
      </c>
      <c r="T46" s="18" t="str">
        <f>'[1]勤務表 (2)'!T45</f>
        <v/>
      </c>
      <c r="U46" s="18" t="str">
        <f>'[1]勤務表 (2)'!U45</f>
        <v/>
      </c>
      <c r="V46" s="18" t="str">
        <f>'[1]勤務表 (2)'!V45</f>
        <v/>
      </c>
      <c r="W46" s="18" t="str">
        <f>'[1]勤務表 (2)'!W45</f>
        <v/>
      </c>
      <c r="X46" s="18" t="str">
        <f>'[1]勤務表 (2)'!X45</f>
        <v/>
      </c>
      <c r="Y46" s="18" t="str">
        <f>'[1]勤務表 (2)'!Y45</f>
        <v/>
      </c>
      <c r="Z46" s="18" t="str">
        <f>'[1]勤務表 (2)'!Z45</f>
        <v/>
      </c>
      <c r="AA46" s="18" t="str">
        <f>'[1]勤務表 (2)'!AA45</f>
        <v/>
      </c>
      <c r="AB46" s="18" t="str">
        <f>'[1]勤務表 (2)'!AB45</f>
        <v/>
      </c>
      <c r="AC46" s="18" t="str">
        <f>'[1]勤務表 (2)'!AC45</f>
        <v/>
      </c>
      <c r="AD46" s="18" t="str">
        <f>'[1]勤務表 (2)'!AD45</f>
        <v/>
      </c>
      <c r="AE46" s="18" t="str">
        <f>'[1]勤務表 (2)'!AE45</f>
        <v/>
      </c>
      <c r="AF46" s="18" t="str">
        <f>'[1]勤務表 (2)'!AF45</f>
        <v/>
      </c>
      <c r="AG46" s="18" t="str">
        <f>'[1]勤務表 (2)'!AG45</f>
        <v/>
      </c>
      <c r="AH46" s="17" t="str">
        <f>'[1]勤務表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2">
      <c r="A47" s="9" t="s">
        <v>44</v>
      </c>
      <c r="B47" s="19" t="s">
        <v>44</v>
      </c>
      <c r="C47" s="75" t="s">
        <v>44</v>
      </c>
      <c r="D47" s="20" t="s">
        <v>44</v>
      </c>
      <c r="E47" s="11" t="s">
        <v>44</v>
      </c>
      <c r="F47" s="11" t="s">
        <v>44</v>
      </c>
      <c r="G47" s="11" t="s">
        <v>44</v>
      </c>
      <c r="H47" s="11" t="s">
        <v>44</v>
      </c>
      <c r="I47" s="11" t="s">
        <v>44</v>
      </c>
      <c r="J47" s="11" t="s">
        <v>44</v>
      </c>
      <c r="K47" s="11" t="s">
        <v>44</v>
      </c>
      <c r="L47" s="11" t="s">
        <v>44</v>
      </c>
      <c r="M47" s="11" t="s">
        <v>44</v>
      </c>
      <c r="N47" s="11" t="s">
        <v>44</v>
      </c>
      <c r="O47" s="11" t="s">
        <v>44</v>
      </c>
      <c r="P47" s="11" t="s">
        <v>44</v>
      </c>
      <c r="Q47" s="11" t="s">
        <v>44</v>
      </c>
      <c r="R47" s="11" t="s">
        <v>44</v>
      </c>
      <c r="S47" s="11" t="s">
        <v>44</v>
      </c>
      <c r="T47" s="11" t="s">
        <v>44</v>
      </c>
      <c r="U47" s="11" t="s">
        <v>44</v>
      </c>
      <c r="V47" s="11" t="s">
        <v>44</v>
      </c>
      <c r="W47" s="11" t="s">
        <v>44</v>
      </c>
      <c r="X47" s="11" t="s">
        <v>44</v>
      </c>
      <c r="Y47" s="11" t="s">
        <v>44</v>
      </c>
      <c r="Z47" s="11" t="s">
        <v>44</v>
      </c>
      <c r="AA47" s="11" t="s">
        <v>44</v>
      </c>
      <c r="AB47" s="11" t="s">
        <v>44</v>
      </c>
      <c r="AC47" s="11" t="s">
        <v>44</v>
      </c>
      <c r="AD47" s="11" t="s">
        <v>44</v>
      </c>
      <c r="AE47" s="11" t="s">
        <v>44</v>
      </c>
      <c r="AF47" s="11" t="s">
        <v>44</v>
      </c>
      <c r="AG47" s="11" t="s">
        <v>44</v>
      </c>
      <c r="AH47" s="10" t="s">
        <v>44</v>
      </c>
      <c r="BQ47" s="12" t="str">
        <f t="shared" si="2"/>
        <v/>
      </c>
      <c r="BR47" s="12" t="str">
        <f>IF(BO47&lt;&gt;"",C47,"")</f>
        <v/>
      </c>
    </row>
    <row r="48" spans="1:70" ht="13.15" customHeight="1" x14ac:dyDescent="0.2">
      <c r="A48" s="13" t="s">
        <v>44</v>
      </c>
      <c r="B48" s="21" t="s">
        <v>44</v>
      </c>
      <c r="C48" s="76" t="s">
        <v>44</v>
      </c>
      <c r="D48" s="22" t="s">
        <v>44</v>
      </c>
      <c r="E48" s="15" t="s">
        <v>44</v>
      </c>
      <c r="F48" s="15" t="s">
        <v>44</v>
      </c>
      <c r="G48" s="15" t="s">
        <v>44</v>
      </c>
      <c r="H48" s="15" t="s">
        <v>44</v>
      </c>
      <c r="I48" s="15" t="s">
        <v>44</v>
      </c>
      <c r="J48" s="15" t="s">
        <v>44</v>
      </c>
      <c r="K48" s="15" t="s">
        <v>44</v>
      </c>
      <c r="L48" s="15" t="s">
        <v>44</v>
      </c>
      <c r="M48" s="15" t="s">
        <v>44</v>
      </c>
      <c r="N48" s="15" t="s">
        <v>44</v>
      </c>
      <c r="O48" s="15" t="s">
        <v>44</v>
      </c>
      <c r="P48" s="15" t="s">
        <v>44</v>
      </c>
      <c r="Q48" s="15" t="s">
        <v>44</v>
      </c>
      <c r="R48" s="15" t="s">
        <v>44</v>
      </c>
      <c r="S48" s="15" t="s">
        <v>44</v>
      </c>
      <c r="T48" s="15" t="s">
        <v>44</v>
      </c>
      <c r="U48" s="15" t="s">
        <v>44</v>
      </c>
      <c r="V48" s="15" t="s">
        <v>44</v>
      </c>
      <c r="W48" s="15" t="s">
        <v>44</v>
      </c>
      <c r="X48" s="15" t="s">
        <v>44</v>
      </c>
      <c r="Y48" s="15" t="s">
        <v>44</v>
      </c>
      <c r="Z48" s="15" t="s">
        <v>44</v>
      </c>
      <c r="AA48" s="15" t="s">
        <v>44</v>
      </c>
      <c r="AB48" s="15" t="s">
        <v>44</v>
      </c>
      <c r="AC48" s="15" t="s">
        <v>44</v>
      </c>
      <c r="AD48" s="15" t="s">
        <v>44</v>
      </c>
      <c r="AE48" s="15" t="s">
        <v>44</v>
      </c>
      <c r="AF48" s="15" t="s">
        <v>44</v>
      </c>
      <c r="AG48" s="15" t="s">
        <v>44</v>
      </c>
      <c r="AH48" s="14" t="s">
        <v>44</v>
      </c>
      <c r="BQ48" s="12" t="str">
        <f t="shared" si="2"/>
        <v/>
      </c>
    </row>
    <row r="49" spans="1:69" ht="13.15" customHeight="1" x14ac:dyDescent="0.2">
      <c r="A49" s="13" t="s">
        <v>44</v>
      </c>
      <c r="B49" s="21" t="s">
        <v>44</v>
      </c>
      <c r="C49" s="76" t="s">
        <v>44</v>
      </c>
      <c r="D49" s="22" t="s">
        <v>44</v>
      </c>
      <c r="E49" s="15" t="s">
        <v>44</v>
      </c>
      <c r="F49" s="15" t="s">
        <v>44</v>
      </c>
      <c r="G49" s="15" t="s">
        <v>44</v>
      </c>
      <c r="H49" s="15" t="s">
        <v>44</v>
      </c>
      <c r="I49" s="15" t="s">
        <v>44</v>
      </c>
      <c r="J49" s="15" t="s">
        <v>44</v>
      </c>
      <c r="K49" s="15" t="s">
        <v>44</v>
      </c>
      <c r="L49" s="15" t="s">
        <v>44</v>
      </c>
      <c r="M49" s="15" t="s">
        <v>44</v>
      </c>
      <c r="N49" s="15" t="s">
        <v>44</v>
      </c>
      <c r="O49" s="15" t="s">
        <v>44</v>
      </c>
      <c r="P49" s="15" t="s">
        <v>44</v>
      </c>
      <c r="Q49" s="15" t="s">
        <v>44</v>
      </c>
      <c r="R49" s="15" t="s">
        <v>44</v>
      </c>
      <c r="S49" s="15" t="s">
        <v>44</v>
      </c>
      <c r="T49" s="15" t="s">
        <v>44</v>
      </c>
      <c r="U49" s="15" t="s">
        <v>44</v>
      </c>
      <c r="V49" s="15" t="s">
        <v>44</v>
      </c>
      <c r="W49" s="15" t="s">
        <v>44</v>
      </c>
      <c r="X49" s="15" t="s">
        <v>44</v>
      </c>
      <c r="Y49" s="15" t="s">
        <v>44</v>
      </c>
      <c r="Z49" s="15" t="s">
        <v>44</v>
      </c>
      <c r="AA49" s="15" t="s">
        <v>44</v>
      </c>
      <c r="AB49" s="15" t="s">
        <v>44</v>
      </c>
      <c r="AC49" s="15" t="s">
        <v>44</v>
      </c>
      <c r="AD49" s="15" t="s">
        <v>44</v>
      </c>
      <c r="AE49" s="15" t="s">
        <v>44</v>
      </c>
      <c r="AF49" s="15" t="s">
        <v>44</v>
      </c>
      <c r="AG49" s="15" t="s">
        <v>44</v>
      </c>
      <c r="AH49" s="14" t="s">
        <v>44</v>
      </c>
      <c r="BQ49" s="12" t="str">
        <f t="shared" si="2"/>
        <v/>
      </c>
    </row>
    <row r="50" spans="1:69" ht="13.15" customHeight="1" x14ac:dyDescent="0.2">
      <c r="A50" s="13" t="s">
        <v>44</v>
      </c>
      <c r="B50" s="21" t="s">
        <v>44</v>
      </c>
      <c r="C50" s="76" t="s">
        <v>44</v>
      </c>
      <c r="D50" s="22" t="s">
        <v>44</v>
      </c>
      <c r="E50" s="15" t="s">
        <v>44</v>
      </c>
      <c r="F50" s="15" t="s">
        <v>44</v>
      </c>
      <c r="G50" s="15" t="s">
        <v>44</v>
      </c>
      <c r="H50" s="15" t="s">
        <v>44</v>
      </c>
      <c r="I50" s="15" t="s">
        <v>44</v>
      </c>
      <c r="J50" s="15" t="s">
        <v>44</v>
      </c>
      <c r="K50" s="15" t="s">
        <v>44</v>
      </c>
      <c r="L50" s="15" t="s">
        <v>44</v>
      </c>
      <c r="M50" s="15" t="s">
        <v>44</v>
      </c>
      <c r="N50" s="15" t="s">
        <v>44</v>
      </c>
      <c r="O50" s="15" t="s">
        <v>44</v>
      </c>
      <c r="P50" s="15" t="s">
        <v>44</v>
      </c>
      <c r="Q50" s="15" t="s">
        <v>44</v>
      </c>
      <c r="R50" s="15" t="s">
        <v>44</v>
      </c>
      <c r="S50" s="15" t="s">
        <v>44</v>
      </c>
      <c r="T50" s="15" t="s">
        <v>44</v>
      </c>
      <c r="U50" s="15" t="s">
        <v>44</v>
      </c>
      <c r="V50" s="15" t="s">
        <v>44</v>
      </c>
      <c r="W50" s="15" t="s">
        <v>44</v>
      </c>
      <c r="X50" s="15" t="s">
        <v>44</v>
      </c>
      <c r="Y50" s="15" t="s">
        <v>44</v>
      </c>
      <c r="Z50" s="15" t="s">
        <v>44</v>
      </c>
      <c r="AA50" s="15" t="s">
        <v>44</v>
      </c>
      <c r="AB50" s="15" t="s">
        <v>44</v>
      </c>
      <c r="AC50" s="15" t="s">
        <v>44</v>
      </c>
      <c r="AD50" s="15" t="s">
        <v>44</v>
      </c>
      <c r="AE50" s="15" t="s">
        <v>44</v>
      </c>
      <c r="AF50" s="15" t="s">
        <v>44</v>
      </c>
      <c r="AG50" s="15" t="s">
        <v>44</v>
      </c>
      <c r="AH50" s="14" t="s">
        <v>44</v>
      </c>
      <c r="BQ50" s="12" t="str">
        <f t="shared" si="2"/>
        <v/>
      </c>
    </row>
    <row r="51" spans="1:69" ht="13.15" customHeight="1" x14ac:dyDescent="0.2">
      <c r="A51" s="16" t="s">
        <v>44</v>
      </c>
      <c r="B51" s="23" t="s">
        <v>44</v>
      </c>
      <c r="C51" s="77" t="s">
        <v>44</v>
      </c>
      <c r="D51" s="24" t="s">
        <v>44</v>
      </c>
      <c r="E51" s="18" t="s">
        <v>44</v>
      </c>
      <c r="F51" s="18" t="s">
        <v>44</v>
      </c>
      <c r="G51" s="18" t="s">
        <v>44</v>
      </c>
      <c r="H51" s="18" t="s">
        <v>44</v>
      </c>
      <c r="I51" s="18" t="s">
        <v>44</v>
      </c>
      <c r="J51" s="18" t="s">
        <v>44</v>
      </c>
      <c r="K51" s="18" t="s">
        <v>44</v>
      </c>
      <c r="L51" s="18" t="s">
        <v>44</v>
      </c>
      <c r="M51" s="18" t="s">
        <v>44</v>
      </c>
      <c r="N51" s="18" t="s">
        <v>44</v>
      </c>
      <c r="O51" s="18" t="s">
        <v>44</v>
      </c>
      <c r="P51" s="18" t="s">
        <v>44</v>
      </c>
      <c r="Q51" s="18" t="s">
        <v>44</v>
      </c>
      <c r="R51" s="18" t="s">
        <v>44</v>
      </c>
      <c r="S51" s="18" t="s">
        <v>44</v>
      </c>
      <c r="T51" s="18" t="s">
        <v>44</v>
      </c>
      <c r="U51" s="18" t="s">
        <v>44</v>
      </c>
      <c r="V51" s="18" t="s">
        <v>44</v>
      </c>
      <c r="W51" s="18" t="s">
        <v>44</v>
      </c>
      <c r="X51" s="18" t="s">
        <v>44</v>
      </c>
      <c r="Y51" s="18" t="s">
        <v>44</v>
      </c>
      <c r="Z51" s="18" t="s">
        <v>44</v>
      </c>
      <c r="AA51" s="18" t="s">
        <v>44</v>
      </c>
      <c r="AB51" s="18" t="s">
        <v>44</v>
      </c>
      <c r="AC51" s="18" t="s">
        <v>44</v>
      </c>
      <c r="AD51" s="18" t="s">
        <v>44</v>
      </c>
      <c r="AE51" s="18" t="s">
        <v>44</v>
      </c>
      <c r="AF51" s="18" t="s">
        <v>44</v>
      </c>
      <c r="AG51" s="18" t="s">
        <v>44</v>
      </c>
      <c r="AH51" s="17" t="s">
        <v>44</v>
      </c>
      <c r="BQ51" s="12" t="str">
        <f t="shared" si="2"/>
        <v/>
      </c>
    </row>
    <row r="52" spans="1:69" ht="13.15" customHeight="1" x14ac:dyDescent="0.2">
      <c r="D52" s="12" t="s">
        <v>44</v>
      </c>
      <c r="E52" s="12" t="s">
        <v>44</v>
      </c>
      <c r="F52" s="12" t="s">
        <v>44</v>
      </c>
      <c r="G52" s="12" t="s">
        <v>44</v>
      </c>
      <c r="H52" s="12" t="s">
        <v>44</v>
      </c>
      <c r="I52" s="12" t="s">
        <v>44</v>
      </c>
      <c r="J52" s="12" t="s">
        <v>44</v>
      </c>
      <c r="K52" s="12" t="s">
        <v>44</v>
      </c>
      <c r="L52" s="12" t="s">
        <v>44</v>
      </c>
      <c r="M52" s="12" t="s">
        <v>44</v>
      </c>
      <c r="N52" s="12" t="s">
        <v>44</v>
      </c>
      <c r="O52" s="12" t="s">
        <v>44</v>
      </c>
      <c r="P52" s="12" t="s">
        <v>44</v>
      </c>
      <c r="Q52" s="12" t="s">
        <v>44</v>
      </c>
      <c r="R52" s="12" t="s">
        <v>44</v>
      </c>
      <c r="S52" s="12" t="s">
        <v>44</v>
      </c>
      <c r="T52" s="12" t="s">
        <v>44</v>
      </c>
      <c r="U52" s="12" t="s">
        <v>44</v>
      </c>
      <c r="V52" s="12" t="s">
        <v>44</v>
      </c>
      <c r="W52" s="12" t="s">
        <v>44</v>
      </c>
      <c r="X52" s="12" t="s">
        <v>44</v>
      </c>
      <c r="Y52" s="12" t="s">
        <v>44</v>
      </c>
      <c r="Z52" s="12" t="s">
        <v>44</v>
      </c>
      <c r="AA52" s="12" t="s">
        <v>44</v>
      </c>
      <c r="AB52" s="12" t="s">
        <v>44</v>
      </c>
      <c r="AC52" s="12" t="s">
        <v>44</v>
      </c>
      <c r="AD52" s="12" t="s">
        <v>44</v>
      </c>
      <c r="AE52" s="12" t="s">
        <v>44</v>
      </c>
      <c r="AF52" s="12" t="s">
        <v>44</v>
      </c>
      <c r="AG52" s="12" t="s">
        <v>44</v>
      </c>
      <c r="AH52" s="12" t="s">
        <v>44</v>
      </c>
      <c r="BQ52" s="12" t="str">
        <f t="shared" si="2"/>
        <v/>
      </c>
    </row>
    <row r="53" spans="1:69" x14ac:dyDescent="0.2">
      <c r="BQ53" s="12" t="str">
        <f t="shared" si="2"/>
        <v/>
      </c>
    </row>
    <row r="54" spans="1:69" ht="13.15" customHeight="1" x14ac:dyDescent="0.2">
      <c r="C54" s="73"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2</v>
      </c>
      <c r="BQ54" s="12" t="str">
        <f t="shared" si="2"/>
        <v/>
      </c>
    </row>
    <row r="55" spans="1:69" x14ac:dyDescent="0.2">
      <c r="C55" s="73" t="s">
        <v>42</v>
      </c>
      <c r="D55" s="12">
        <f>COUNTIF(D4:D47,$C55)</f>
        <v>35</v>
      </c>
      <c r="E55" s="12">
        <f t="shared" ref="E55:AH55" si="5">COUNTIF(E4:E47,$C55)</f>
        <v>0</v>
      </c>
      <c r="F55" s="12">
        <f t="shared" si="5"/>
        <v>2</v>
      </c>
      <c r="G55" s="12">
        <f t="shared" si="5"/>
        <v>0</v>
      </c>
      <c r="H55" s="12">
        <f t="shared" si="5"/>
        <v>0</v>
      </c>
      <c r="I55" s="12">
        <f t="shared" si="5"/>
        <v>0</v>
      </c>
      <c r="J55" s="12">
        <f t="shared" si="5"/>
        <v>0</v>
      </c>
      <c r="K55" s="12">
        <f t="shared" si="5"/>
        <v>33</v>
      </c>
      <c r="L55" s="12">
        <f t="shared" si="5"/>
        <v>2</v>
      </c>
      <c r="M55" s="12">
        <f t="shared" si="5"/>
        <v>2</v>
      </c>
      <c r="N55" s="12">
        <f t="shared" si="5"/>
        <v>0</v>
      </c>
      <c r="O55" s="12">
        <f t="shared" si="5"/>
        <v>0</v>
      </c>
      <c r="P55" s="12">
        <f t="shared" si="5"/>
        <v>0</v>
      </c>
      <c r="Q55" s="12">
        <f t="shared" si="5"/>
        <v>0</v>
      </c>
      <c r="R55" s="12">
        <f t="shared" si="5"/>
        <v>33</v>
      </c>
      <c r="S55" s="12">
        <f t="shared" si="5"/>
        <v>2</v>
      </c>
      <c r="T55" s="12">
        <f t="shared" si="5"/>
        <v>2</v>
      </c>
      <c r="U55" s="12">
        <f t="shared" si="5"/>
        <v>0</v>
      </c>
      <c r="V55" s="12">
        <f t="shared" si="5"/>
        <v>0</v>
      </c>
      <c r="W55" s="12">
        <f t="shared" si="5"/>
        <v>0</v>
      </c>
      <c r="X55" s="12">
        <f t="shared" si="5"/>
        <v>0</v>
      </c>
      <c r="Y55" s="12">
        <f t="shared" si="5"/>
        <v>33</v>
      </c>
      <c r="Z55" s="12">
        <f t="shared" si="5"/>
        <v>2</v>
      </c>
      <c r="AA55" s="12">
        <f t="shared" si="5"/>
        <v>2</v>
      </c>
      <c r="AB55" s="12">
        <f t="shared" si="5"/>
        <v>0</v>
      </c>
      <c r="AC55" s="12">
        <f t="shared" si="5"/>
        <v>0</v>
      </c>
      <c r="AD55" s="12">
        <f t="shared" si="5"/>
        <v>0</v>
      </c>
      <c r="AE55" s="12">
        <f t="shared" si="5"/>
        <v>0</v>
      </c>
      <c r="AF55" s="12">
        <f t="shared" si="5"/>
        <v>33</v>
      </c>
      <c r="AG55" s="12">
        <f t="shared" si="5"/>
        <v>2</v>
      </c>
      <c r="AH55" s="12">
        <f t="shared" si="5"/>
        <v>2</v>
      </c>
      <c r="AI55" s="12">
        <f>SUM(D55:AH55)</f>
        <v>185</v>
      </c>
    </row>
  </sheetData>
  <sheetProtection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zoomScale="85" zoomScaleNormal="85" workbookViewId="0">
      <pane ySplit="33" topLeftCell="A34" activePane="bottomLeft" state="frozen"/>
      <selection pane="bottomLeft" activeCell="B1" sqref="B1"/>
    </sheetView>
  </sheetViews>
  <sheetFormatPr defaultRowHeight="13" x14ac:dyDescent="0.2"/>
  <cols>
    <col min="1" max="1" width="7.453125" style="32" customWidth="1"/>
    <col min="2" max="2" width="14.6328125" style="32" customWidth="1"/>
    <col min="3" max="3" width="4.90625" style="48" customWidth="1"/>
    <col min="4" max="4" width="14" style="31" customWidth="1"/>
    <col min="5" max="5" width="4.453125" style="32" customWidth="1"/>
    <col min="6" max="7" width="4.36328125" style="32" customWidth="1"/>
    <col min="8" max="8" width="4.90625" style="33" customWidth="1"/>
    <col min="9" max="10" width="8.90625" style="32"/>
    <col min="11" max="11" width="12.08984375" style="32" customWidth="1"/>
    <col min="12" max="12" width="8.90625" style="32"/>
    <col min="13" max="13" width="10" style="32" customWidth="1"/>
    <col min="14" max="256" width="8.90625" style="32"/>
    <col min="257" max="257" width="7.453125" style="32" customWidth="1"/>
    <col min="258" max="258" width="14.6328125" style="32" customWidth="1"/>
    <col min="259" max="259" width="4.90625" style="32" customWidth="1"/>
    <col min="260" max="260" width="9.90625" style="32" customWidth="1"/>
    <col min="261" max="261" width="4.453125" style="32" customWidth="1"/>
    <col min="262" max="263" width="4.36328125" style="32" customWidth="1"/>
    <col min="264" max="264" width="4.90625" style="32" customWidth="1"/>
    <col min="265" max="266" width="8.90625" style="32"/>
    <col min="267" max="267" width="12.08984375" style="32" customWidth="1"/>
    <col min="268" max="268" width="8.90625" style="32"/>
    <col min="269" max="269" width="10" style="32" customWidth="1"/>
    <col min="270" max="512" width="8.90625" style="32"/>
    <col min="513" max="513" width="7.453125" style="32" customWidth="1"/>
    <col min="514" max="514" width="14.6328125" style="32" customWidth="1"/>
    <col min="515" max="515" width="4.90625" style="32" customWidth="1"/>
    <col min="516" max="516" width="9.90625" style="32" customWidth="1"/>
    <col min="517" max="517" width="4.453125" style="32" customWidth="1"/>
    <col min="518" max="519" width="4.36328125" style="32" customWidth="1"/>
    <col min="520" max="520" width="4.90625" style="32" customWidth="1"/>
    <col min="521" max="522" width="8.90625" style="32"/>
    <col min="523" max="523" width="12.08984375" style="32" customWidth="1"/>
    <col min="524" max="524" width="8.90625" style="32"/>
    <col min="525" max="525" width="10" style="32" customWidth="1"/>
    <col min="526" max="768" width="8.90625" style="32"/>
    <col min="769" max="769" width="7.453125" style="32" customWidth="1"/>
    <col min="770" max="770" width="14.6328125" style="32" customWidth="1"/>
    <col min="771" max="771" width="4.90625" style="32" customWidth="1"/>
    <col min="772" max="772" width="9.90625" style="32" customWidth="1"/>
    <col min="773" max="773" width="4.453125" style="32" customWidth="1"/>
    <col min="774" max="775" width="4.36328125" style="32" customWidth="1"/>
    <col min="776" max="776" width="4.90625" style="32" customWidth="1"/>
    <col min="777" max="778" width="8.90625" style="32"/>
    <col min="779" max="779" width="12.08984375" style="32" customWidth="1"/>
    <col min="780" max="780" width="8.90625" style="32"/>
    <col min="781" max="781" width="10" style="32" customWidth="1"/>
    <col min="782" max="1024" width="8.90625" style="32"/>
    <col min="1025" max="1025" width="7.453125" style="32" customWidth="1"/>
    <col min="1026" max="1026" width="14.6328125" style="32" customWidth="1"/>
    <col min="1027" max="1027" width="4.90625" style="32" customWidth="1"/>
    <col min="1028" max="1028" width="9.90625" style="32" customWidth="1"/>
    <col min="1029" max="1029" width="4.453125" style="32" customWidth="1"/>
    <col min="1030" max="1031" width="4.36328125" style="32" customWidth="1"/>
    <col min="1032" max="1032" width="4.90625" style="32" customWidth="1"/>
    <col min="1033" max="1034" width="8.90625" style="32"/>
    <col min="1035" max="1035" width="12.08984375" style="32" customWidth="1"/>
    <col min="1036" max="1036" width="8.90625" style="32"/>
    <col min="1037" max="1037" width="10" style="32" customWidth="1"/>
    <col min="1038" max="1280" width="8.90625" style="32"/>
    <col min="1281" max="1281" width="7.453125" style="32" customWidth="1"/>
    <col min="1282" max="1282" width="14.6328125" style="32" customWidth="1"/>
    <col min="1283" max="1283" width="4.90625" style="32" customWidth="1"/>
    <col min="1284" max="1284" width="9.90625" style="32" customWidth="1"/>
    <col min="1285" max="1285" width="4.453125" style="32" customWidth="1"/>
    <col min="1286" max="1287" width="4.36328125" style="32" customWidth="1"/>
    <col min="1288" max="1288" width="4.90625" style="32" customWidth="1"/>
    <col min="1289" max="1290" width="8.90625" style="32"/>
    <col min="1291" max="1291" width="12.08984375" style="32" customWidth="1"/>
    <col min="1292" max="1292" width="8.90625" style="32"/>
    <col min="1293" max="1293" width="10" style="32" customWidth="1"/>
    <col min="1294" max="1536" width="8.90625" style="32"/>
    <col min="1537" max="1537" width="7.453125" style="32" customWidth="1"/>
    <col min="1538" max="1538" width="14.6328125" style="32" customWidth="1"/>
    <col min="1539" max="1539" width="4.90625" style="32" customWidth="1"/>
    <col min="1540" max="1540" width="9.90625" style="32" customWidth="1"/>
    <col min="1541" max="1541" width="4.453125" style="32" customWidth="1"/>
    <col min="1542" max="1543" width="4.36328125" style="32" customWidth="1"/>
    <col min="1544" max="1544" width="4.90625" style="32" customWidth="1"/>
    <col min="1545" max="1546" width="8.90625" style="32"/>
    <col min="1547" max="1547" width="12.08984375" style="32" customWidth="1"/>
    <col min="1548" max="1548" width="8.90625" style="32"/>
    <col min="1549" max="1549" width="10" style="32" customWidth="1"/>
    <col min="1550" max="1792" width="8.90625" style="32"/>
    <col min="1793" max="1793" width="7.453125" style="32" customWidth="1"/>
    <col min="1794" max="1794" width="14.6328125" style="32" customWidth="1"/>
    <col min="1795" max="1795" width="4.90625" style="32" customWidth="1"/>
    <col min="1796" max="1796" width="9.90625" style="32" customWidth="1"/>
    <col min="1797" max="1797" width="4.453125" style="32" customWidth="1"/>
    <col min="1798" max="1799" width="4.36328125" style="32" customWidth="1"/>
    <col min="1800" max="1800" width="4.90625" style="32" customWidth="1"/>
    <col min="1801" max="1802" width="8.90625" style="32"/>
    <col min="1803" max="1803" width="12.08984375" style="32" customWidth="1"/>
    <col min="1804" max="1804" width="8.90625" style="32"/>
    <col min="1805" max="1805" width="10" style="32" customWidth="1"/>
    <col min="1806" max="2048" width="8.90625" style="32"/>
    <col min="2049" max="2049" width="7.453125" style="32" customWidth="1"/>
    <col min="2050" max="2050" width="14.6328125" style="32" customWidth="1"/>
    <col min="2051" max="2051" width="4.90625" style="32" customWidth="1"/>
    <col min="2052" max="2052" width="9.90625" style="32" customWidth="1"/>
    <col min="2053" max="2053" width="4.453125" style="32" customWidth="1"/>
    <col min="2054" max="2055" width="4.36328125" style="32" customWidth="1"/>
    <col min="2056" max="2056" width="4.90625" style="32" customWidth="1"/>
    <col min="2057" max="2058" width="8.90625" style="32"/>
    <col min="2059" max="2059" width="12.08984375" style="32" customWidth="1"/>
    <col min="2060" max="2060" width="8.90625" style="32"/>
    <col min="2061" max="2061" width="10" style="32" customWidth="1"/>
    <col min="2062" max="2304" width="8.90625" style="32"/>
    <col min="2305" max="2305" width="7.453125" style="32" customWidth="1"/>
    <col min="2306" max="2306" width="14.6328125" style="32" customWidth="1"/>
    <col min="2307" max="2307" width="4.90625" style="32" customWidth="1"/>
    <col min="2308" max="2308" width="9.90625" style="32" customWidth="1"/>
    <col min="2309" max="2309" width="4.453125" style="32" customWidth="1"/>
    <col min="2310" max="2311" width="4.36328125" style="32" customWidth="1"/>
    <col min="2312" max="2312" width="4.90625" style="32" customWidth="1"/>
    <col min="2313" max="2314" width="8.90625" style="32"/>
    <col min="2315" max="2315" width="12.08984375" style="32" customWidth="1"/>
    <col min="2316" max="2316" width="8.90625" style="32"/>
    <col min="2317" max="2317" width="10" style="32" customWidth="1"/>
    <col min="2318" max="2560" width="8.90625" style="32"/>
    <col min="2561" max="2561" width="7.453125" style="32" customWidth="1"/>
    <col min="2562" max="2562" width="14.6328125" style="32" customWidth="1"/>
    <col min="2563" max="2563" width="4.90625" style="32" customWidth="1"/>
    <col min="2564" max="2564" width="9.90625" style="32" customWidth="1"/>
    <col min="2565" max="2565" width="4.453125" style="32" customWidth="1"/>
    <col min="2566" max="2567" width="4.36328125" style="32" customWidth="1"/>
    <col min="2568" max="2568" width="4.90625" style="32" customWidth="1"/>
    <col min="2569" max="2570" width="8.90625" style="32"/>
    <col min="2571" max="2571" width="12.08984375" style="32" customWidth="1"/>
    <col min="2572" max="2572" width="8.90625" style="32"/>
    <col min="2573" max="2573" width="10" style="32" customWidth="1"/>
    <col min="2574" max="2816" width="8.90625" style="32"/>
    <col min="2817" max="2817" width="7.453125" style="32" customWidth="1"/>
    <col min="2818" max="2818" width="14.6328125" style="32" customWidth="1"/>
    <col min="2819" max="2819" width="4.90625" style="32" customWidth="1"/>
    <col min="2820" max="2820" width="9.90625" style="32" customWidth="1"/>
    <col min="2821" max="2821" width="4.453125" style="32" customWidth="1"/>
    <col min="2822" max="2823" width="4.36328125" style="32" customWidth="1"/>
    <col min="2824" max="2824" width="4.90625" style="32" customWidth="1"/>
    <col min="2825" max="2826" width="8.90625" style="32"/>
    <col min="2827" max="2827" width="12.08984375" style="32" customWidth="1"/>
    <col min="2828" max="2828" width="8.90625" style="32"/>
    <col min="2829" max="2829" width="10" style="32" customWidth="1"/>
    <col min="2830" max="3072" width="8.90625" style="32"/>
    <col min="3073" max="3073" width="7.453125" style="32" customWidth="1"/>
    <col min="3074" max="3074" width="14.6328125" style="32" customWidth="1"/>
    <col min="3075" max="3075" width="4.90625" style="32" customWidth="1"/>
    <col min="3076" max="3076" width="9.90625" style="32" customWidth="1"/>
    <col min="3077" max="3077" width="4.453125" style="32" customWidth="1"/>
    <col min="3078" max="3079" width="4.36328125" style="32" customWidth="1"/>
    <col min="3080" max="3080" width="4.90625" style="32" customWidth="1"/>
    <col min="3081" max="3082" width="8.90625" style="32"/>
    <col min="3083" max="3083" width="12.08984375" style="32" customWidth="1"/>
    <col min="3084" max="3084" width="8.90625" style="32"/>
    <col min="3085" max="3085" width="10" style="32" customWidth="1"/>
    <col min="3086" max="3328" width="8.90625" style="32"/>
    <col min="3329" max="3329" width="7.453125" style="32" customWidth="1"/>
    <col min="3330" max="3330" width="14.6328125" style="32" customWidth="1"/>
    <col min="3331" max="3331" width="4.90625" style="32" customWidth="1"/>
    <col min="3332" max="3332" width="9.90625" style="32" customWidth="1"/>
    <col min="3333" max="3333" width="4.453125" style="32" customWidth="1"/>
    <col min="3334" max="3335" width="4.36328125" style="32" customWidth="1"/>
    <col min="3336" max="3336" width="4.90625" style="32" customWidth="1"/>
    <col min="3337" max="3338" width="8.90625" style="32"/>
    <col min="3339" max="3339" width="12.08984375" style="32" customWidth="1"/>
    <col min="3340" max="3340" width="8.90625" style="32"/>
    <col min="3341" max="3341" width="10" style="32" customWidth="1"/>
    <col min="3342" max="3584" width="8.90625" style="32"/>
    <col min="3585" max="3585" width="7.453125" style="32" customWidth="1"/>
    <col min="3586" max="3586" width="14.6328125" style="32" customWidth="1"/>
    <col min="3587" max="3587" width="4.90625" style="32" customWidth="1"/>
    <col min="3588" max="3588" width="9.90625" style="32" customWidth="1"/>
    <col min="3589" max="3589" width="4.453125" style="32" customWidth="1"/>
    <col min="3590" max="3591" width="4.36328125" style="32" customWidth="1"/>
    <col min="3592" max="3592" width="4.90625" style="32" customWidth="1"/>
    <col min="3593" max="3594" width="8.90625" style="32"/>
    <col min="3595" max="3595" width="12.08984375" style="32" customWidth="1"/>
    <col min="3596" max="3596" width="8.90625" style="32"/>
    <col min="3597" max="3597" width="10" style="32" customWidth="1"/>
    <col min="3598" max="3840" width="8.90625" style="32"/>
    <col min="3841" max="3841" width="7.453125" style="32" customWidth="1"/>
    <col min="3842" max="3842" width="14.6328125" style="32" customWidth="1"/>
    <col min="3843" max="3843" width="4.90625" style="32" customWidth="1"/>
    <col min="3844" max="3844" width="9.90625" style="32" customWidth="1"/>
    <col min="3845" max="3845" width="4.453125" style="32" customWidth="1"/>
    <col min="3846" max="3847" width="4.36328125" style="32" customWidth="1"/>
    <col min="3848" max="3848" width="4.90625" style="32" customWidth="1"/>
    <col min="3849" max="3850" width="8.90625" style="32"/>
    <col min="3851" max="3851" width="12.08984375" style="32" customWidth="1"/>
    <col min="3852" max="3852" width="8.90625" style="32"/>
    <col min="3853" max="3853" width="10" style="32" customWidth="1"/>
    <col min="3854" max="4096" width="8.90625" style="32"/>
    <col min="4097" max="4097" width="7.453125" style="32" customWidth="1"/>
    <col min="4098" max="4098" width="14.6328125" style="32" customWidth="1"/>
    <col min="4099" max="4099" width="4.90625" style="32" customWidth="1"/>
    <col min="4100" max="4100" width="9.90625" style="32" customWidth="1"/>
    <col min="4101" max="4101" width="4.453125" style="32" customWidth="1"/>
    <col min="4102" max="4103" width="4.36328125" style="32" customWidth="1"/>
    <col min="4104" max="4104" width="4.90625" style="32" customWidth="1"/>
    <col min="4105" max="4106" width="8.90625" style="32"/>
    <col min="4107" max="4107" width="12.08984375" style="32" customWidth="1"/>
    <col min="4108" max="4108" width="8.90625" style="32"/>
    <col min="4109" max="4109" width="10" style="32" customWidth="1"/>
    <col min="4110" max="4352" width="8.90625" style="32"/>
    <col min="4353" max="4353" width="7.453125" style="32" customWidth="1"/>
    <col min="4354" max="4354" width="14.6328125" style="32" customWidth="1"/>
    <col min="4355" max="4355" width="4.90625" style="32" customWidth="1"/>
    <col min="4356" max="4356" width="9.90625" style="32" customWidth="1"/>
    <col min="4357" max="4357" width="4.453125" style="32" customWidth="1"/>
    <col min="4358" max="4359" width="4.36328125" style="32" customWidth="1"/>
    <col min="4360" max="4360" width="4.90625" style="32" customWidth="1"/>
    <col min="4361" max="4362" width="8.90625" style="32"/>
    <col min="4363" max="4363" width="12.08984375" style="32" customWidth="1"/>
    <col min="4364" max="4364" width="8.90625" style="32"/>
    <col min="4365" max="4365" width="10" style="32" customWidth="1"/>
    <col min="4366" max="4608" width="8.90625" style="32"/>
    <col min="4609" max="4609" width="7.453125" style="32" customWidth="1"/>
    <col min="4610" max="4610" width="14.6328125" style="32" customWidth="1"/>
    <col min="4611" max="4611" width="4.90625" style="32" customWidth="1"/>
    <col min="4612" max="4612" width="9.90625" style="32" customWidth="1"/>
    <col min="4613" max="4613" width="4.453125" style="32" customWidth="1"/>
    <col min="4614" max="4615" width="4.36328125" style="32" customWidth="1"/>
    <col min="4616" max="4616" width="4.90625" style="32" customWidth="1"/>
    <col min="4617" max="4618" width="8.90625" style="32"/>
    <col min="4619" max="4619" width="12.08984375" style="32" customWidth="1"/>
    <col min="4620" max="4620" width="8.90625" style="32"/>
    <col min="4621" max="4621" width="10" style="32" customWidth="1"/>
    <col min="4622" max="4864" width="8.90625" style="32"/>
    <col min="4865" max="4865" width="7.453125" style="32" customWidth="1"/>
    <col min="4866" max="4866" width="14.6328125" style="32" customWidth="1"/>
    <col min="4867" max="4867" width="4.90625" style="32" customWidth="1"/>
    <col min="4868" max="4868" width="9.90625" style="32" customWidth="1"/>
    <col min="4869" max="4869" width="4.453125" style="32" customWidth="1"/>
    <col min="4870" max="4871" width="4.36328125" style="32" customWidth="1"/>
    <col min="4872" max="4872" width="4.90625" style="32" customWidth="1"/>
    <col min="4873" max="4874" width="8.90625" style="32"/>
    <col min="4875" max="4875" width="12.08984375" style="32" customWidth="1"/>
    <col min="4876" max="4876" width="8.90625" style="32"/>
    <col min="4877" max="4877" width="10" style="32" customWidth="1"/>
    <col min="4878" max="5120" width="8.90625" style="32"/>
    <col min="5121" max="5121" width="7.453125" style="32" customWidth="1"/>
    <col min="5122" max="5122" width="14.6328125" style="32" customWidth="1"/>
    <col min="5123" max="5123" width="4.90625" style="32" customWidth="1"/>
    <col min="5124" max="5124" width="9.90625" style="32" customWidth="1"/>
    <col min="5125" max="5125" width="4.453125" style="32" customWidth="1"/>
    <col min="5126" max="5127" width="4.36328125" style="32" customWidth="1"/>
    <col min="5128" max="5128" width="4.90625" style="32" customWidth="1"/>
    <col min="5129" max="5130" width="8.90625" style="32"/>
    <col min="5131" max="5131" width="12.08984375" style="32" customWidth="1"/>
    <col min="5132" max="5132" width="8.90625" style="32"/>
    <col min="5133" max="5133" width="10" style="32" customWidth="1"/>
    <col min="5134" max="5376" width="8.90625" style="32"/>
    <col min="5377" max="5377" width="7.453125" style="32" customWidth="1"/>
    <col min="5378" max="5378" width="14.6328125" style="32" customWidth="1"/>
    <col min="5379" max="5379" width="4.90625" style="32" customWidth="1"/>
    <col min="5380" max="5380" width="9.90625" style="32" customWidth="1"/>
    <col min="5381" max="5381" width="4.453125" style="32" customWidth="1"/>
    <col min="5382" max="5383" width="4.36328125" style="32" customWidth="1"/>
    <col min="5384" max="5384" width="4.90625" style="32" customWidth="1"/>
    <col min="5385" max="5386" width="8.90625" style="32"/>
    <col min="5387" max="5387" width="12.08984375" style="32" customWidth="1"/>
    <col min="5388" max="5388" width="8.90625" style="32"/>
    <col min="5389" max="5389" width="10" style="32" customWidth="1"/>
    <col min="5390" max="5632" width="8.90625" style="32"/>
    <col min="5633" max="5633" width="7.453125" style="32" customWidth="1"/>
    <col min="5634" max="5634" width="14.6328125" style="32" customWidth="1"/>
    <col min="5635" max="5635" width="4.90625" style="32" customWidth="1"/>
    <col min="5636" max="5636" width="9.90625" style="32" customWidth="1"/>
    <col min="5637" max="5637" width="4.453125" style="32" customWidth="1"/>
    <col min="5638" max="5639" width="4.36328125" style="32" customWidth="1"/>
    <col min="5640" max="5640" width="4.90625" style="32" customWidth="1"/>
    <col min="5641" max="5642" width="8.90625" style="32"/>
    <col min="5643" max="5643" width="12.08984375" style="32" customWidth="1"/>
    <col min="5644" max="5644" width="8.90625" style="32"/>
    <col min="5645" max="5645" width="10" style="32" customWidth="1"/>
    <col min="5646" max="5888" width="8.90625" style="32"/>
    <col min="5889" max="5889" width="7.453125" style="32" customWidth="1"/>
    <col min="5890" max="5890" width="14.6328125" style="32" customWidth="1"/>
    <col min="5891" max="5891" width="4.90625" style="32" customWidth="1"/>
    <col min="5892" max="5892" width="9.90625" style="32" customWidth="1"/>
    <col min="5893" max="5893" width="4.453125" style="32" customWidth="1"/>
    <col min="5894" max="5895" width="4.36328125" style="32" customWidth="1"/>
    <col min="5896" max="5896" width="4.90625" style="32" customWidth="1"/>
    <col min="5897" max="5898" width="8.90625" style="32"/>
    <col min="5899" max="5899" width="12.08984375" style="32" customWidth="1"/>
    <col min="5900" max="5900" width="8.90625" style="32"/>
    <col min="5901" max="5901" width="10" style="32" customWidth="1"/>
    <col min="5902" max="6144" width="8.90625" style="32"/>
    <col min="6145" max="6145" width="7.453125" style="32" customWidth="1"/>
    <col min="6146" max="6146" width="14.6328125" style="32" customWidth="1"/>
    <col min="6147" max="6147" width="4.90625" style="32" customWidth="1"/>
    <col min="6148" max="6148" width="9.90625" style="32" customWidth="1"/>
    <col min="6149" max="6149" width="4.453125" style="32" customWidth="1"/>
    <col min="6150" max="6151" width="4.36328125" style="32" customWidth="1"/>
    <col min="6152" max="6152" width="4.90625" style="32" customWidth="1"/>
    <col min="6153" max="6154" width="8.90625" style="32"/>
    <col min="6155" max="6155" width="12.08984375" style="32" customWidth="1"/>
    <col min="6156" max="6156" width="8.90625" style="32"/>
    <col min="6157" max="6157" width="10" style="32" customWidth="1"/>
    <col min="6158" max="6400" width="8.90625" style="32"/>
    <col min="6401" max="6401" width="7.453125" style="32" customWidth="1"/>
    <col min="6402" max="6402" width="14.6328125" style="32" customWidth="1"/>
    <col min="6403" max="6403" width="4.90625" style="32" customWidth="1"/>
    <col min="6404" max="6404" width="9.90625" style="32" customWidth="1"/>
    <col min="6405" max="6405" width="4.453125" style="32" customWidth="1"/>
    <col min="6406" max="6407" width="4.36328125" style="32" customWidth="1"/>
    <col min="6408" max="6408" width="4.90625" style="32" customWidth="1"/>
    <col min="6409" max="6410" width="8.90625" style="32"/>
    <col min="6411" max="6411" width="12.08984375" style="32" customWidth="1"/>
    <col min="6412" max="6412" width="8.90625" style="32"/>
    <col min="6413" max="6413" width="10" style="32" customWidth="1"/>
    <col min="6414" max="6656" width="8.90625" style="32"/>
    <col min="6657" max="6657" width="7.453125" style="32" customWidth="1"/>
    <col min="6658" max="6658" width="14.6328125" style="32" customWidth="1"/>
    <col min="6659" max="6659" width="4.90625" style="32" customWidth="1"/>
    <col min="6660" max="6660" width="9.90625" style="32" customWidth="1"/>
    <col min="6661" max="6661" width="4.453125" style="32" customWidth="1"/>
    <col min="6662" max="6663" width="4.36328125" style="32" customWidth="1"/>
    <col min="6664" max="6664" width="4.90625" style="32" customWidth="1"/>
    <col min="6665" max="6666" width="8.90625" style="32"/>
    <col min="6667" max="6667" width="12.08984375" style="32" customWidth="1"/>
    <col min="6668" max="6668" width="8.90625" style="32"/>
    <col min="6669" max="6669" width="10" style="32" customWidth="1"/>
    <col min="6670" max="6912" width="8.90625" style="32"/>
    <col min="6913" max="6913" width="7.453125" style="32" customWidth="1"/>
    <col min="6914" max="6914" width="14.6328125" style="32" customWidth="1"/>
    <col min="6915" max="6915" width="4.90625" style="32" customWidth="1"/>
    <col min="6916" max="6916" width="9.90625" style="32" customWidth="1"/>
    <col min="6917" max="6917" width="4.453125" style="32" customWidth="1"/>
    <col min="6918" max="6919" width="4.36328125" style="32" customWidth="1"/>
    <col min="6920" max="6920" width="4.90625" style="32" customWidth="1"/>
    <col min="6921" max="6922" width="8.90625" style="32"/>
    <col min="6923" max="6923" width="12.08984375" style="32" customWidth="1"/>
    <col min="6924" max="6924" width="8.90625" style="32"/>
    <col min="6925" max="6925" width="10" style="32" customWidth="1"/>
    <col min="6926" max="7168" width="8.90625" style="32"/>
    <col min="7169" max="7169" width="7.453125" style="32" customWidth="1"/>
    <col min="7170" max="7170" width="14.6328125" style="32" customWidth="1"/>
    <col min="7171" max="7171" width="4.90625" style="32" customWidth="1"/>
    <col min="7172" max="7172" width="9.90625" style="32" customWidth="1"/>
    <col min="7173" max="7173" width="4.453125" style="32" customWidth="1"/>
    <col min="7174" max="7175" width="4.36328125" style="32" customWidth="1"/>
    <col min="7176" max="7176" width="4.90625" style="32" customWidth="1"/>
    <col min="7177" max="7178" width="8.90625" style="32"/>
    <col min="7179" max="7179" width="12.08984375" style="32" customWidth="1"/>
    <col min="7180" max="7180" width="8.90625" style="32"/>
    <col min="7181" max="7181" width="10" style="32" customWidth="1"/>
    <col min="7182" max="7424" width="8.90625" style="32"/>
    <col min="7425" max="7425" width="7.453125" style="32" customWidth="1"/>
    <col min="7426" max="7426" width="14.6328125" style="32" customWidth="1"/>
    <col min="7427" max="7427" width="4.90625" style="32" customWidth="1"/>
    <col min="7428" max="7428" width="9.90625" style="32" customWidth="1"/>
    <col min="7429" max="7429" width="4.453125" style="32" customWidth="1"/>
    <col min="7430" max="7431" width="4.36328125" style="32" customWidth="1"/>
    <col min="7432" max="7432" width="4.90625" style="32" customWidth="1"/>
    <col min="7433" max="7434" width="8.90625" style="32"/>
    <col min="7435" max="7435" width="12.08984375" style="32" customWidth="1"/>
    <col min="7436" max="7436" width="8.90625" style="32"/>
    <col min="7437" max="7437" width="10" style="32" customWidth="1"/>
    <col min="7438" max="7680" width="8.90625" style="32"/>
    <col min="7681" max="7681" width="7.453125" style="32" customWidth="1"/>
    <col min="7682" max="7682" width="14.6328125" style="32" customWidth="1"/>
    <col min="7683" max="7683" width="4.90625" style="32" customWidth="1"/>
    <col min="7684" max="7684" width="9.90625" style="32" customWidth="1"/>
    <col min="7685" max="7685" width="4.453125" style="32" customWidth="1"/>
    <col min="7686" max="7687" width="4.36328125" style="32" customWidth="1"/>
    <col min="7688" max="7688" width="4.90625" style="32" customWidth="1"/>
    <col min="7689" max="7690" width="8.90625" style="32"/>
    <col min="7691" max="7691" width="12.08984375" style="32" customWidth="1"/>
    <col min="7692" max="7692" width="8.90625" style="32"/>
    <col min="7693" max="7693" width="10" style="32" customWidth="1"/>
    <col min="7694" max="7936" width="8.90625" style="32"/>
    <col min="7937" max="7937" width="7.453125" style="32" customWidth="1"/>
    <col min="7938" max="7938" width="14.6328125" style="32" customWidth="1"/>
    <col min="7939" max="7939" width="4.90625" style="32" customWidth="1"/>
    <col min="7940" max="7940" width="9.90625" style="32" customWidth="1"/>
    <col min="7941" max="7941" width="4.453125" style="32" customWidth="1"/>
    <col min="7942" max="7943" width="4.36328125" style="32" customWidth="1"/>
    <col min="7944" max="7944" width="4.90625" style="32" customWidth="1"/>
    <col min="7945" max="7946" width="8.90625" style="32"/>
    <col min="7947" max="7947" width="12.08984375" style="32" customWidth="1"/>
    <col min="7948" max="7948" width="8.90625" style="32"/>
    <col min="7949" max="7949" width="10" style="32" customWidth="1"/>
    <col min="7950" max="8192" width="8.90625" style="32"/>
    <col min="8193" max="8193" width="7.453125" style="32" customWidth="1"/>
    <col min="8194" max="8194" width="14.6328125" style="32" customWidth="1"/>
    <col min="8195" max="8195" width="4.90625" style="32" customWidth="1"/>
    <col min="8196" max="8196" width="9.90625" style="32" customWidth="1"/>
    <col min="8197" max="8197" width="4.453125" style="32" customWidth="1"/>
    <col min="8198" max="8199" width="4.36328125" style="32" customWidth="1"/>
    <col min="8200" max="8200" width="4.90625" style="32" customWidth="1"/>
    <col min="8201" max="8202" width="8.90625" style="32"/>
    <col min="8203" max="8203" width="12.08984375" style="32" customWidth="1"/>
    <col min="8204" max="8204" width="8.90625" style="32"/>
    <col min="8205" max="8205" width="10" style="32" customWidth="1"/>
    <col min="8206" max="8448" width="8.90625" style="32"/>
    <col min="8449" max="8449" width="7.453125" style="32" customWidth="1"/>
    <col min="8450" max="8450" width="14.6328125" style="32" customWidth="1"/>
    <col min="8451" max="8451" width="4.90625" style="32" customWidth="1"/>
    <col min="8452" max="8452" width="9.90625" style="32" customWidth="1"/>
    <col min="8453" max="8453" width="4.453125" style="32" customWidth="1"/>
    <col min="8454" max="8455" width="4.36328125" style="32" customWidth="1"/>
    <col min="8456" max="8456" width="4.90625" style="32" customWidth="1"/>
    <col min="8457" max="8458" width="8.90625" style="32"/>
    <col min="8459" max="8459" width="12.08984375" style="32" customWidth="1"/>
    <col min="8460" max="8460" width="8.90625" style="32"/>
    <col min="8461" max="8461" width="10" style="32" customWidth="1"/>
    <col min="8462" max="8704" width="8.90625" style="32"/>
    <col min="8705" max="8705" width="7.453125" style="32" customWidth="1"/>
    <col min="8706" max="8706" width="14.6328125" style="32" customWidth="1"/>
    <col min="8707" max="8707" width="4.90625" style="32" customWidth="1"/>
    <col min="8708" max="8708" width="9.90625" style="32" customWidth="1"/>
    <col min="8709" max="8709" width="4.453125" style="32" customWidth="1"/>
    <col min="8710" max="8711" width="4.36328125" style="32" customWidth="1"/>
    <col min="8712" max="8712" width="4.90625" style="32" customWidth="1"/>
    <col min="8713" max="8714" width="8.90625" style="32"/>
    <col min="8715" max="8715" width="12.08984375" style="32" customWidth="1"/>
    <col min="8716" max="8716" width="8.90625" style="32"/>
    <col min="8717" max="8717" width="10" style="32" customWidth="1"/>
    <col min="8718" max="8960" width="8.90625" style="32"/>
    <col min="8961" max="8961" width="7.453125" style="32" customWidth="1"/>
    <col min="8962" max="8962" width="14.6328125" style="32" customWidth="1"/>
    <col min="8963" max="8963" width="4.90625" style="32" customWidth="1"/>
    <col min="8964" max="8964" width="9.90625" style="32" customWidth="1"/>
    <col min="8965" max="8965" width="4.453125" style="32" customWidth="1"/>
    <col min="8966" max="8967" width="4.36328125" style="32" customWidth="1"/>
    <col min="8968" max="8968" width="4.90625" style="32" customWidth="1"/>
    <col min="8969" max="8970" width="8.90625" style="32"/>
    <col min="8971" max="8971" width="12.08984375" style="32" customWidth="1"/>
    <col min="8972" max="8972" width="8.90625" style="32"/>
    <col min="8973" max="8973" width="10" style="32" customWidth="1"/>
    <col min="8974" max="9216" width="8.90625" style="32"/>
    <col min="9217" max="9217" width="7.453125" style="32" customWidth="1"/>
    <col min="9218" max="9218" width="14.6328125" style="32" customWidth="1"/>
    <col min="9219" max="9219" width="4.90625" style="32" customWidth="1"/>
    <col min="9220" max="9220" width="9.90625" style="32" customWidth="1"/>
    <col min="9221" max="9221" width="4.453125" style="32" customWidth="1"/>
    <col min="9222" max="9223" width="4.36328125" style="32" customWidth="1"/>
    <col min="9224" max="9224" width="4.90625" style="32" customWidth="1"/>
    <col min="9225" max="9226" width="8.90625" style="32"/>
    <col min="9227" max="9227" width="12.08984375" style="32" customWidth="1"/>
    <col min="9228" max="9228" width="8.90625" style="32"/>
    <col min="9229" max="9229" width="10" style="32" customWidth="1"/>
    <col min="9230" max="9472" width="8.90625" style="32"/>
    <col min="9473" max="9473" width="7.453125" style="32" customWidth="1"/>
    <col min="9474" max="9474" width="14.6328125" style="32" customWidth="1"/>
    <col min="9475" max="9475" width="4.90625" style="32" customWidth="1"/>
    <col min="9476" max="9476" width="9.90625" style="32" customWidth="1"/>
    <col min="9477" max="9477" width="4.453125" style="32" customWidth="1"/>
    <col min="9478" max="9479" width="4.36328125" style="32" customWidth="1"/>
    <col min="9480" max="9480" width="4.90625" style="32" customWidth="1"/>
    <col min="9481" max="9482" width="8.90625" style="32"/>
    <col min="9483" max="9483" width="12.08984375" style="32" customWidth="1"/>
    <col min="9484" max="9484" width="8.90625" style="32"/>
    <col min="9485" max="9485" width="10" style="32" customWidth="1"/>
    <col min="9486" max="9728" width="8.90625" style="32"/>
    <col min="9729" max="9729" width="7.453125" style="32" customWidth="1"/>
    <col min="9730" max="9730" width="14.6328125" style="32" customWidth="1"/>
    <col min="9731" max="9731" width="4.90625" style="32" customWidth="1"/>
    <col min="9732" max="9732" width="9.90625" style="32" customWidth="1"/>
    <col min="9733" max="9733" width="4.453125" style="32" customWidth="1"/>
    <col min="9734" max="9735" width="4.36328125" style="32" customWidth="1"/>
    <col min="9736" max="9736" width="4.90625" style="32" customWidth="1"/>
    <col min="9737" max="9738" width="8.90625" style="32"/>
    <col min="9739" max="9739" width="12.08984375" style="32" customWidth="1"/>
    <col min="9740" max="9740" width="8.90625" style="32"/>
    <col min="9741" max="9741" width="10" style="32" customWidth="1"/>
    <col min="9742" max="9984" width="8.90625" style="32"/>
    <col min="9985" max="9985" width="7.453125" style="32" customWidth="1"/>
    <col min="9986" max="9986" width="14.6328125" style="32" customWidth="1"/>
    <col min="9987" max="9987" width="4.90625" style="32" customWidth="1"/>
    <col min="9988" max="9988" width="9.90625" style="32" customWidth="1"/>
    <col min="9989" max="9989" width="4.453125" style="32" customWidth="1"/>
    <col min="9990" max="9991" width="4.36328125" style="32" customWidth="1"/>
    <col min="9992" max="9992" width="4.90625" style="32" customWidth="1"/>
    <col min="9993" max="9994" width="8.90625" style="32"/>
    <col min="9995" max="9995" width="12.08984375" style="32" customWidth="1"/>
    <col min="9996" max="9996" width="8.90625" style="32"/>
    <col min="9997" max="9997" width="10" style="32" customWidth="1"/>
    <col min="9998" max="10240" width="8.90625" style="32"/>
    <col min="10241" max="10241" width="7.453125" style="32" customWidth="1"/>
    <col min="10242" max="10242" width="14.6328125" style="32" customWidth="1"/>
    <col min="10243" max="10243" width="4.90625" style="32" customWidth="1"/>
    <col min="10244" max="10244" width="9.90625" style="32" customWidth="1"/>
    <col min="10245" max="10245" width="4.453125" style="32" customWidth="1"/>
    <col min="10246" max="10247" width="4.36328125" style="32" customWidth="1"/>
    <col min="10248" max="10248" width="4.90625" style="32" customWidth="1"/>
    <col min="10249" max="10250" width="8.90625" style="32"/>
    <col min="10251" max="10251" width="12.08984375" style="32" customWidth="1"/>
    <col min="10252" max="10252" width="8.90625" style="32"/>
    <col min="10253" max="10253" width="10" style="32" customWidth="1"/>
    <col min="10254" max="10496" width="8.90625" style="32"/>
    <col min="10497" max="10497" width="7.453125" style="32" customWidth="1"/>
    <col min="10498" max="10498" width="14.6328125" style="32" customWidth="1"/>
    <col min="10499" max="10499" width="4.90625" style="32" customWidth="1"/>
    <col min="10500" max="10500" width="9.90625" style="32" customWidth="1"/>
    <col min="10501" max="10501" width="4.453125" style="32" customWidth="1"/>
    <col min="10502" max="10503" width="4.36328125" style="32" customWidth="1"/>
    <col min="10504" max="10504" width="4.90625" style="32" customWidth="1"/>
    <col min="10505" max="10506" width="8.90625" style="32"/>
    <col min="10507" max="10507" width="12.08984375" style="32" customWidth="1"/>
    <col min="10508" max="10508" width="8.90625" style="32"/>
    <col min="10509" max="10509" width="10" style="32" customWidth="1"/>
    <col min="10510" max="10752" width="8.90625" style="32"/>
    <col min="10753" max="10753" width="7.453125" style="32" customWidth="1"/>
    <col min="10754" max="10754" width="14.6328125" style="32" customWidth="1"/>
    <col min="10755" max="10755" width="4.90625" style="32" customWidth="1"/>
    <col min="10756" max="10756" width="9.90625" style="32" customWidth="1"/>
    <col min="10757" max="10757" width="4.453125" style="32" customWidth="1"/>
    <col min="10758" max="10759" width="4.36328125" style="32" customWidth="1"/>
    <col min="10760" max="10760" width="4.90625" style="32" customWidth="1"/>
    <col min="10761" max="10762" width="8.90625" style="32"/>
    <col min="10763" max="10763" width="12.08984375" style="32" customWidth="1"/>
    <col min="10764" max="10764" width="8.90625" style="32"/>
    <col min="10765" max="10765" width="10" style="32" customWidth="1"/>
    <col min="10766" max="11008" width="8.90625" style="32"/>
    <col min="11009" max="11009" width="7.453125" style="32" customWidth="1"/>
    <col min="11010" max="11010" width="14.6328125" style="32" customWidth="1"/>
    <col min="11011" max="11011" width="4.90625" style="32" customWidth="1"/>
    <col min="11012" max="11012" width="9.90625" style="32" customWidth="1"/>
    <col min="11013" max="11013" width="4.453125" style="32" customWidth="1"/>
    <col min="11014" max="11015" width="4.36328125" style="32" customWidth="1"/>
    <col min="11016" max="11016" width="4.90625" style="32" customWidth="1"/>
    <col min="11017" max="11018" width="8.90625" style="32"/>
    <col min="11019" max="11019" width="12.08984375" style="32" customWidth="1"/>
    <col min="11020" max="11020" width="8.90625" style="32"/>
    <col min="11021" max="11021" width="10" style="32" customWidth="1"/>
    <col min="11022" max="11264" width="8.90625" style="32"/>
    <col min="11265" max="11265" width="7.453125" style="32" customWidth="1"/>
    <col min="11266" max="11266" width="14.6328125" style="32" customWidth="1"/>
    <col min="11267" max="11267" width="4.90625" style="32" customWidth="1"/>
    <col min="11268" max="11268" width="9.90625" style="32" customWidth="1"/>
    <col min="11269" max="11269" width="4.453125" style="32" customWidth="1"/>
    <col min="11270" max="11271" width="4.36328125" style="32" customWidth="1"/>
    <col min="11272" max="11272" width="4.90625" style="32" customWidth="1"/>
    <col min="11273" max="11274" width="8.90625" style="32"/>
    <col min="11275" max="11275" width="12.08984375" style="32" customWidth="1"/>
    <col min="11276" max="11276" width="8.90625" style="32"/>
    <col min="11277" max="11277" width="10" style="32" customWidth="1"/>
    <col min="11278" max="11520" width="8.90625" style="32"/>
    <col min="11521" max="11521" width="7.453125" style="32" customWidth="1"/>
    <col min="11522" max="11522" width="14.6328125" style="32" customWidth="1"/>
    <col min="11523" max="11523" width="4.90625" style="32" customWidth="1"/>
    <col min="11524" max="11524" width="9.90625" style="32" customWidth="1"/>
    <col min="11525" max="11525" width="4.453125" style="32" customWidth="1"/>
    <col min="11526" max="11527" width="4.36328125" style="32" customWidth="1"/>
    <col min="11528" max="11528" width="4.90625" style="32" customWidth="1"/>
    <col min="11529" max="11530" width="8.90625" style="32"/>
    <col min="11531" max="11531" width="12.08984375" style="32" customWidth="1"/>
    <col min="11532" max="11532" width="8.90625" style="32"/>
    <col min="11533" max="11533" width="10" style="32" customWidth="1"/>
    <col min="11534" max="11776" width="8.90625" style="32"/>
    <col min="11777" max="11777" width="7.453125" style="32" customWidth="1"/>
    <col min="11778" max="11778" width="14.6328125" style="32" customWidth="1"/>
    <col min="11779" max="11779" width="4.90625" style="32" customWidth="1"/>
    <col min="11780" max="11780" width="9.90625" style="32" customWidth="1"/>
    <col min="11781" max="11781" width="4.453125" style="32" customWidth="1"/>
    <col min="11782" max="11783" width="4.36328125" style="32" customWidth="1"/>
    <col min="11784" max="11784" width="4.90625" style="32" customWidth="1"/>
    <col min="11785" max="11786" width="8.90625" style="32"/>
    <col min="11787" max="11787" width="12.08984375" style="32" customWidth="1"/>
    <col min="11788" max="11788" width="8.90625" style="32"/>
    <col min="11789" max="11789" width="10" style="32" customWidth="1"/>
    <col min="11790" max="12032" width="8.90625" style="32"/>
    <col min="12033" max="12033" width="7.453125" style="32" customWidth="1"/>
    <col min="12034" max="12034" width="14.6328125" style="32" customWidth="1"/>
    <col min="12035" max="12035" width="4.90625" style="32" customWidth="1"/>
    <col min="12036" max="12036" width="9.90625" style="32" customWidth="1"/>
    <col min="12037" max="12037" width="4.453125" style="32" customWidth="1"/>
    <col min="12038" max="12039" width="4.36328125" style="32" customWidth="1"/>
    <col min="12040" max="12040" width="4.90625" style="32" customWidth="1"/>
    <col min="12041" max="12042" width="8.90625" style="32"/>
    <col min="12043" max="12043" width="12.08984375" style="32" customWidth="1"/>
    <col min="12044" max="12044" width="8.90625" style="32"/>
    <col min="12045" max="12045" width="10" style="32" customWidth="1"/>
    <col min="12046" max="12288" width="8.90625" style="32"/>
    <col min="12289" max="12289" width="7.453125" style="32" customWidth="1"/>
    <col min="12290" max="12290" width="14.6328125" style="32" customWidth="1"/>
    <col min="12291" max="12291" width="4.90625" style="32" customWidth="1"/>
    <col min="12292" max="12292" width="9.90625" style="32" customWidth="1"/>
    <col min="12293" max="12293" width="4.453125" style="32" customWidth="1"/>
    <col min="12294" max="12295" width="4.36328125" style="32" customWidth="1"/>
    <col min="12296" max="12296" width="4.90625" style="32" customWidth="1"/>
    <col min="12297" max="12298" width="8.90625" style="32"/>
    <col min="12299" max="12299" width="12.08984375" style="32" customWidth="1"/>
    <col min="12300" max="12300" width="8.90625" style="32"/>
    <col min="12301" max="12301" width="10" style="32" customWidth="1"/>
    <col min="12302" max="12544" width="8.90625" style="32"/>
    <col min="12545" max="12545" width="7.453125" style="32" customWidth="1"/>
    <col min="12546" max="12546" width="14.6328125" style="32" customWidth="1"/>
    <col min="12547" max="12547" width="4.90625" style="32" customWidth="1"/>
    <col min="12548" max="12548" width="9.90625" style="32" customWidth="1"/>
    <col min="12549" max="12549" width="4.453125" style="32" customWidth="1"/>
    <col min="12550" max="12551" width="4.36328125" style="32" customWidth="1"/>
    <col min="12552" max="12552" width="4.90625" style="32" customWidth="1"/>
    <col min="12553" max="12554" width="8.90625" style="32"/>
    <col min="12555" max="12555" width="12.08984375" style="32" customWidth="1"/>
    <col min="12556" max="12556" width="8.90625" style="32"/>
    <col min="12557" max="12557" width="10" style="32" customWidth="1"/>
    <col min="12558" max="12800" width="8.90625" style="32"/>
    <col min="12801" max="12801" width="7.453125" style="32" customWidth="1"/>
    <col min="12802" max="12802" width="14.6328125" style="32" customWidth="1"/>
    <col min="12803" max="12803" width="4.90625" style="32" customWidth="1"/>
    <col min="12804" max="12804" width="9.90625" style="32" customWidth="1"/>
    <col min="12805" max="12805" width="4.453125" style="32" customWidth="1"/>
    <col min="12806" max="12807" width="4.36328125" style="32" customWidth="1"/>
    <col min="12808" max="12808" width="4.90625" style="32" customWidth="1"/>
    <col min="12809" max="12810" width="8.90625" style="32"/>
    <col min="12811" max="12811" width="12.08984375" style="32" customWidth="1"/>
    <col min="12812" max="12812" width="8.90625" style="32"/>
    <col min="12813" max="12813" width="10" style="32" customWidth="1"/>
    <col min="12814" max="13056" width="8.90625" style="32"/>
    <col min="13057" max="13057" width="7.453125" style="32" customWidth="1"/>
    <col min="13058" max="13058" width="14.6328125" style="32" customWidth="1"/>
    <col min="13059" max="13059" width="4.90625" style="32" customWidth="1"/>
    <col min="13060" max="13060" width="9.90625" style="32" customWidth="1"/>
    <col min="13061" max="13061" width="4.453125" style="32" customWidth="1"/>
    <col min="13062" max="13063" width="4.36328125" style="32" customWidth="1"/>
    <col min="13064" max="13064" width="4.90625" style="32" customWidth="1"/>
    <col min="13065" max="13066" width="8.90625" style="32"/>
    <col min="13067" max="13067" width="12.08984375" style="32" customWidth="1"/>
    <col min="13068" max="13068" width="8.90625" style="32"/>
    <col min="13069" max="13069" width="10" style="32" customWidth="1"/>
    <col min="13070" max="13312" width="8.90625" style="32"/>
    <col min="13313" max="13313" width="7.453125" style="32" customWidth="1"/>
    <col min="13314" max="13314" width="14.6328125" style="32" customWidth="1"/>
    <col min="13315" max="13315" width="4.90625" style="32" customWidth="1"/>
    <col min="13316" max="13316" width="9.90625" style="32" customWidth="1"/>
    <col min="13317" max="13317" width="4.453125" style="32" customWidth="1"/>
    <col min="13318" max="13319" width="4.36328125" style="32" customWidth="1"/>
    <col min="13320" max="13320" width="4.90625" style="32" customWidth="1"/>
    <col min="13321" max="13322" width="8.90625" style="32"/>
    <col min="13323" max="13323" width="12.08984375" style="32" customWidth="1"/>
    <col min="13324" max="13324" width="8.90625" style="32"/>
    <col min="13325" max="13325" width="10" style="32" customWidth="1"/>
    <col min="13326" max="13568" width="8.90625" style="32"/>
    <col min="13569" max="13569" width="7.453125" style="32" customWidth="1"/>
    <col min="13570" max="13570" width="14.6328125" style="32" customWidth="1"/>
    <col min="13571" max="13571" width="4.90625" style="32" customWidth="1"/>
    <col min="13572" max="13572" width="9.90625" style="32" customWidth="1"/>
    <col min="13573" max="13573" width="4.453125" style="32" customWidth="1"/>
    <col min="13574" max="13575" width="4.36328125" style="32" customWidth="1"/>
    <col min="13576" max="13576" width="4.90625" style="32" customWidth="1"/>
    <col min="13577" max="13578" width="8.90625" style="32"/>
    <col min="13579" max="13579" width="12.08984375" style="32" customWidth="1"/>
    <col min="13580" max="13580" width="8.90625" style="32"/>
    <col min="13581" max="13581" width="10" style="32" customWidth="1"/>
    <col min="13582" max="13824" width="8.90625" style="32"/>
    <col min="13825" max="13825" width="7.453125" style="32" customWidth="1"/>
    <col min="13826" max="13826" width="14.6328125" style="32" customWidth="1"/>
    <col min="13827" max="13827" width="4.90625" style="32" customWidth="1"/>
    <col min="13828" max="13828" width="9.90625" style="32" customWidth="1"/>
    <col min="13829" max="13829" width="4.453125" style="32" customWidth="1"/>
    <col min="13830" max="13831" width="4.36328125" style="32" customWidth="1"/>
    <col min="13832" max="13832" width="4.90625" style="32" customWidth="1"/>
    <col min="13833" max="13834" width="8.90625" style="32"/>
    <col min="13835" max="13835" width="12.08984375" style="32" customWidth="1"/>
    <col min="13836" max="13836" width="8.90625" style="32"/>
    <col min="13837" max="13837" width="10" style="32" customWidth="1"/>
    <col min="13838" max="14080" width="8.90625" style="32"/>
    <col min="14081" max="14081" width="7.453125" style="32" customWidth="1"/>
    <col min="14082" max="14082" width="14.6328125" style="32" customWidth="1"/>
    <col min="14083" max="14083" width="4.90625" style="32" customWidth="1"/>
    <col min="14084" max="14084" width="9.90625" style="32" customWidth="1"/>
    <col min="14085" max="14085" width="4.453125" style="32" customWidth="1"/>
    <col min="14086" max="14087" width="4.36328125" style="32" customWidth="1"/>
    <col min="14088" max="14088" width="4.90625" style="32" customWidth="1"/>
    <col min="14089" max="14090" width="8.90625" style="32"/>
    <col min="14091" max="14091" width="12.08984375" style="32" customWidth="1"/>
    <col min="14092" max="14092" width="8.90625" style="32"/>
    <col min="14093" max="14093" width="10" style="32" customWidth="1"/>
    <col min="14094" max="14336" width="8.90625" style="32"/>
    <col min="14337" max="14337" width="7.453125" style="32" customWidth="1"/>
    <col min="14338" max="14338" width="14.6328125" style="32" customWidth="1"/>
    <col min="14339" max="14339" width="4.90625" style="32" customWidth="1"/>
    <col min="14340" max="14340" width="9.90625" style="32" customWidth="1"/>
    <col min="14341" max="14341" width="4.453125" style="32" customWidth="1"/>
    <col min="14342" max="14343" width="4.36328125" style="32" customWidth="1"/>
    <col min="14344" max="14344" width="4.90625" style="32" customWidth="1"/>
    <col min="14345" max="14346" width="8.90625" style="32"/>
    <col min="14347" max="14347" width="12.08984375" style="32" customWidth="1"/>
    <col min="14348" max="14348" width="8.90625" style="32"/>
    <col min="14349" max="14349" width="10" style="32" customWidth="1"/>
    <col min="14350" max="14592" width="8.90625" style="32"/>
    <col min="14593" max="14593" width="7.453125" style="32" customWidth="1"/>
    <col min="14594" max="14594" width="14.6328125" style="32" customWidth="1"/>
    <col min="14595" max="14595" width="4.90625" style="32" customWidth="1"/>
    <col min="14596" max="14596" width="9.90625" style="32" customWidth="1"/>
    <col min="14597" max="14597" width="4.453125" style="32" customWidth="1"/>
    <col min="14598" max="14599" width="4.36328125" style="32" customWidth="1"/>
    <col min="14600" max="14600" width="4.90625" style="32" customWidth="1"/>
    <col min="14601" max="14602" width="8.90625" style="32"/>
    <col min="14603" max="14603" width="12.08984375" style="32" customWidth="1"/>
    <col min="14604" max="14604" width="8.90625" style="32"/>
    <col min="14605" max="14605" width="10" style="32" customWidth="1"/>
    <col min="14606" max="14848" width="8.90625" style="32"/>
    <col min="14849" max="14849" width="7.453125" style="32" customWidth="1"/>
    <col min="14850" max="14850" width="14.6328125" style="32" customWidth="1"/>
    <col min="14851" max="14851" width="4.90625" style="32" customWidth="1"/>
    <col min="14852" max="14852" width="9.90625" style="32" customWidth="1"/>
    <col min="14853" max="14853" width="4.453125" style="32" customWidth="1"/>
    <col min="14854" max="14855" width="4.36328125" style="32" customWidth="1"/>
    <col min="14856" max="14856" width="4.90625" style="32" customWidth="1"/>
    <col min="14857" max="14858" width="8.90625" style="32"/>
    <col min="14859" max="14859" width="12.08984375" style="32" customWidth="1"/>
    <col min="14860" max="14860" width="8.90625" style="32"/>
    <col min="14861" max="14861" width="10" style="32" customWidth="1"/>
    <col min="14862" max="15104" width="8.90625" style="32"/>
    <col min="15105" max="15105" width="7.453125" style="32" customWidth="1"/>
    <col min="15106" max="15106" width="14.6328125" style="32" customWidth="1"/>
    <col min="15107" max="15107" width="4.90625" style="32" customWidth="1"/>
    <col min="15108" max="15108" width="9.90625" style="32" customWidth="1"/>
    <col min="15109" max="15109" width="4.453125" style="32" customWidth="1"/>
    <col min="15110" max="15111" width="4.36328125" style="32" customWidth="1"/>
    <col min="15112" max="15112" width="4.90625" style="32" customWidth="1"/>
    <col min="15113" max="15114" width="8.90625" style="32"/>
    <col min="15115" max="15115" width="12.08984375" style="32" customWidth="1"/>
    <col min="15116" max="15116" width="8.90625" style="32"/>
    <col min="15117" max="15117" width="10" style="32" customWidth="1"/>
    <col min="15118" max="15360" width="8.90625" style="32"/>
    <col min="15361" max="15361" width="7.453125" style="32" customWidth="1"/>
    <col min="15362" max="15362" width="14.6328125" style="32" customWidth="1"/>
    <col min="15363" max="15363" width="4.90625" style="32" customWidth="1"/>
    <col min="15364" max="15364" width="9.90625" style="32" customWidth="1"/>
    <col min="15365" max="15365" width="4.453125" style="32" customWidth="1"/>
    <col min="15366" max="15367" width="4.36328125" style="32" customWidth="1"/>
    <col min="15368" max="15368" width="4.90625" style="32" customWidth="1"/>
    <col min="15369" max="15370" width="8.90625" style="32"/>
    <col min="15371" max="15371" width="12.08984375" style="32" customWidth="1"/>
    <col min="15372" max="15372" width="8.90625" style="32"/>
    <col min="15373" max="15373" width="10" style="32" customWidth="1"/>
    <col min="15374" max="15616" width="8.90625" style="32"/>
    <col min="15617" max="15617" width="7.453125" style="32" customWidth="1"/>
    <col min="15618" max="15618" width="14.6328125" style="32" customWidth="1"/>
    <col min="15619" max="15619" width="4.90625" style="32" customWidth="1"/>
    <col min="15620" max="15620" width="9.90625" style="32" customWidth="1"/>
    <col min="15621" max="15621" width="4.453125" style="32" customWidth="1"/>
    <col min="15622" max="15623" width="4.36328125" style="32" customWidth="1"/>
    <col min="15624" max="15624" width="4.90625" style="32" customWidth="1"/>
    <col min="15625" max="15626" width="8.90625" style="32"/>
    <col min="15627" max="15627" width="12.08984375" style="32" customWidth="1"/>
    <col min="15628" max="15628" width="8.90625" style="32"/>
    <col min="15629" max="15629" width="10" style="32" customWidth="1"/>
    <col min="15630" max="15872" width="8.90625" style="32"/>
    <col min="15873" max="15873" width="7.453125" style="32" customWidth="1"/>
    <col min="15874" max="15874" width="14.6328125" style="32" customWidth="1"/>
    <col min="15875" max="15875" width="4.90625" style="32" customWidth="1"/>
    <col min="15876" max="15876" width="9.90625" style="32" customWidth="1"/>
    <col min="15877" max="15877" width="4.453125" style="32" customWidth="1"/>
    <col min="15878" max="15879" width="4.36328125" style="32" customWidth="1"/>
    <col min="15880" max="15880" width="4.90625" style="32" customWidth="1"/>
    <col min="15881" max="15882" width="8.90625" style="32"/>
    <col min="15883" max="15883" width="12.08984375" style="32" customWidth="1"/>
    <col min="15884" max="15884" width="8.90625" style="32"/>
    <col min="15885" max="15885" width="10" style="32" customWidth="1"/>
    <col min="15886" max="16128" width="8.90625" style="32"/>
    <col min="16129" max="16129" width="7.453125" style="32" customWidth="1"/>
    <col min="16130" max="16130" width="14.6328125" style="32" customWidth="1"/>
    <col min="16131" max="16131" width="4.90625" style="32" customWidth="1"/>
    <col min="16132" max="16132" width="9.90625" style="32" customWidth="1"/>
    <col min="16133" max="16133" width="4.453125" style="32" customWidth="1"/>
    <col min="16134" max="16135" width="4.36328125" style="32" customWidth="1"/>
    <col min="16136" max="16136" width="4.90625" style="32" customWidth="1"/>
    <col min="16137" max="16138" width="8.90625" style="32"/>
    <col min="16139" max="16139" width="12.08984375" style="32" customWidth="1"/>
    <col min="16140" max="16140" width="8.90625" style="32"/>
    <col min="16141" max="16141" width="10" style="32" customWidth="1"/>
    <col min="16142" max="16384" width="8.90625" style="32"/>
  </cols>
  <sheetData>
    <row r="1" spans="1:45" ht="25.9" customHeight="1" thickBot="1" x14ac:dyDescent="0.25">
      <c r="A1" s="46">
        <f>'勤務表（参照用）'!$A$2</f>
        <v>2026</v>
      </c>
      <c r="B1" s="49">
        <f>'勤務表（参照用）'!$C$2</f>
        <v>3</v>
      </c>
      <c r="C1" s="55">
        <v>1</v>
      </c>
      <c r="D1" s="56" t="str">
        <f>IFERROR(VLOOKUP($C$1,'勤務表（参照用）'!BP:BR,3,FALSE),"")</f>
        <v>山村 博</v>
      </c>
      <c r="E1" s="96" t="str">
        <f>IF('勤務表（参照用）'!BR2=0,"","１～"&amp;'勤務表（参照用）'!BR2&amp;"まで")</f>
        <v>１～2まで</v>
      </c>
      <c r="F1" s="97"/>
      <c r="G1" s="97"/>
      <c r="H1" s="98"/>
      <c r="I1" s="95" t="s">
        <v>38</v>
      </c>
      <c r="J1" s="95"/>
      <c r="K1" s="95"/>
      <c r="L1" s="95"/>
      <c r="M1" s="95"/>
      <c r="N1" s="95"/>
      <c r="O1" s="95"/>
      <c r="P1" s="95"/>
      <c r="Q1" s="95"/>
      <c r="R1" s="99" t="s">
        <v>43</v>
      </c>
      <c r="S1" s="100"/>
      <c r="T1" s="100"/>
      <c r="U1" s="100"/>
    </row>
    <row r="2" spans="1:45" s="38" customFormat="1" ht="13.5" thickBot="1" x14ac:dyDescent="0.25">
      <c r="A2" s="34"/>
      <c r="B2" s="35" t="s">
        <v>4</v>
      </c>
      <c r="C2" s="54" t="s">
        <v>5</v>
      </c>
      <c r="D2" s="36" t="s">
        <v>39</v>
      </c>
      <c r="E2" s="62" t="s">
        <v>6</v>
      </c>
      <c r="F2" s="63" t="s">
        <v>7</v>
      </c>
      <c r="G2" s="63" t="s">
        <v>8</v>
      </c>
      <c r="H2" s="63" t="s">
        <v>9</v>
      </c>
      <c r="I2" s="52" t="s">
        <v>10</v>
      </c>
      <c r="J2" s="52" t="s">
        <v>11</v>
      </c>
      <c r="K2" s="52" t="s">
        <v>12</v>
      </c>
      <c r="L2" s="52" t="s">
        <v>13</v>
      </c>
      <c r="M2" s="53" t="s">
        <v>14</v>
      </c>
      <c r="N2" s="52" t="s">
        <v>15</v>
      </c>
      <c r="O2" s="52" t="s">
        <v>13</v>
      </c>
      <c r="P2" s="53" t="s">
        <v>16</v>
      </c>
      <c r="Q2" s="52" t="s">
        <v>17</v>
      </c>
      <c r="R2" s="37" t="s">
        <v>18</v>
      </c>
      <c r="S2" s="37" t="s">
        <v>19</v>
      </c>
      <c r="T2" s="34" t="s">
        <v>13</v>
      </c>
      <c r="U2" s="37" t="s">
        <v>20</v>
      </c>
      <c r="V2" s="34" t="s">
        <v>13</v>
      </c>
      <c r="W2" s="37" t="s">
        <v>21</v>
      </c>
      <c r="X2" s="34" t="s">
        <v>22</v>
      </c>
      <c r="Y2" s="34" t="s">
        <v>13</v>
      </c>
      <c r="Z2" s="37" t="s">
        <v>23</v>
      </c>
      <c r="AA2" s="34" t="s">
        <v>13</v>
      </c>
      <c r="AB2" s="37" t="s">
        <v>24</v>
      </c>
      <c r="AC2" s="34" t="s">
        <v>13</v>
      </c>
      <c r="AD2" s="37" t="s">
        <v>25</v>
      </c>
      <c r="AE2" s="34" t="s">
        <v>13</v>
      </c>
      <c r="AF2" s="37" t="s">
        <v>26</v>
      </c>
      <c r="AG2" s="34" t="s">
        <v>13</v>
      </c>
      <c r="AH2" s="37" t="s">
        <v>27</v>
      </c>
      <c r="AI2" s="34" t="s">
        <v>28</v>
      </c>
      <c r="AJ2" s="34" t="s">
        <v>13</v>
      </c>
      <c r="AK2" s="37" t="s">
        <v>29</v>
      </c>
      <c r="AL2" s="34" t="s">
        <v>30</v>
      </c>
      <c r="AM2" s="34" t="s">
        <v>31</v>
      </c>
      <c r="AN2" s="34" t="s">
        <v>13</v>
      </c>
      <c r="AO2" s="37" t="s">
        <v>32</v>
      </c>
      <c r="AP2" s="34" t="s">
        <v>33</v>
      </c>
      <c r="AQ2" s="34" t="s">
        <v>13</v>
      </c>
      <c r="AR2" s="37" t="s">
        <v>34</v>
      </c>
      <c r="AS2" s="34" t="s">
        <v>35</v>
      </c>
    </row>
    <row r="3" spans="1:45" ht="13.5" thickTop="1" x14ac:dyDescent="0.2">
      <c r="A3" s="39">
        <v>1</v>
      </c>
      <c r="B3" s="40">
        <f>DATE($A$1,$B$1,$A3)</f>
        <v>46082</v>
      </c>
      <c r="C3" s="47">
        <f>B3</f>
        <v>46082</v>
      </c>
      <c r="D3" s="41" t="str">
        <f>VLOOKUP($D$1,勤務変更!$C$4:$AH$45,'Time Pro 入力フォーム（管理者用）'!$A3+1,FALSE)</f>
        <v>当</v>
      </c>
      <c r="E3" s="42"/>
      <c r="F3" s="39"/>
      <c r="G3" s="39"/>
      <c r="H3" s="50" t="s">
        <v>36</v>
      </c>
      <c r="I3" s="58" t="str">
        <f>IF(OR(D3="*",D3="●",D3="▲"),"休日",IF(D3="○","指定","勤務"))</f>
        <v>勤務</v>
      </c>
      <c r="J3" s="57"/>
      <c r="K3" s="57" t="str">
        <f>IF(D3="当","日当直入り",IF(D3="明","日当直明け",IF(D3="／","半日","日勤")))</f>
        <v>日当直入り</v>
      </c>
      <c r="L3" s="80" t="s">
        <v>37</v>
      </c>
      <c r="M3" s="81"/>
      <c r="N3" s="57" t="s">
        <v>44</v>
      </c>
      <c r="O3" s="80" t="s">
        <v>37</v>
      </c>
      <c r="P3" s="81"/>
      <c r="Q3" s="71" t="s">
        <v>44</v>
      </c>
      <c r="R3" s="51"/>
      <c r="S3" s="44"/>
      <c r="T3" s="45"/>
      <c r="U3" s="44"/>
      <c r="V3" s="45"/>
      <c r="W3" s="44"/>
      <c r="X3" s="39"/>
      <c r="Y3" s="45"/>
      <c r="Z3" s="44"/>
      <c r="AA3" s="45"/>
      <c r="AB3" s="44"/>
      <c r="AC3" s="45"/>
      <c r="AD3" s="44"/>
      <c r="AE3" s="45"/>
      <c r="AF3" s="44"/>
      <c r="AG3" s="45"/>
      <c r="AH3" s="44"/>
      <c r="AI3" s="45"/>
      <c r="AJ3" s="45"/>
      <c r="AK3" s="44"/>
      <c r="AL3" s="39"/>
      <c r="AM3" s="39"/>
      <c r="AN3" s="45"/>
      <c r="AO3" s="44"/>
      <c r="AP3" s="45"/>
      <c r="AQ3" s="45"/>
      <c r="AR3" s="44"/>
      <c r="AS3" s="39"/>
    </row>
    <row r="4" spans="1:45" x14ac:dyDescent="0.2">
      <c r="A4" s="39">
        <v>2</v>
      </c>
      <c r="B4" s="40">
        <f t="shared" ref="B4:B33" si="0">DATE($A$1,$B$1,$A4)</f>
        <v>46083</v>
      </c>
      <c r="C4" s="47">
        <f t="shared" ref="C4:C33" si="1">B4</f>
        <v>46083</v>
      </c>
      <c r="D4" s="41" t="str">
        <f>VLOOKUP($D$1,勤務変更!$C$4:$AH$45,'Time Pro 入力フォーム（管理者用）'!$A4+1,FALSE)</f>
        <v/>
      </c>
      <c r="E4" s="42"/>
      <c r="F4" s="39"/>
      <c r="G4" s="39"/>
      <c r="H4" s="50" t="s">
        <v>36</v>
      </c>
      <c r="I4" s="58" t="str">
        <f t="shared" ref="I4:I33" si="2">IF(OR(D4="*",D4="●",D4="▲"),"休日",IF(D4="○","指定","勤務"))</f>
        <v>勤務</v>
      </c>
      <c r="J4" s="43" t="s">
        <v>44</v>
      </c>
      <c r="K4" s="43" t="str">
        <f>IF(D4="当","日当直入り",IF(D4="明","日当直明け",IF(D4="／","半日","日勤")))</f>
        <v>日勤</v>
      </c>
      <c r="L4" s="82" t="s">
        <v>37</v>
      </c>
      <c r="M4" s="83"/>
      <c r="N4" s="43" t="s">
        <v>44</v>
      </c>
      <c r="O4" s="82" t="s">
        <v>37</v>
      </c>
      <c r="P4" s="83"/>
      <c r="Q4" s="59" t="s">
        <v>44</v>
      </c>
      <c r="R4" s="51"/>
      <c r="S4" s="44"/>
      <c r="T4" s="45"/>
      <c r="U4" s="44"/>
      <c r="V4" s="45"/>
      <c r="W4" s="44"/>
      <c r="X4" s="39"/>
      <c r="Y4" s="45"/>
      <c r="Z4" s="44"/>
      <c r="AA4" s="45"/>
      <c r="AB4" s="44"/>
      <c r="AC4" s="45"/>
      <c r="AD4" s="44"/>
      <c r="AE4" s="45"/>
      <c r="AF4" s="44"/>
      <c r="AG4" s="45"/>
      <c r="AH4" s="44"/>
      <c r="AI4" s="45"/>
      <c r="AJ4" s="45"/>
      <c r="AK4" s="44"/>
      <c r="AL4" s="39"/>
      <c r="AM4" s="39"/>
      <c r="AN4" s="45"/>
      <c r="AO4" s="44"/>
      <c r="AP4" s="45"/>
      <c r="AQ4" s="45"/>
      <c r="AR4" s="44"/>
      <c r="AS4" s="39"/>
    </row>
    <row r="5" spans="1:45" x14ac:dyDescent="0.2">
      <c r="A5" s="39">
        <v>3</v>
      </c>
      <c r="B5" s="40">
        <f t="shared" si="0"/>
        <v>46084</v>
      </c>
      <c r="C5" s="47">
        <f t="shared" si="1"/>
        <v>46084</v>
      </c>
      <c r="D5" s="41" t="str">
        <f>VLOOKUP($D$1,勤務変更!$C$4:$AH$45,'Time Pro 入力フォーム（管理者用）'!$A5+1,FALSE)</f>
        <v/>
      </c>
      <c r="E5" s="42"/>
      <c r="F5" s="39"/>
      <c r="G5" s="39"/>
      <c r="H5" s="50" t="s">
        <v>36</v>
      </c>
      <c r="I5" s="58" t="str">
        <f t="shared" si="2"/>
        <v>勤務</v>
      </c>
      <c r="J5" s="43" t="s">
        <v>44</v>
      </c>
      <c r="K5" s="43" t="str">
        <f t="shared" ref="K5:K33" si="3">IF(D5="当","日当直入り",IF(D5="明","日当直明け",IF(D5="／","半日","日勤")))</f>
        <v>日勤</v>
      </c>
      <c r="L5" s="82" t="s">
        <v>37</v>
      </c>
      <c r="M5" s="83"/>
      <c r="N5" s="43" t="s">
        <v>44</v>
      </c>
      <c r="O5" s="82" t="s">
        <v>37</v>
      </c>
      <c r="P5" s="83"/>
      <c r="Q5" s="59" t="s">
        <v>44</v>
      </c>
      <c r="R5" s="51"/>
      <c r="S5" s="44"/>
      <c r="T5" s="45"/>
      <c r="U5" s="44"/>
      <c r="V5" s="45"/>
      <c r="W5" s="44"/>
      <c r="X5" s="39"/>
      <c r="Y5" s="45"/>
      <c r="Z5" s="44"/>
      <c r="AA5" s="45"/>
      <c r="AB5" s="44"/>
      <c r="AC5" s="45"/>
      <c r="AD5" s="44"/>
      <c r="AE5" s="45"/>
      <c r="AF5" s="44"/>
      <c r="AG5" s="45"/>
      <c r="AH5" s="44"/>
      <c r="AI5" s="45"/>
      <c r="AJ5" s="45"/>
      <c r="AK5" s="44"/>
      <c r="AL5" s="39"/>
      <c r="AM5" s="39"/>
      <c r="AN5" s="45"/>
      <c r="AO5" s="44"/>
      <c r="AP5" s="45"/>
      <c r="AQ5" s="45"/>
      <c r="AR5" s="44"/>
      <c r="AS5" s="39"/>
    </row>
    <row r="6" spans="1:45" x14ac:dyDescent="0.2">
      <c r="A6" s="39">
        <v>4</v>
      </c>
      <c r="B6" s="40">
        <f t="shared" si="0"/>
        <v>46085</v>
      </c>
      <c r="C6" s="47">
        <f t="shared" si="1"/>
        <v>46085</v>
      </c>
      <c r="D6" s="41" t="str">
        <f>VLOOKUP($D$1,勤務変更!$C$4:$AH$45,'Time Pro 入力フォーム（管理者用）'!$A6+1,FALSE)</f>
        <v/>
      </c>
      <c r="E6" s="42"/>
      <c r="F6" s="39"/>
      <c r="G6" s="39"/>
      <c r="H6" s="50" t="s">
        <v>36</v>
      </c>
      <c r="I6" s="58" t="str">
        <f t="shared" si="2"/>
        <v>勤務</v>
      </c>
      <c r="J6" s="43" t="s">
        <v>44</v>
      </c>
      <c r="K6" s="43" t="str">
        <f t="shared" si="3"/>
        <v>日勤</v>
      </c>
      <c r="L6" s="82" t="s">
        <v>37</v>
      </c>
      <c r="M6" s="83"/>
      <c r="N6" s="43" t="s">
        <v>44</v>
      </c>
      <c r="O6" s="82" t="s">
        <v>37</v>
      </c>
      <c r="P6" s="83"/>
      <c r="Q6" s="59" t="s">
        <v>44</v>
      </c>
      <c r="R6" s="51"/>
      <c r="S6" s="44"/>
      <c r="T6" s="45"/>
      <c r="U6" s="44"/>
      <c r="V6" s="45"/>
      <c r="W6" s="44"/>
      <c r="X6" s="39"/>
      <c r="Y6" s="45"/>
      <c r="Z6" s="44"/>
      <c r="AA6" s="45"/>
      <c r="AB6" s="44"/>
      <c r="AC6" s="45"/>
      <c r="AD6" s="44"/>
      <c r="AE6" s="45"/>
      <c r="AF6" s="44"/>
      <c r="AG6" s="45"/>
      <c r="AH6" s="44"/>
      <c r="AI6" s="45"/>
      <c r="AJ6" s="45"/>
      <c r="AK6" s="44"/>
      <c r="AL6" s="39"/>
      <c r="AM6" s="39"/>
      <c r="AN6" s="45"/>
      <c r="AO6" s="44"/>
      <c r="AP6" s="45"/>
      <c r="AQ6" s="45"/>
      <c r="AR6" s="44"/>
      <c r="AS6" s="39"/>
    </row>
    <row r="7" spans="1:45" x14ac:dyDescent="0.2">
      <c r="A7" s="39">
        <v>5</v>
      </c>
      <c r="B7" s="40">
        <f t="shared" si="0"/>
        <v>46086</v>
      </c>
      <c r="C7" s="47">
        <f t="shared" si="1"/>
        <v>46086</v>
      </c>
      <c r="D7" s="41" t="str">
        <f>VLOOKUP($D$1,勤務変更!$C$4:$AH$45,'Time Pro 入力フォーム（管理者用）'!$A7+1,FALSE)</f>
        <v/>
      </c>
      <c r="E7" s="42"/>
      <c r="F7" s="39"/>
      <c r="G7" s="39"/>
      <c r="H7" s="50" t="s">
        <v>36</v>
      </c>
      <c r="I7" s="58" t="str">
        <f t="shared" si="2"/>
        <v>勤務</v>
      </c>
      <c r="J7" s="43" t="s">
        <v>44</v>
      </c>
      <c r="K7" s="43" t="str">
        <f t="shared" si="3"/>
        <v>日勤</v>
      </c>
      <c r="L7" s="82" t="s">
        <v>37</v>
      </c>
      <c r="M7" s="83"/>
      <c r="N7" s="43" t="s">
        <v>44</v>
      </c>
      <c r="O7" s="82" t="s">
        <v>37</v>
      </c>
      <c r="P7" s="83"/>
      <c r="Q7" s="59" t="s">
        <v>44</v>
      </c>
      <c r="R7" s="51"/>
      <c r="S7" s="44"/>
      <c r="T7" s="45"/>
      <c r="U7" s="44"/>
      <c r="V7" s="45"/>
      <c r="W7" s="44"/>
      <c r="X7" s="39"/>
      <c r="Y7" s="45"/>
      <c r="Z7" s="44"/>
      <c r="AA7" s="45"/>
      <c r="AB7" s="44"/>
      <c r="AC7" s="45"/>
      <c r="AD7" s="44"/>
      <c r="AE7" s="45"/>
      <c r="AF7" s="44"/>
      <c r="AG7" s="45"/>
      <c r="AH7" s="44"/>
      <c r="AI7" s="45"/>
      <c r="AJ7" s="45"/>
      <c r="AK7" s="44"/>
      <c r="AL7" s="39"/>
      <c r="AM7" s="39"/>
      <c r="AN7" s="45"/>
      <c r="AO7" s="44"/>
      <c r="AP7" s="45"/>
      <c r="AQ7" s="45"/>
      <c r="AR7" s="44"/>
      <c r="AS7" s="39"/>
    </row>
    <row r="8" spans="1:45" x14ac:dyDescent="0.2">
      <c r="A8" s="39">
        <v>6</v>
      </c>
      <c r="B8" s="40">
        <f t="shared" si="0"/>
        <v>46087</v>
      </c>
      <c r="C8" s="47">
        <f t="shared" si="1"/>
        <v>46087</v>
      </c>
      <c r="D8" s="41" t="str">
        <f>VLOOKUP($D$1,勤務変更!$C$4:$AH$45,'Time Pro 入力フォーム（管理者用）'!$A8+1,FALSE)</f>
        <v/>
      </c>
      <c r="E8" s="42"/>
      <c r="F8" s="39"/>
      <c r="G8" s="39"/>
      <c r="H8" s="50" t="s">
        <v>36</v>
      </c>
      <c r="I8" s="58" t="str">
        <f t="shared" si="2"/>
        <v>勤務</v>
      </c>
      <c r="J8" s="43" t="s">
        <v>44</v>
      </c>
      <c r="K8" s="43" t="str">
        <f t="shared" si="3"/>
        <v>日勤</v>
      </c>
      <c r="L8" s="82" t="s">
        <v>37</v>
      </c>
      <c r="M8" s="83"/>
      <c r="N8" s="43" t="s">
        <v>44</v>
      </c>
      <c r="O8" s="82" t="s">
        <v>37</v>
      </c>
      <c r="P8" s="83"/>
      <c r="Q8" s="59" t="s">
        <v>44</v>
      </c>
      <c r="R8" s="51"/>
      <c r="S8" s="44"/>
      <c r="T8" s="45"/>
      <c r="U8" s="44"/>
      <c r="V8" s="45"/>
      <c r="W8" s="44"/>
      <c r="X8" s="39"/>
      <c r="Y8" s="45"/>
      <c r="Z8" s="44"/>
      <c r="AA8" s="45"/>
      <c r="AB8" s="44"/>
      <c r="AC8" s="45"/>
      <c r="AD8" s="44"/>
      <c r="AE8" s="45"/>
      <c r="AF8" s="44"/>
      <c r="AG8" s="45"/>
      <c r="AH8" s="44"/>
      <c r="AI8" s="45"/>
      <c r="AJ8" s="45"/>
      <c r="AK8" s="44"/>
      <c r="AL8" s="39"/>
      <c r="AM8" s="39"/>
      <c r="AN8" s="45"/>
      <c r="AO8" s="44"/>
      <c r="AP8" s="45"/>
      <c r="AQ8" s="45"/>
      <c r="AR8" s="44"/>
      <c r="AS8" s="39"/>
    </row>
    <row r="9" spans="1:45" x14ac:dyDescent="0.2">
      <c r="A9" s="39">
        <v>7</v>
      </c>
      <c r="B9" s="40">
        <f t="shared" si="0"/>
        <v>46088</v>
      </c>
      <c r="C9" s="47">
        <f t="shared" si="1"/>
        <v>46088</v>
      </c>
      <c r="D9" s="41" t="str">
        <f>VLOOKUP($D$1,勤務変更!$C$4:$AH$45,'Time Pro 入力フォーム（管理者用）'!$A9+1,FALSE)</f>
        <v>／</v>
      </c>
      <c r="E9" s="42"/>
      <c r="F9" s="39"/>
      <c r="G9" s="39"/>
      <c r="H9" s="50" t="s">
        <v>36</v>
      </c>
      <c r="I9" s="58" t="str">
        <f t="shared" si="2"/>
        <v>勤務</v>
      </c>
      <c r="J9" s="43" t="s">
        <v>44</v>
      </c>
      <c r="K9" s="43" t="str">
        <f t="shared" si="3"/>
        <v>半日</v>
      </c>
      <c r="L9" s="82" t="s">
        <v>37</v>
      </c>
      <c r="M9" s="83"/>
      <c r="N9" s="43" t="s">
        <v>44</v>
      </c>
      <c r="O9" s="82" t="s">
        <v>37</v>
      </c>
      <c r="P9" s="83"/>
      <c r="Q9" s="59" t="s">
        <v>44</v>
      </c>
      <c r="R9" s="51"/>
      <c r="S9" s="44"/>
      <c r="T9" s="45"/>
      <c r="U9" s="44"/>
      <c r="V9" s="45"/>
      <c r="W9" s="44"/>
      <c r="X9" s="39"/>
      <c r="Y9" s="45"/>
      <c r="Z9" s="44"/>
      <c r="AA9" s="45"/>
      <c r="AB9" s="44"/>
      <c r="AC9" s="45"/>
      <c r="AD9" s="44"/>
      <c r="AE9" s="45"/>
      <c r="AF9" s="44"/>
      <c r="AG9" s="45"/>
      <c r="AH9" s="44"/>
      <c r="AI9" s="45"/>
      <c r="AJ9" s="45"/>
      <c r="AK9" s="44"/>
      <c r="AL9" s="39"/>
      <c r="AM9" s="39"/>
      <c r="AN9" s="45"/>
      <c r="AO9" s="44"/>
      <c r="AP9" s="45"/>
      <c r="AQ9" s="45"/>
      <c r="AR9" s="44"/>
      <c r="AS9" s="39"/>
    </row>
    <row r="10" spans="1:45" x14ac:dyDescent="0.2">
      <c r="A10" s="39">
        <v>8</v>
      </c>
      <c r="B10" s="40">
        <f t="shared" si="0"/>
        <v>46089</v>
      </c>
      <c r="C10" s="47">
        <f t="shared" si="1"/>
        <v>46089</v>
      </c>
      <c r="D10" s="41" t="str">
        <f>VLOOKUP($D$1,勤務変更!$C$4:$AH$45,'Time Pro 入力フォーム（管理者用）'!$A10+1,FALSE)</f>
        <v>●</v>
      </c>
      <c r="E10" s="42"/>
      <c r="F10" s="39"/>
      <c r="G10" s="39"/>
      <c r="H10" s="50" t="s">
        <v>36</v>
      </c>
      <c r="I10" s="58" t="str">
        <f t="shared" si="2"/>
        <v>休日</v>
      </c>
      <c r="J10" s="43" t="s">
        <v>44</v>
      </c>
      <c r="K10" s="43" t="str">
        <f t="shared" si="3"/>
        <v>日勤</v>
      </c>
      <c r="L10" s="82" t="s">
        <v>37</v>
      </c>
      <c r="M10" s="83"/>
      <c r="N10" s="43" t="s">
        <v>44</v>
      </c>
      <c r="O10" s="82" t="s">
        <v>37</v>
      </c>
      <c r="P10" s="83"/>
      <c r="Q10" s="59" t="s">
        <v>44</v>
      </c>
      <c r="R10" s="51"/>
      <c r="S10" s="44"/>
      <c r="T10" s="45"/>
      <c r="U10" s="44"/>
      <c r="V10" s="45"/>
      <c r="W10" s="44"/>
      <c r="X10" s="39"/>
      <c r="Y10" s="45"/>
      <c r="Z10" s="44"/>
      <c r="AA10" s="45"/>
      <c r="AB10" s="44"/>
      <c r="AC10" s="45"/>
      <c r="AD10" s="44"/>
      <c r="AE10" s="45"/>
      <c r="AF10" s="44"/>
      <c r="AG10" s="45"/>
      <c r="AH10" s="44"/>
      <c r="AI10" s="45"/>
      <c r="AJ10" s="45"/>
      <c r="AK10" s="44"/>
      <c r="AL10" s="39"/>
      <c r="AM10" s="39"/>
      <c r="AN10" s="45"/>
      <c r="AO10" s="44"/>
      <c r="AP10" s="45"/>
      <c r="AQ10" s="45"/>
      <c r="AR10" s="44"/>
      <c r="AS10" s="39"/>
    </row>
    <row r="11" spans="1:45" x14ac:dyDescent="0.2">
      <c r="A11" s="39">
        <v>9</v>
      </c>
      <c r="B11" s="40">
        <f t="shared" si="0"/>
        <v>46090</v>
      </c>
      <c r="C11" s="47">
        <f t="shared" si="1"/>
        <v>46090</v>
      </c>
      <c r="D11" s="41" t="str">
        <f>VLOOKUP($D$1,勤務変更!$C$4:$AH$45,'Time Pro 入力フォーム（管理者用）'!$A11+1,FALSE)</f>
        <v/>
      </c>
      <c r="E11" s="42"/>
      <c r="F11" s="39"/>
      <c r="G11" s="39"/>
      <c r="H11" s="50" t="s">
        <v>36</v>
      </c>
      <c r="I11" s="58" t="str">
        <f t="shared" si="2"/>
        <v>勤務</v>
      </c>
      <c r="J11" s="43" t="s">
        <v>44</v>
      </c>
      <c r="K11" s="43" t="str">
        <f t="shared" si="3"/>
        <v>日勤</v>
      </c>
      <c r="L11" s="82" t="s">
        <v>37</v>
      </c>
      <c r="M11" s="83"/>
      <c r="N11" s="43" t="s">
        <v>44</v>
      </c>
      <c r="O11" s="82" t="s">
        <v>37</v>
      </c>
      <c r="P11" s="83"/>
      <c r="Q11" s="59" t="s">
        <v>44</v>
      </c>
      <c r="R11" s="51"/>
      <c r="S11" s="44"/>
      <c r="T11" s="45"/>
      <c r="U11" s="44"/>
      <c r="V11" s="45"/>
      <c r="W11" s="44"/>
      <c r="X11" s="39"/>
      <c r="Y11" s="45"/>
      <c r="Z11" s="44"/>
      <c r="AA11" s="45"/>
      <c r="AB11" s="44"/>
      <c r="AC11" s="45"/>
      <c r="AD11" s="44"/>
      <c r="AE11" s="45"/>
      <c r="AF11" s="44"/>
      <c r="AG11" s="45"/>
      <c r="AH11" s="44"/>
      <c r="AI11" s="45"/>
      <c r="AJ11" s="45"/>
      <c r="AK11" s="44"/>
      <c r="AL11" s="39"/>
      <c r="AM11" s="39"/>
      <c r="AN11" s="45"/>
      <c r="AO11" s="44"/>
      <c r="AP11" s="45"/>
      <c r="AQ11" s="45"/>
      <c r="AR11" s="44"/>
      <c r="AS11" s="39"/>
    </row>
    <row r="12" spans="1:45" x14ac:dyDescent="0.2">
      <c r="A12" s="39">
        <v>10</v>
      </c>
      <c r="B12" s="40">
        <f t="shared" si="0"/>
        <v>46091</v>
      </c>
      <c r="C12" s="47">
        <f t="shared" si="1"/>
        <v>46091</v>
      </c>
      <c r="D12" s="41" t="str">
        <f>VLOOKUP($D$1,勤務変更!$C$4:$AH$45,'Time Pro 入力フォーム（管理者用）'!$A12+1,FALSE)</f>
        <v/>
      </c>
      <c r="E12" s="42"/>
      <c r="F12" s="39"/>
      <c r="G12" s="39"/>
      <c r="H12" s="50" t="s">
        <v>36</v>
      </c>
      <c r="I12" s="58" t="str">
        <f t="shared" si="2"/>
        <v>勤務</v>
      </c>
      <c r="J12" s="43" t="s">
        <v>44</v>
      </c>
      <c r="K12" s="43" t="str">
        <f t="shared" si="3"/>
        <v>日勤</v>
      </c>
      <c r="L12" s="82" t="s">
        <v>37</v>
      </c>
      <c r="M12" s="83"/>
      <c r="N12" s="43" t="s">
        <v>44</v>
      </c>
      <c r="O12" s="82" t="s">
        <v>37</v>
      </c>
      <c r="P12" s="83"/>
      <c r="Q12" s="59" t="s">
        <v>44</v>
      </c>
      <c r="R12" s="51"/>
      <c r="S12" s="44"/>
      <c r="T12" s="45"/>
      <c r="U12" s="44"/>
      <c r="V12" s="45"/>
      <c r="W12" s="44"/>
      <c r="X12" s="39"/>
      <c r="Y12" s="45"/>
      <c r="Z12" s="44"/>
      <c r="AA12" s="45"/>
      <c r="AB12" s="44"/>
      <c r="AC12" s="45"/>
      <c r="AD12" s="44"/>
      <c r="AE12" s="45"/>
      <c r="AF12" s="44"/>
      <c r="AG12" s="45"/>
      <c r="AH12" s="44"/>
      <c r="AI12" s="45"/>
      <c r="AJ12" s="45"/>
      <c r="AK12" s="44"/>
      <c r="AL12" s="39"/>
      <c r="AM12" s="39"/>
      <c r="AN12" s="45"/>
      <c r="AO12" s="44"/>
      <c r="AP12" s="45"/>
      <c r="AQ12" s="45"/>
      <c r="AR12" s="44"/>
      <c r="AS12" s="39"/>
    </row>
    <row r="13" spans="1:45" x14ac:dyDescent="0.2">
      <c r="A13" s="39">
        <v>11</v>
      </c>
      <c r="B13" s="40">
        <f t="shared" si="0"/>
        <v>46092</v>
      </c>
      <c r="C13" s="47">
        <f t="shared" si="1"/>
        <v>46092</v>
      </c>
      <c r="D13" s="41" t="str">
        <f>VLOOKUP($D$1,勤務変更!$C$4:$AH$45,'Time Pro 入力フォーム（管理者用）'!$A13+1,FALSE)</f>
        <v/>
      </c>
      <c r="E13" s="42"/>
      <c r="F13" s="39"/>
      <c r="G13" s="39"/>
      <c r="H13" s="50" t="s">
        <v>36</v>
      </c>
      <c r="I13" s="58" t="str">
        <f t="shared" si="2"/>
        <v>勤務</v>
      </c>
      <c r="J13" s="43" t="s">
        <v>44</v>
      </c>
      <c r="K13" s="43" t="str">
        <f t="shared" si="3"/>
        <v>日勤</v>
      </c>
      <c r="L13" s="82" t="s">
        <v>37</v>
      </c>
      <c r="M13" s="83"/>
      <c r="N13" s="43" t="s">
        <v>44</v>
      </c>
      <c r="O13" s="82" t="s">
        <v>37</v>
      </c>
      <c r="P13" s="83"/>
      <c r="Q13" s="59" t="s">
        <v>44</v>
      </c>
      <c r="R13" s="51"/>
      <c r="S13" s="44"/>
      <c r="T13" s="45"/>
      <c r="U13" s="44"/>
      <c r="V13" s="45"/>
      <c r="W13" s="44"/>
      <c r="X13" s="39"/>
      <c r="Y13" s="45"/>
      <c r="Z13" s="44"/>
      <c r="AA13" s="45"/>
      <c r="AB13" s="44"/>
      <c r="AC13" s="45"/>
      <c r="AD13" s="44"/>
      <c r="AE13" s="45"/>
      <c r="AF13" s="44"/>
      <c r="AG13" s="45"/>
      <c r="AH13" s="44"/>
      <c r="AI13" s="45"/>
      <c r="AJ13" s="45"/>
      <c r="AK13" s="44"/>
      <c r="AL13" s="39"/>
      <c r="AM13" s="39"/>
      <c r="AN13" s="45"/>
      <c r="AO13" s="44"/>
      <c r="AP13" s="45"/>
      <c r="AQ13" s="45"/>
      <c r="AR13" s="44"/>
      <c r="AS13" s="39"/>
    </row>
    <row r="14" spans="1:45" x14ac:dyDescent="0.2">
      <c r="A14" s="39">
        <v>12</v>
      </c>
      <c r="B14" s="40">
        <f t="shared" si="0"/>
        <v>46093</v>
      </c>
      <c r="C14" s="47">
        <f t="shared" si="1"/>
        <v>46093</v>
      </c>
      <c r="D14" s="41" t="str">
        <f>VLOOKUP($D$1,勤務変更!$C$4:$AH$45,'Time Pro 入力フォーム（管理者用）'!$A14+1,FALSE)</f>
        <v/>
      </c>
      <c r="E14" s="42"/>
      <c r="F14" s="39"/>
      <c r="G14" s="39"/>
      <c r="H14" s="50" t="s">
        <v>36</v>
      </c>
      <c r="I14" s="58" t="str">
        <f t="shared" si="2"/>
        <v>勤務</v>
      </c>
      <c r="J14" s="43" t="s">
        <v>44</v>
      </c>
      <c r="K14" s="43" t="str">
        <f t="shared" si="3"/>
        <v>日勤</v>
      </c>
      <c r="L14" s="82" t="s">
        <v>37</v>
      </c>
      <c r="M14" s="83"/>
      <c r="N14" s="43" t="s">
        <v>44</v>
      </c>
      <c r="O14" s="82" t="s">
        <v>37</v>
      </c>
      <c r="P14" s="83"/>
      <c r="Q14" s="59" t="s">
        <v>44</v>
      </c>
      <c r="R14" s="51"/>
      <c r="S14" s="44"/>
      <c r="T14" s="45"/>
      <c r="U14" s="44"/>
      <c r="V14" s="45"/>
      <c r="W14" s="44"/>
      <c r="X14" s="39"/>
      <c r="Y14" s="45"/>
      <c r="Z14" s="44"/>
      <c r="AA14" s="45"/>
      <c r="AB14" s="44"/>
      <c r="AC14" s="45"/>
      <c r="AD14" s="44"/>
      <c r="AE14" s="45"/>
      <c r="AF14" s="44"/>
      <c r="AG14" s="45"/>
      <c r="AH14" s="44"/>
      <c r="AI14" s="45"/>
      <c r="AJ14" s="45"/>
      <c r="AK14" s="44"/>
      <c r="AL14" s="39"/>
      <c r="AM14" s="39"/>
      <c r="AN14" s="45"/>
      <c r="AO14" s="44"/>
      <c r="AP14" s="45"/>
      <c r="AQ14" s="45"/>
      <c r="AR14" s="44"/>
      <c r="AS14" s="39"/>
    </row>
    <row r="15" spans="1:45" x14ac:dyDescent="0.2">
      <c r="A15" s="39">
        <v>13</v>
      </c>
      <c r="B15" s="40">
        <f t="shared" si="0"/>
        <v>46094</v>
      </c>
      <c r="C15" s="47">
        <f t="shared" si="1"/>
        <v>46094</v>
      </c>
      <c r="D15" s="41" t="str">
        <f>VLOOKUP($D$1,勤務変更!$C$4:$AH$45,'Time Pro 入力フォーム（管理者用）'!$A15+1,FALSE)</f>
        <v/>
      </c>
      <c r="E15" s="42"/>
      <c r="F15" s="39"/>
      <c r="G15" s="39"/>
      <c r="H15" s="50" t="s">
        <v>36</v>
      </c>
      <c r="I15" s="58" t="str">
        <f t="shared" si="2"/>
        <v>勤務</v>
      </c>
      <c r="J15" s="43" t="s">
        <v>44</v>
      </c>
      <c r="K15" s="43" t="str">
        <f t="shared" si="3"/>
        <v>日勤</v>
      </c>
      <c r="L15" s="82" t="s">
        <v>37</v>
      </c>
      <c r="M15" s="83"/>
      <c r="N15" s="43" t="s">
        <v>44</v>
      </c>
      <c r="O15" s="82" t="s">
        <v>37</v>
      </c>
      <c r="P15" s="83"/>
      <c r="Q15" s="59" t="s">
        <v>44</v>
      </c>
      <c r="R15" s="51"/>
      <c r="S15" s="44"/>
      <c r="T15" s="45"/>
      <c r="U15" s="44"/>
      <c r="V15" s="45"/>
      <c r="W15" s="44"/>
      <c r="X15" s="39"/>
      <c r="Y15" s="45"/>
      <c r="Z15" s="44"/>
      <c r="AA15" s="45"/>
      <c r="AB15" s="44"/>
      <c r="AC15" s="45"/>
      <c r="AD15" s="44"/>
      <c r="AE15" s="45"/>
      <c r="AF15" s="44"/>
      <c r="AG15" s="45"/>
      <c r="AH15" s="44"/>
      <c r="AI15" s="45"/>
      <c r="AJ15" s="45"/>
      <c r="AK15" s="44"/>
      <c r="AL15" s="39"/>
      <c r="AM15" s="39"/>
      <c r="AN15" s="45"/>
      <c r="AO15" s="44"/>
      <c r="AP15" s="45"/>
      <c r="AQ15" s="45"/>
      <c r="AR15" s="44"/>
      <c r="AS15" s="39"/>
    </row>
    <row r="16" spans="1:45" x14ac:dyDescent="0.2">
      <c r="A16" s="39">
        <v>14</v>
      </c>
      <c r="B16" s="40">
        <f t="shared" si="0"/>
        <v>46095</v>
      </c>
      <c r="C16" s="47">
        <f t="shared" si="1"/>
        <v>46095</v>
      </c>
      <c r="D16" s="41" t="str">
        <f>VLOOKUP($D$1,勤務変更!$C$4:$AH$45,'Time Pro 入力フォーム（管理者用）'!$A16+1,FALSE)</f>
        <v>／</v>
      </c>
      <c r="E16" s="42"/>
      <c r="F16" s="39"/>
      <c r="G16" s="39"/>
      <c r="H16" s="50" t="s">
        <v>36</v>
      </c>
      <c r="I16" s="58" t="str">
        <f t="shared" si="2"/>
        <v>勤務</v>
      </c>
      <c r="J16" s="43" t="s">
        <v>44</v>
      </c>
      <c r="K16" s="43" t="str">
        <f t="shared" si="3"/>
        <v>半日</v>
      </c>
      <c r="L16" s="82" t="s">
        <v>37</v>
      </c>
      <c r="M16" s="83"/>
      <c r="N16" s="43" t="s">
        <v>44</v>
      </c>
      <c r="O16" s="82" t="s">
        <v>37</v>
      </c>
      <c r="P16" s="83"/>
      <c r="Q16" s="59" t="s">
        <v>44</v>
      </c>
      <c r="R16" s="51"/>
      <c r="S16" s="44"/>
      <c r="T16" s="45"/>
      <c r="U16" s="44"/>
      <c r="V16" s="45"/>
      <c r="W16" s="44"/>
      <c r="X16" s="39"/>
      <c r="Y16" s="45"/>
      <c r="Z16" s="44"/>
      <c r="AA16" s="45"/>
      <c r="AB16" s="44"/>
      <c r="AC16" s="45"/>
      <c r="AD16" s="44"/>
      <c r="AE16" s="45"/>
      <c r="AF16" s="44"/>
      <c r="AG16" s="45"/>
      <c r="AH16" s="44"/>
      <c r="AI16" s="45"/>
      <c r="AJ16" s="45"/>
      <c r="AK16" s="44"/>
      <c r="AL16" s="39"/>
      <c r="AM16" s="39"/>
      <c r="AN16" s="45"/>
      <c r="AO16" s="44"/>
      <c r="AP16" s="45"/>
      <c r="AQ16" s="45"/>
      <c r="AR16" s="44"/>
      <c r="AS16" s="39"/>
    </row>
    <row r="17" spans="1:45" x14ac:dyDescent="0.2">
      <c r="A17" s="39">
        <v>15</v>
      </c>
      <c r="B17" s="40">
        <f t="shared" si="0"/>
        <v>46096</v>
      </c>
      <c r="C17" s="47">
        <f t="shared" si="1"/>
        <v>46096</v>
      </c>
      <c r="D17" s="41" t="str">
        <f>VLOOKUP($D$1,勤務変更!$C$4:$AH$45,'Time Pro 入力フォーム（管理者用）'!$A17+1,FALSE)</f>
        <v>●</v>
      </c>
      <c r="E17" s="42"/>
      <c r="F17" s="39"/>
      <c r="G17" s="39"/>
      <c r="H17" s="50" t="s">
        <v>36</v>
      </c>
      <c r="I17" s="58" t="str">
        <f t="shared" si="2"/>
        <v>休日</v>
      </c>
      <c r="J17" s="43" t="s">
        <v>44</v>
      </c>
      <c r="K17" s="43" t="str">
        <f t="shared" si="3"/>
        <v>日勤</v>
      </c>
      <c r="L17" s="82" t="s">
        <v>37</v>
      </c>
      <c r="M17" s="83"/>
      <c r="N17" s="43" t="s">
        <v>44</v>
      </c>
      <c r="O17" s="82" t="s">
        <v>37</v>
      </c>
      <c r="P17" s="83"/>
      <c r="Q17" s="59" t="s">
        <v>44</v>
      </c>
      <c r="R17" s="51"/>
      <c r="S17" s="44"/>
      <c r="T17" s="45"/>
      <c r="U17" s="44"/>
      <c r="V17" s="45"/>
      <c r="W17" s="44"/>
      <c r="X17" s="39"/>
      <c r="Y17" s="45"/>
      <c r="Z17" s="44"/>
      <c r="AA17" s="45"/>
      <c r="AB17" s="44"/>
      <c r="AC17" s="45"/>
      <c r="AD17" s="44"/>
      <c r="AE17" s="45"/>
      <c r="AF17" s="44"/>
      <c r="AG17" s="45"/>
      <c r="AH17" s="44"/>
      <c r="AI17" s="45"/>
      <c r="AJ17" s="45"/>
      <c r="AK17" s="44"/>
      <c r="AL17" s="39"/>
      <c r="AM17" s="39"/>
      <c r="AN17" s="45"/>
      <c r="AO17" s="44"/>
      <c r="AP17" s="45"/>
      <c r="AQ17" s="45"/>
      <c r="AR17" s="44"/>
      <c r="AS17" s="39"/>
    </row>
    <row r="18" spans="1:45" x14ac:dyDescent="0.2">
      <c r="A18" s="39">
        <v>16</v>
      </c>
      <c r="B18" s="40">
        <f t="shared" si="0"/>
        <v>46097</v>
      </c>
      <c r="C18" s="47">
        <f t="shared" si="1"/>
        <v>46097</v>
      </c>
      <c r="D18" s="41" t="str">
        <f>VLOOKUP($D$1,勤務変更!$C$4:$AH$45,'Time Pro 入力フォーム（管理者用）'!$A18+1,FALSE)</f>
        <v/>
      </c>
      <c r="E18" s="42"/>
      <c r="F18" s="39"/>
      <c r="G18" s="39"/>
      <c r="H18" s="50" t="s">
        <v>36</v>
      </c>
      <c r="I18" s="58" t="str">
        <f t="shared" si="2"/>
        <v>勤務</v>
      </c>
      <c r="J18" s="43" t="s">
        <v>44</v>
      </c>
      <c r="K18" s="43" t="str">
        <f t="shared" si="3"/>
        <v>日勤</v>
      </c>
      <c r="L18" s="82" t="s">
        <v>37</v>
      </c>
      <c r="M18" s="83"/>
      <c r="N18" s="43" t="s">
        <v>44</v>
      </c>
      <c r="O18" s="82" t="s">
        <v>37</v>
      </c>
      <c r="P18" s="83"/>
      <c r="Q18" s="59" t="s">
        <v>44</v>
      </c>
      <c r="R18" s="51"/>
      <c r="S18" s="44"/>
      <c r="T18" s="45"/>
      <c r="U18" s="44"/>
      <c r="V18" s="45"/>
      <c r="W18" s="44"/>
      <c r="X18" s="39"/>
      <c r="Y18" s="45"/>
      <c r="Z18" s="44"/>
      <c r="AA18" s="45"/>
      <c r="AB18" s="44"/>
      <c r="AC18" s="45"/>
      <c r="AD18" s="44"/>
      <c r="AE18" s="45"/>
      <c r="AF18" s="44"/>
      <c r="AG18" s="45"/>
      <c r="AH18" s="44"/>
      <c r="AI18" s="45"/>
      <c r="AJ18" s="45"/>
      <c r="AK18" s="44"/>
      <c r="AL18" s="39"/>
      <c r="AM18" s="39"/>
      <c r="AN18" s="45"/>
      <c r="AO18" s="44"/>
      <c r="AP18" s="45"/>
      <c r="AQ18" s="45"/>
      <c r="AR18" s="44"/>
      <c r="AS18" s="39"/>
    </row>
    <row r="19" spans="1:45" x14ac:dyDescent="0.2">
      <c r="A19" s="39">
        <v>17</v>
      </c>
      <c r="B19" s="40">
        <f t="shared" si="0"/>
        <v>46098</v>
      </c>
      <c r="C19" s="47">
        <f t="shared" si="1"/>
        <v>46098</v>
      </c>
      <c r="D19" s="41" t="str">
        <f>VLOOKUP($D$1,勤務変更!$C$4:$AH$45,'Time Pro 入力フォーム（管理者用）'!$A19+1,FALSE)</f>
        <v/>
      </c>
      <c r="E19" s="42"/>
      <c r="F19" s="39"/>
      <c r="G19" s="39"/>
      <c r="H19" s="50" t="s">
        <v>36</v>
      </c>
      <c r="I19" s="58" t="str">
        <f t="shared" si="2"/>
        <v>勤務</v>
      </c>
      <c r="J19" s="43" t="s">
        <v>44</v>
      </c>
      <c r="K19" s="43" t="str">
        <f t="shared" si="3"/>
        <v>日勤</v>
      </c>
      <c r="L19" s="82" t="s">
        <v>45</v>
      </c>
      <c r="M19" s="83"/>
      <c r="N19" s="43" t="s">
        <v>44</v>
      </c>
      <c r="O19" s="82" t="s">
        <v>37</v>
      </c>
      <c r="P19" s="83"/>
      <c r="Q19" s="59" t="s">
        <v>44</v>
      </c>
      <c r="R19" s="51"/>
      <c r="S19" s="44"/>
      <c r="T19" s="45"/>
      <c r="U19" s="44"/>
      <c r="V19" s="45"/>
      <c r="W19" s="44"/>
      <c r="X19" s="39"/>
      <c r="Y19" s="45"/>
      <c r="Z19" s="44"/>
      <c r="AA19" s="45"/>
      <c r="AB19" s="44"/>
      <c r="AC19" s="45"/>
      <c r="AD19" s="44"/>
      <c r="AE19" s="45"/>
      <c r="AF19" s="44"/>
      <c r="AG19" s="45"/>
      <c r="AH19" s="44"/>
      <c r="AI19" s="45"/>
      <c r="AJ19" s="45"/>
      <c r="AK19" s="44"/>
      <c r="AL19" s="39"/>
      <c r="AM19" s="39"/>
      <c r="AN19" s="45"/>
      <c r="AO19" s="44"/>
      <c r="AP19" s="45"/>
      <c r="AQ19" s="45"/>
      <c r="AR19" s="44"/>
      <c r="AS19" s="39"/>
    </row>
    <row r="20" spans="1:45" x14ac:dyDescent="0.2">
      <c r="A20" s="39">
        <v>18</v>
      </c>
      <c r="B20" s="40">
        <f t="shared" si="0"/>
        <v>46099</v>
      </c>
      <c r="C20" s="47">
        <f t="shared" si="1"/>
        <v>46099</v>
      </c>
      <c r="D20" s="41" t="str">
        <f>VLOOKUP($D$1,勤務変更!$C$4:$AH$45,'Time Pro 入力フォーム（管理者用）'!$A20+1,FALSE)</f>
        <v/>
      </c>
      <c r="E20" s="42"/>
      <c r="F20" s="39"/>
      <c r="G20" s="39"/>
      <c r="H20" s="50" t="s">
        <v>36</v>
      </c>
      <c r="I20" s="58" t="str">
        <f t="shared" si="2"/>
        <v>勤務</v>
      </c>
      <c r="J20" s="43" t="s">
        <v>44</v>
      </c>
      <c r="K20" s="43" t="str">
        <f t="shared" si="3"/>
        <v>日勤</v>
      </c>
      <c r="L20" s="82" t="s">
        <v>37</v>
      </c>
      <c r="M20" s="83"/>
      <c r="N20" s="43" t="s">
        <v>44</v>
      </c>
      <c r="O20" s="82" t="s">
        <v>37</v>
      </c>
      <c r="P20" s="83"/>
      <c r="Q20" s="59" t="s">
        <v>44</v>
      </c>
      <c r="R20" s="51"/>
      <c r="S20" s="44"/>
      <c r="T20" s="45"/>
      <c r="U20" s="44"/>
      <c r="V20" s="45"/>
      <c r="W20" s="44"/>
      <c r="X20" s="39"/>
      <c r="Y20" s="45"/>
      <c r="Z20" s="44"/>
      <c r="AA20" s="45"/>
      <c r="AB20" s="44"/>
      <c r="AC20" s="45"/>
      <c r="AD20" s="44"/>
      <c r="AE20" s="45"/>
      <c r="AF20" s="44"/>
      <c r="AG20" s="45"/>
      <c r="AH20" s="44"/>
      <c r="AI20" s="45"/>
      <c r="AJ20" s="45"/>
      <c r="AK20" s="44"/>
      <c r="AL20" s="39"/>
      <c r="AM20" s="39"/>
      <c r="AN20" s="45"/>
      <c r="AO20" s="44"/>
      <c r="AP20" s="45"/>
      <c r="AQ20" s="45"/>
      <c r="AR20" s="44"/>
      <c r="AS20" s="39"/>
    </row>
    <row r="21" spans="1:45" x14ac:dyDescent="0.2">
      <c r="A21" s="39">
        <v>19</v>
      </c>
      <c r="B21" s="40">
        <f t="shared" si="0"/>
        <v>46100</v>
      </c>
      <c r="C21" s="47">
        <f t="shared" si="1"/>
        <v>46100</v>
      </c>
      <c r="D21" s="41" t="str">
        <f>VLOOKUP($D$1,勤務変更!$C$4:$AH$45,'Time Pro 入力フォーム（管理者用）'!$A21+1,FALSE)</f>
        <v/>
      </c>
      <c r="E21" s="42"/>
      <c r="F21" s="39"/>
      <c r="G21" s="39"/>
      <c r="H21" s="50" t="s">
        <v>36</v>
      </c>
      <c r="I21" s="58" t="str">
        <f t="shared" si="2"/>
        <v>勤務</v>
      </c>
      <c r="J21" s="43" t="s">
        <v>44</v>
      </c>
      <c r="K21" s="43" t="str">
        <f t="shared" si="3"/>
        <v>日勤</v>
      </c>
      <c r="L21" s="82" t="s">
        <v>37</v>
      </c>
      <c r="M21" s="83"/>
      <c r="N21" s="43" t="s">
        <v>44</v>
      </c>
      <c r="O21" s="82" t="s">
        <v>37</v>
      </c>
      <c r="P21" s="83"/>
      <c r="Q21" s="59" t="s">
        <v>44</v>
      </c>
      <c r="R21" s="51"/>
      <c r="S21" s="44"/>
      <c r="T21" s="45"/>
      <c r="U21" s="44"/>
      <c r="V21" s="45"/>
      <c r="W21" s="44"/>
      <c r="X21" s="39"/>
      <c r="Y21" s="45"/>
      <c r="Z21" s="44"/>
      <c r="AA21" s="45"/>
      <c r="AB21" s="44"/>
      <c r="AC21" s="45"/>
      <c r="AD21" s="44"/>
      <c r="AE21" s="45"/>
      <c r="AF21" s="44"/>
      <c r="AG21" s="45"/>
      <c r="AH21" s="44"/>
      <c r="AI21" s="45"/>
      <c r="AJ21" s="45"/>
      <c r="AK21" s="44"/>
      <c r="AL21" s="39"/>
      <c r="AM21" s="39"/>
      <c r="AN21" s="45"/>
      <c r="AO21" s="44"/>
      <c r="AP21" s="45"/>
      <c r="AQ21" s="45"/>
      <c r="AR21" s="44"/>
      <c r="AS21" s="39"/>
    </row>
    <row r="22" spans="1:45" x14ac:dyDescent="0.2">
      <c r="A22" s="39">
        <v>20</v>
      </c>
      <c r="B22" s="40">
        <f t="shared" si="0"/>
        <v>46101</v>
      </c>
      <c r="C22" s="47">
        <f t="shared" si="1"/>
        <v>46101</v>
      </c>
      <c r="D22" s="41" t="str">
        <f>VLOOKUP($D$1,勤務変更!$C$4:$AH$45,'Time Pro 入力フォーム（管理者用）'!$A22+1,FALSE)</f>
        <v/>
      </c>
      <c r="E22" s="42"/>
      <c r="F22" s="39"/>
      <c r="G22" s="39"/>
      <c r="H22" s="50" t="s">
        <v>36</v>
      </c>
      <c r="I22" s="58" t="str">
        <f t="shared" si="2"/>
        <v>勤務</v>
      </c>
      <c r="J22" s="43" t="s">
        <v>44</v>
      </c>
      <c r="K22" s="43" t="str">
        <f t="shared" si="3"/>
        <v>日勤</v>
      </c>
      <c r="L22" s="82" t="s">
        <v>37</v>
      </c>
      <c r="M22" s="83"/>
      <c r="N22" s="43" t="s">
        <v>44</v>
      </c>
      <c r="O22" s="82" t="s">
        <v>37</v>
      </c>
      <c r="P22" s="83"/>
      <c r="Q22" s="59" t="s">
        <v>44</v>
      </c>
      <c r="R22" s="51"/>
      <c r="S22" s="44"/>
      <c r="T22" s="45"/>
      <c r="U22" s="44"/>
      <c r="V22" s="45"/>
      <c r="W22" s="44"/>
      <c r="X22" s="39"/>
      <c r="Y22" s="45"/>
      <c r="Z22" s="44"/>
      <c r="AA22" s="45"/>
      <c r="AB22" s="44"/>
      <c r="AC22" s="45"/>
      <c r="AD22" s="44"/>
      <c r="AE22" s="45"/>
      <c r="AF22" s="44"/>
      <c r="AG22" s="45"/>
      <c r="AH22" s="44"/>
      <c r="AI22" s="45"/>
      <c r="AJ22" s="45"/>
      <c r="AK22" s="44"/>
      <c r="AL22" s="39"/>
      <c r="AM22" s="39"/>
      <c r="AN22" s="45"/>
      <c r="AO22" s="44"/>
      <c r="AP22" s="45"/>
      <c r="AQ22" s="45"/>
      <c r="AR22" s="44"/>
      <c r="AS22" s="39"/>
    </row>
    <row r="23" spans="1:45" x14ac:dyDescent="0.2">
      <c r="A23" s="39">
        <v>21</v>
      </c>
      <c r="B23" s="40">
        <f t="shared" si="0"/>
        <v>46102</v>
      </c>
      <c r="C23" s="47">
        <f t="shared" si="1"/>
        <v>46102</v>
      </c>
      <c r="D23" s="41" t="str">
        <f>VLOOKUP($D$1,勤務変更!$C$4:$AH$45,'Time Pro 入力フォーム（管理者用）'!$A23+1,FALSE)</f>
        <v>／</v>
      </c>
      <c r="E23" s="42"/>
      <c r="F23" s="39"/>
      <c r="G23" s="39"/>
      <c r="H23" s="50" t="s">
        <v>36</v>
      </c>
      <c r="I23" s="58" t="str">
        <f t="shared" si="2"/>
        <v>勤務</v>
      </c>
      <c r="J23" s="43" t="s">
        <v>44</v>
      </c>
      <c r="K23" s="43" t="str">
        <f t="shared" si="3"/>
        <v>半日</v>
      </c>
      <c r="L23" s="82" t="s">
        <v>37</v>
      </c>
      <c r="M23" s="83"/>
      <c r="N23" s="43" t="s">
        <v>44</v>
      </c>
      <c r="O23" s="82" t="s">
        <v>37</v>
      </c>
      <c r="P23" s="83"/>
      <c r="Q23" s="59" t="s">
        <v>44</v>
      </c>
      <c r="R23" s="51"/>
      <c r="S23" s="44"/>
      <c r="T23" s="45"/>
      <c r="U23" s="44"/>
      <c r="V23" s="45"/>
      <c r="W23" s="44"/>
      <c r="X23" s="39"/>
      <c r="Y23" s="45"/>
      <c r="Z23" s="44"/>
      <c r="AA23" s="45"/>
      <c r="AB23" s="44"/>
      <c r="AC23" s="45"/>
      <c r="AD23" s="44"/>
      <c r="AE23" s="45"/>
      <c r="AF23" s="44"/>
      <c r="AG23" s="45"/>
      <c r="AH23" s="44"/>
      <c r="AI23" s="45"/>
      <c r="AJ23" s="45"/>
      <c r="AK23" s="44"/>
      <c r="AL23" s="39"/>
      <c r="AM23" s="39"/>
      <c r="AN23" s="45"/>
      <c r="AO23" s="44"/>
      <c r="AP23" s="45"/>
      <c r="AQ23" s="45"/>
      <c r="AR23" s="44"/>
      <c r="AS23" s="39"/>
    </row>
    <row r="24" spans="1:45" x14ac:dyDescent="0.2">
      <c r="A24" s="39">
        <v>22</v>
      </c>
      <c r="B24" s="40">
        <f t="shared" si="0"/>
        <v>46103</v>
      </c>
      <c r="C24" s="47">
        <f t="shared" si="1"/>
        <v>46103</v>
      </c>
      <c r="D24" s="41" t="str">
        <f>VLOOKUP($D$1,勤務変更!$C$4:$AH$45,'Time Pro 入力フォーム（管理者用）'!$A24+1,FALSE)</f>
        <v>●</v>
      </c>
      <c r="E24" s="42"/>
      <c r="F24" s="39"/>
      <c r="G24" s="39"/>
      <c r="H24" s="50" t="s">
        <v>36</v>
      </c>
      <c r="I24" s="58" t="str">
        <f t="shared" si="2"/>
        <v>休日</v>
      </c>
      <c r="J24" s="43" t="s">
        <v>44</v>
      </c>
      <c r="K24" s="43" t="str">
        <f t="shared" si="3"/>
        <v>日勤</v>
      </c>
      <c r="L24" s="82" t="s">
        <v>37</v>
      </c>
      <c r="M24" s="83"/>
      <c r="N24" s="43" t="s">
        <v>44</v>
      </c>
      <c r="O24" s="82" t="s">
        <v>37</v>
      </c>
      <c r="P24" s="83"/>
      <c r="Q24" s="59" t="s">
        <v>44</v>
      </c>
      <c r="R24" s="51"/>
      <c r="S24" s="44"/>
      <c r="T24" s="45"/>
      <c r="U24" s="44"/>
      <c r="V24" s="45"/>
      <c r="W24" s="44"/>
      <c r="X24" s="39"/>
      <c r="Y24" s="45"/>
      <c r="Z24" s="44"/>
      <c r="AA24" s="45"/>
      <c r="AB24" s="44"/>
      <c r="AC24" s="45"/>
      <c r="AD24" s="44"/>
      <c r="AE24" s="45"/>
      <c r="AF24" s="44"/>
      <c r="AG24" s="45"/>
      <c r="AH24" s="44"/>
      <c r="AI24" s="45"/>
      <c r="AJ24" s="45"/>
      <c r="AK24" s="44"/>
      <c r="AL24" s="39"/>
      <c r="AM24" s="39"/>
      <c r="AN24" s="45"/>
      <c r="AO24" s="44"/>
      <c r="AP24" s="45"/>
      <c r="AQ24" s="45"/>
      <c r="AR24" s="44"/>
      <c r="AS24" s="39"/>
    </row>
    <row r="25" spans="1:45" x14ac:dyDescent="0.2">
      <c r="A25" s="39">
        <v>23</v>
      </c>
      <c r="B25" s="40">
        <f t="shared" si="0"/>
        <v>46104</v>
      </c>
      <c r="C25" s="47">
        <f t="shared" si="1"/>
        <v>46104</v>
      </c>
      <c r="D25" s="41" t="str">
        <f>VLOOKUP($D$1,勤務変更!$C$4:$AH$45,'Time Pro 入力フォーム（管理者用）'!$A25+1,FALSE)</f>
        <v/>
      </c>
      <c r="E25" s="42"/>
      <c r="F25" s="39"/>
      <c r="G25" s="39"/>
      <c r="H25" s="50" t="s">
        <v>36</v>
      </c>
      <c r="I25" s="58" t="str">
        <f t="shared" si="2"/>
        <v>勤務</v>
      </c>
      <c r="J25" s="43" t="s">
        <v>44</v>
      </c>
      <c r="K25" s="43" t="str">
        <f t="shared" si="3"/>
        <v>日勤</v>
      </c>
      <c r="L25" s="82" t="s">
        <v>37</v>
      </c>
      <c r="M25" s="83"/>
      <c r="N25" s="43" t="s">
        <v>44</v>
      </c>
      <c r="O25" s="82" t="s">
        <v>37</v>
      </c>
      <c r="P25" s="83"/>
      <c r="Q25" s="59" t="s">
        <v>44</v>
      </c>
      <c r="R25" s="51"/>
      <c r="S25" s="44"/>
      <c r="T25" s="45"/>
      <c r="U25" s="44"/>
      <c r="V25" s="45"/>
      <c r="W25" s="44"/>
      <c r="X25" s="39"/>
      <c r="Y25" s="45"/>
      <c r="Z25" s="44"/>
      <c r="AA25" s="45"/>
      <c r="AB25" s="44"/>
      <c r="AC25" s="45"/>
      <c r="AD25" s="44"/>
      <c r="AE25" s="45"/>
      <c r="AF25" s="44"/>
      <c r="AG25" s="45"/>
      <c r="AH25" s="44"/>
      <c r="AI25" s="45"/>
      <c r="AJ25" s="45"/>
      <c r="AK25" s="44"/>
      <c r="AL25" s="39"/>
      <c r="AM25" s="39"/>
      <c r="AN25" s="45"/>
      <c r="AO25" s="44"/>
      <c r="AP25" s="45"/>
      <c r="AQ25" s="45"/>
      <c r="AR25" s="44"/>
      <c r="AS25" s="39"/>
    </row>
    <row r="26" spans="1:45" x14ac:dyDescent="0.2">
      <c r="A26" s="39">
        <v>24</v>
      </c>
      <c r="B26" s="40">
        <f t="shared" si="0"/>
        <v>46105</v>
      </c>
      <c r="C26" s="47">
        <f t="shared" si="1"/>
        <v>46105</v>
      </c>
      <c r="D26" s="41" t="str">
        <f>VLOOKUP($D$1,勤務変更!$C$4:$AH$45,'Time Pro 入力フォーム（管理者用）'!$A26+1,FALSE)</f>
        <v/>
      </c>
      <c r="E26" s="42"/>
      <c r="F26" s="39"/>
      <c r="G26" s="39"/>
      <c r="H26" s="50" t="s">
        <v>36</v>
      </c>
      <c r="I26" s="58" t="str">
        <f t="shared" si="2"/>
        <v>勤務</v>
      </c>
      <c r="J26" s="43" t="s">
        <v>44</v>
      </c>
      <c r="K26" s="43" t="str">
        <f t="shared" si="3"/>
        <v>日勤</v>
      </c>
      <c r="L26" s="82" t="s">
        <v>37</v>
      </c>
      <c r="M26" s="83"/>
      <c r="N26" s="43" t="s">
        <v>44</v>
      </c>
      <c r="O26" s="82" t="s">
        <v>37</v>
      </c>
      <c r="P26" s="83"/>
      <c r="Q26" s="59" t="s">
        <v>44</v>
      </c>
      <c r="R26" s="51"/>
      <c r="S26" s="44"/>
      <c r="T26" s="45"/>
      <c r="U26" s="44"/>
      <c r="V26" s="45"/>
      <c r="W26" s="44"/>
      <c r="X26" s="39"/>
      <c r="Y26" s="45"/>
      <c r="Z26" s="44"/>
      <c r="AA26" s="45"/>
      <c r="AB26" s="44"/>
      <c r="AC26" s="45"/>
      <c r="AD26" s="44"/>
      <c r="AE26" s="45"/>
      <c r="AF26" s="44"/>
      <c r="AG26" s="45"/>
      <c r="AH26" s="44"/>
      <c r="AI26" s="45"/>
      <c r="AJ26" s="45"/>
      <c r="AK26" s="44"/>
      <c r="AL26" s="39"/>
      <c r="AM26" s="39"/>
      <c r="AN26" s="45"/>
      <c r="AO26" s="44"/>
      <c r="AP26" s="45"/>
      <c r="AQ26" s="45"/>
      <c r="AR26" s="44"/>
      <c r="AS26" s="39"/>
    </row>
    <row r="27" spans="1:45" x14ac:dyDescent="0.2">
      <c r="A27" s="39">
        <v>25</v>
      </c>
      <c r="B27" s="40">
        <f t="shared" si="0"/>
        <v>46106</v>
      </c>
      <c r="C27" s="47">
        <f t="shared" si="1"/>
        <v>46106</v>
      </c>
      <c r="D27" s="41" t="str">
        <f>VLOOKUP($D$1,勤務変更!$C$4:$AH$45,'Time Pro 入力フォーム（管理者用）'!$A27+1,FALSE)</f>
        <v/>
      </c>
      <c r="E27" s="42"/>
      <c r="F27" s="39"/>
      <c r="G27" s="39"/>
      <c r="H27" s="50" t="s">
        <v>36</v>
      </c>
      <c r="I27" s="58" t="str">
        <f t="shared" si="2"/>
        <v>勤務</v>
      </c>
      <c r="J27" s="43" t="s">
        <v>44</v>
      </c>
      <c r="K27" s="43" t="str">
        <f t="shared" si="3"/>
        <v>日勤</v>
      </c>
      <c r="L27" s="82" t="s">
        <v>37</v>
      </c>
      <c r="M27" s="83"/>
      <c r="N27" s="43" t="s">
        <v>44</v>
      </c>
      <c r="O27" s="82" t="s">
        <v>37</v>
      </c>
      <c r="P27" s="83"/>
      <c r="Q27" s="59" t="s">
        <v>44</v>
      </c>
      <c r="R27" s="51"/>
      <c r="S27" s="44"/>
      <c r="T27" s="45"/>
      <c r="U27" s="44"/>
      <c r="V27" s="45"/>
      <c r="W27" s="44"/>
      <c r="X27" s="39"/>
      <c r="Y27" s="45"/>
      <c r="Z27" s="44"/>
      <c r="AA27" s="45"/>
      <c r="AB27" s="44"/>
      <c r="AC27" s="45"/>
      <c r="AD27" s="44"/>
      <c r="AE27" s="45"/>
      <c r="AF27" s="44"/>
      <c r="AG27" s="45"/>
      <c r="AH27" s="44"/>
      <c r="AI27" s="45"/>
      <c r="AJ27" s="45"/>
      <c r="AK27" s="44"/>
      <c r="AL27" s="39"/>
      <c r="AM27" s="39"/>
      <c r="AN27" s="45"/>
      <c r="AO27" s="44"/>
      <c r="AP27" s="45"/>
      <c r="AQ27" s="45"/>
      <c r="AR27" s="44"/>
      <c r="AS27" s="39"/>
    </row>
    <row r="28" spans="1:45" x14ac:dyDescent="0.2">
      <c r="A28" s="39">
        <v>26</v>
      </c>
      <c r="B28" s="40">
        <f t="shared" si="0"/>
        <v>46107</v>
      </c>
      <c r="C28" s="47">
        <f t="shared" si="1"/>
        <v>46107</v>
      </c>
      <c r="D28" s="41" t="str">
        <f>VLOOKUP($D$1,勤務変更!$C$4:$AH$45,'Time Pro 入力フォーム（管理者用）'!$A28+1,FALSE)</f>
        <v/>
      </c>
      <c r="E28" s="42"/>
      <c r="F28" s="39"/>
      <c r="G28" s="39"/>
      <c r="H28" s="50" t="s">
        <v>36</v>
      </c>
      <c r="I28" s="58" t="str">
        <f t="shared" si="2"/>
        <v>勤務</v>
      </c>
      <c r="J28" s="43" t="s">
        <v>44</v>
      </c>
      <c r="K28" s="43" t="str">
        <f t="shared" si="3"/>
        <v>日勤</v>
      </c>
      <c r="L28" s="82" t="s">
        <v>37</v>
      </c>
      <c r="M28" s="83"/>
      <c r="N28" s="43" t="s">
        <v>44</v>
      </c>
      <c r="O28" s="82" t="s">
        <v>37</v>
      </c>
      <c r="P28" s="83"/>
      <c r="Q28" s="59" t="s">
        <v>44</v>
      </c>
      <c r="R28" s="51"/>
      <c r="S28" s="44"/>
      <c r="T28" s="45"/>
      <c r="U28" s="44"/>
      <c r="V28" s="45"/>
      <c r="W28" s="44"/>
      <c r="X28" s="39"/>
      <c r="Y28" s="45"/>
      <c r="Z28" s="44"/>
      <c r="AA28" s="45"/>
      <c r="AB28" s="44"/>
      <c r="AC28" s="45"/>
      <c r="AD28" s="44"/>
      <c r="AE28" s="45"/>
      <c r="AF28" s="44"/>
      <c r="AG28" s="45"/>
      <c r="AH28" s="44"/>
      <c r="AI28" s="45"/>
      <c r="AJ28" s="45"/>
      <c r="AK28" s="44"/>
      <c r="AL28" s="39"/>
      <c r="AM28" s="39"/>
      <c r="AN28" s="45"/>
      <c r="AO28" s="44"/>
      <c r="AP28" s="45"/>
      <c r="AQ28" s="45"/>
      <c r="AR28" s="44"/>
      <c r="AS28" s="39"/>
    </row>
    <row r="29" spans="1:45" x14ac:dyDescent="0.2">
      <c r="A29" s="39">
        <v>27</v>
      </c>
      <c r="B29" s="40">
        <f t="shared" si="0"/>
        <v>46108</v>
      </c>
      <c r="C29" s="47">
        <f t="shared" si="1"/>
        <v>46108</v>
      </c>
      <c r="D29" s="41" t="str">
        <f>VLOOKUP($D$1,勤務変更!$C$4:$AH$45,'Time Pro 入力フォーム（管理者用）'!$A29+1,FALSE)</f>
        <v/>
      </c>
      <c r="E29" s="42"/>
      <c r="F29" s="39"/>
      <c r="G29" s="39"/>
      <c r="H29" s="50" t="s">
        <v>36</v>
      </c>
      <c r="I29" s="58" t="str">
        <f t="shared" si="2"/>
        <v>勤務</v>
      </c>
      <c r="J29" s="43" t="s">
        <v>44</v>
      </c>
      <c r="K29" s="43" t="str">
        <f t="shared" si="3"/>
        <v>日勤</v>
      </c>
      <c r="L29" s="82" t="s">
        <v>37</v>
      </c>
      <c r="M29" s="83"/>
      <c r="N29" s="43" t="s">
        <v>44</v>
      </c>
      <c r="O29" s="82" t="s">
        <v>37</v>
      </c>
      <c r="P29" s="83"/>
      <c r="Q29" s="59" t="s">
        <v>44</v>
      </c>
      <c r="R29" s="51"/>
      <c r="S29" s="44"/>
      <c r="T29" s="45"/>
      <c r="U29" s="44"/>
      <c r="V29" s="45"/>
      <c r="W29" s="44"/>
      <c r="X29" s="39"/>
      <c r="Y29" s="45"/>
      <c r="Z29" s="44"/>
      <c r="AA29" s="45"/>
      <c r="AB29" s="44"/>
      <c r="AC29" s="45"/>
      <c r="AD29" s="44"/>
      <c r="AE29" s="45"/>
      <c r="AF29" s="44"/>
      <c r="AG29" s="45"/>
      <c r="AH29" s="44"/>
      <c r="AI29" s="45"/>
      <c r="AJ29" s="45"/>
      <c r="AK29" s="44"/>
      <c r="AL29" s="39"/>
      <c r="AM29" s="39"/>
      <c r="AN29" s="45"/>
      <c r="AO29" s="44"/>
      <c r="AP29" s="45"/>
      <c r="AQ29" s="45"/>
      <c r="AR29" s="44"/>
      <c r="AS29" s="39"/>
    </row>
    <row r="30" spans="1:45" x14ac:dyDescent="0.2">
      <c r="A30" s="39">
        <v>28</v>
      </c>
      <c r="B30" s="40">
        <f t="shared" si="0"/>
        <v>46109</v>
      </c>
      <c r="C30" s="47">
        <f t="shared" si="1"/>
        <v>46109</v>
      </c>
      <c r="D30" s="41" t="str">
        <f>VLOOKUP($D$1,勤務変更!$C$4:$AH$45,'Time Pro 入力フォーム（管理者用）'!$A30+1,FALSE)</f>
        <v>／</v>
      </c>
      <c r="E30" s="42"/>
      <c r="F30" s="39"/>
      <c r="G30" s="39"/>
      <c r="H30" s="50" t="s">
        <v>36</v>
      </c>
      <c r="I30" s="58" t="str">
        <f t="shared" si="2"/>
        <v>勤務</v>
      </c>
      <c r="J30" s="43" t="s">
        <v>44</v>
      </c>
      <c r="K30" s="43" t="str">
        <f t="shared" si="3"/>
        <v>半日</v>
      </c>
      <c r="L30" s="82" t="s">
        <v>37</v>
      </c>
      <c r="M30" s="83"/>
      <c r="N30" s="43" t="s">
        <v>44</v>
      </c>
      <c r="O30" s="82" t="s">
        <v>37</v>
      </c>
      <c r="P30" s="83"/>
      <c r="Q30" s="59" t="s">
        <v>44</v>
      </c>
      <c r="R30" s="51"/>
      <c r="S30" s="44"/>
      <c r="T30" s="45"/>
      <c r="U30" s="44"/>
      <c r="V30" s="45"/>
      <c r="W30" s="44"/>
      <c r="X30" s="39"/>
      <c r="Y30" s="45"/>
      <c r="Z30" s="44"/>
      <c r="AA30" s="45"/>
      <c r="AB30" s="44"/>
      <c r="AC30" s="45"/>
      <c r="AD30" s="44"/>
      <c r="AE30" s="45"/>
      <c r="AF30" s="44"/>
      <c r="AG30" s="45"/>
      <c r="AH30" s="44"/>
      <c r="AI30" s="45"/>
      <c r="AJ30" s="45"/>
      <c r="AK30" s="44"/>
      <c r="AL30" s="39"/>
      <c r="AM30" s="39"/>
      <c r="AN30" s="45"/>
      <c r="AO30" s="44"/>
      <c r="AP30" s="45"/>
      <c r="AQ30" s="45"/>
      <c r="AR30" s="44"/>
      <c r="AS30" s="39"/>
    </row>
    <row r="31" spans="1:45" x14ac:dyDescent="0.2">
      <c r="A31" s="39">
        <v>29</v>
      </c>
      <c r="B31" s="40">
        <f t="shared" si="0"/>
        <v>46110</v>
      </c>
      <c r="C31" s="47">
        <f t="shared" si="1"/>
        <v>46110</v>
      </c>
      <c r="D31" s="41" t="str">
        <f>VLOOKUP($D$1,勤務変更!$C$4:$AH$45,'Time Pro 入力フォーム（管理者用）'!$A31+1,FALSE)</f>
        <v>●</v>
      </c>
      <c r="E31" s="42"/>
      <c r="F31" s="39"/>
      <c r="G31" s="39"/>
      <c r="H31" s="50" t="s">
        <v>36</v>
      </c>
      <c r="I31" s="58" t="str">
        <f t="shared" si="2"/>
        <v>休日</v>
      </c>
      <c r="J31" s="43" t="s">
        <v>44</v>
      </c>
      <c r="K31" s="43" t="str">
        <f t="shared" si="3"/>
        <v>日勤</v>
      </c>
      <c r="L31" s="82" t="s">
        <v>37</v>
      </c>
      <c r="M31" s="83"/>
      <c r="N31" s="43" t="s">
        <v>44</v>
      </c>
      <c r="O31" s="82" t="s">
        <v>37</v>
      </c>
      <c r="P31" s="83"/>
      <c r="Q31" s="59" t="s">
        <v>44</v>
      </c>
      <c r="R31" s="51"/>
      <c r="S31" s="44"/>
      <c r="T31" s="45"/>
      <c r="U31" s="44"/>
      <c r="V31" s="45"/>
      <c r="W31" s="44"/>
      <c r="X31" s="39"/>
      <c r="Y31" s="45"/>
      <c r="Z31" s="44"/>
      <c r="AA31" s="45"/>
      <c r="AB31" s="44"/>
      <c r="AC31" s="45"/>
      <c r="AD31" s="44"/>
      <c r="AE31" s="45"/>
      <c r="AF31" s="44"/>
      <c r="AG31" s="45"/>
      <c r="AH31" s="44"/>
      <c r="AI31" s="45"/>
      <c r="AJ31" s="45"/>
      <c r="AK31" s="44"/>
      <c r="AL31" s="39"/>
      <c r="AM31" s="39"/>
      <c r="AN31" s="45"/>
      <c r="AO31" s="44"/>
      <c r="AP31" s="45"/>
      <c r="AQ31" s="45"/>
      <c r="AR31" s="44"/>
      <c r="AS31" s="39"/>
    </row>
    <row r="32" spans="1:45" x14ac:dyDescent="0.2">
      <c r="A32" s="39">
        <v>30</v>
      </c>
      <c r="B32" s="40">
        <f t="shared" si="0"/>
        <v>46111</v>
      </c>
      <c r="C32" s="47">
        <f t="shared" si="1"/>
        <v>46111</v>
      </c>
      <c r="D32" s="41" t="str">
        <f>VLOOKUP($D$1,勤務変更!$C$4:$AH$45,'Time Pro 入力フォーム（管理者用）'!$A32+1,FALSE)</f>
        <v/>
      </c>
      <c r="E32" s="42"/>
      <c r="F32" s="39"/>
      <c r="G32" s="39"/>
      <c r="H32" s="50" t="s">
        <v>36</v>
      </c>
      <c r="I32" s="58" t="str">
        <f t="shared" si="2"/>
        <v>勤務</v>
      </c>
      <c r="J32" s="43" t="s">
        <v>44</v>
      </c>
      <c r="K32" s="43" t="str">
        <f t="shared" si="3"/>
        <v>日勤</v>
      </c>
      <c r="L32" s="82" t="s">
        <v>37</v>
      </c>
      <c r="M32" s="83"/>
      <c r="N32" s="43" t="s">
        <v>44</v>
      </c>
      <c r="O32" s="82" t="s">
        <v>37</v>
      </c>
      <c r="P32" s="83"/>
      <c r="Q32" s="59" t="s">
        <v>44</v>
      </c>
      <c r="R32" s="51"/>
      <c r="S32" s="44"/>
      <c r="T32" s="45"/>
      <c r="U32" s="44"/>
      <c r="V32" s="45"/>
      <c r="W32" s="44"/>
      <c r="X32" s="39"/>
      <c r="Y32" s="45"/>
      <c r="Z32" s="44"/>
      <c r="AA32" s="45"/>
      <c r="AB32" s="44"/>
      <c r="AC32" s="45"/>
      <c r="AD32" s="44"/>
      <c r="AE32" s="45"/>
      <c r="AF32" s="44"/>
      <c r="AG32" s="45"/>
      <c r="AH32" s="44"/>
      <c r="AI32" s="45"/>
      <c r="AJ32" s="45"/>
      <c r="AK32" s="44"/>
      <c r="AL32" s="39"/>
      <c r="AM32" s="39"/>
      <c r="AN32" s="45"/>
      <c r="AO32" s="44"/>
      <c r="AP32" s="45"/>
      <c r="AQ32" s="45"/>
      <c r="AR32" s="44"/>
      <c r="AS32" s="39"/>
    </row>
    <row r="33" spans="1:45" ht="13.5" thickBot="1" x14ac:dyDescent="0.25">
      <c r="A33" s="39">
        <v>31</v>
      </c>
      <c r="B33" s="40">
        <f t="shared" si="0"/>
        <v>46112</v>
      </c>
      <c r="C33" s="47">
        <f t="shared" si="1"/>
        <v>46112</v>
      </c>
      <c r="D33" s="41" t="str">
        <f>VLOOKUP($D$1,勤務変更!$C$4:$AH$45,'Time Pro 入力フォーム（管理者用）'!$A33+1,FALSE)</f>
        <v/>
      </c>
      <c r="E33" s="42"/>
      <c r="F33" s="39"/>
      <c r="G33" s="39"/>
      <c r="H33" s="50" t="s">
        <v>36</v>
      </c>
      <c r="I33" s="58" t="str">
        <f t="shared" si="2"/>
        <v>勤務</v>
      </c>
      <c r="J33" s="60" t="s">
        <v>44</v>
      </c>
      <c r="K33" s="43" t="str">
        <f t="shared" si="3"/>
        <v>日勤</v>
      </c>
      <c r="L33" s="84" t="s">
        <v>37</v>
      </c>
      <c r="M33" s="84" t="s">
        <v>37</v>
      </c>
      <c r="N33" s="60" t="s">
        <v>44</v>
      </c>
      <c r="O33" s="84" t="s">
        <v>37</v>
      </c>
      <c r="P33" s="84" t="s">
        <v>37</v>
      </c>
      <c r="Q33" s="61" t="s">
        <v>44</v>
      </c>
      <c r="R33" s="51"/>
      <c r="S33" s="44"/>
      <c r="T33" s="45"/>
      <c r="U33" s="45"/>
      <c r="V33" s="45"/>
      <c r="W33" s="45"/>
      <c r="X33" s="39"/>
      <c r="Y33" s="45"/>
      <c r="Z33" s="45"/>
      <c r="AA33" s="45"/>
      <c r="AB33" s="45"/>
      <c r="AC33" s="45"/>
      <c r="AD33" s="45"/>
      <c r="AE33" s="45"/>
      <c r="AF33" s="45"/>
      <c r="AG33" s="45"/>
      <c r="AH33" s="45"/>
      <c r="AI33" s="45"/>
      <c r="AJ33" s="45"/>
      <c r="AK33" s="45"/>
      <c r="AL33" s="39"/>
      <c r="AM33" s="39"/>
      <c r="AN33" s="45"/>
      <c r="AO33" s="45"/>
      <c r="AP33" s="45"/>
      <c r="AQ33" s="45"/>
      <c r="AR33" s="45"/>
      <c r="AS33" s="39"/>
    </row>
    <row r="34" spans="1:45" ht="13.5" thickTop="1" x14ac:dyDescent="0.2"/>
  </sheetData>
  <sheetProtection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公亮 中村</cp:lastModifiedBy>
  <cp:lastPrinted>2022-07-11T08:58:24Z</cp:lastPrinted>
  <dcterms:created xsi:type="dcterms:W3CDTF">2019-10-11T06:42:29Z</dcterms:created>
  <dcterms:modified xsi:type="dcterms:W3CDTF">2025-03-07T03:02:07Z</dcterms:modified>
</cp:coreProperties>
</file>